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25bff84e9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516998836a2f4f50"/>
    <x:sheet xmlns:r="http://schemas.openxmlformats.org/officeDocument/2006/relationships" name="Hierarchy" sheetId="2" r:id="R9412bdee3c8d4756"/>
    <x:sheet xmlns:r="http://schemas.openxmlformats.org/officeDocument/2006/relationships" name="Layout" sheetId="3" r:id="Rcfb006f2752d4f70"/>
    <x:sheet xmlns:r="http://schemas.openxmlformats.org/officeDocument/2006/relationships" name="Definitions" sheetId="4" r:id="R25ef73ac07224520"/>
    <x:sheet xmlns:r="http://schemas.openxmlformats.org/officeDocument/2006/relationships" name="Recipes" sheetId="5" r:id="R5ba2998a63f845d7"/>
    <x:sheet xmlns:r="http://schemas.openxmlformats.org/officeDocument/2006/relationships" name="Assets" sheetId="6" r:id="Rc4d4bda52a004f68"/>
    <x:sheet xmlns:r="http://schemas.openxmlformats.org/officeDocument/2006/relationships" name="Orders" sheetId="7" r:id="R486bb7b805f445c5"/>
    <x:sheet xmlns:r="http://schemas.openxmlformats.org/officeDocument/2006/relationships" name="Shipments" sheetId="8" r:id="Rf203e9081d554430"/>
    <x:sheet xmlns:r="http://schemas.openxmlformats.org/officeDocument/2006/relationships" name="Guide" sheetId="9" r:id="Rc763208858b9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6">
    <x:font>
      <x:sz val="11"/>
      <x:name val="Carlito"/>
    </x:font>
    <x:font>
      <x:sz val="10"/>
      <x:color rgb="FF263445"/>
      <x:name val="Arial"/>
    </x:font>
    <x:font>
      <x:b/>
      <x:sz val="16"/>
      <x:color rgb="FF23364D"/>
      <x:name val="Arial"/>
    </x:font>
    <x:font>
      <x:i/>
      <x:sz val="10"/>
      <x:color rgb="FF58677B"/>
      <x:name val="Arial"/>
    </x:font>
    <x:font>
      <x:b/>
      <x:sz val="10"/>
      <x:color rgb="FFFFFFFF"/>
      <x:name val="Arial"/>
    </x:font>
    <x:font>
      <x:b/>
      <x:sz val="10"/>
      <x:color rgb="FF2336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64D"/>
      </x:patternFill>
    </x:fill>
    <x:fill>
      <x:patternFill patternType="solid">
        <x:fgColor rgb="FFF1F5F9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b/>
        <x:color rgb="FF9C2C16"/>
      </x:font>
      <x:fill>
        <x:patternFill>
          <x:bgColor rgb="FFFCE4D6"/>
        </x:patternFill>
      </x:fill>
    </x:dxf>
    <x:dxf>
      <x:font>
        <x:b/>
        <x:color rgb="FF9C2C16"/>
      </x:font>
      <x:fill>
        <x:patternFill>
          <x:bgColor rgb="FFFCE4D6"/>
        </x:patternFill>
      </x:fill>
    </x:dxf>
    <x:dxf>
      <x:font>
        <x:b/>
        <x:color rgb="FF9C2C16"/>
      </x:font>
      <x:fill>
        <x:patternFill>
          <x:bgColor rgb="FFFCE4D6"/>
        </x:patternFill>
      </x:fill>
    </x:dxf>
    <x:dxf>
      <x:font>
        <x:b/>
        <x:color rgb="FF9C2C16"/>
      </x:font>
      <x:fill>
        <x:patternFill>
          <x:bgColor rgb="FFFCE4D6"/>
        </x:patternFill>
      </x:fill>
    </x:dxf>
    <x:dxf>
      <x:font>
        <x:b/>
        <x:color rgb="FF9C2C16"/>
      </x:font>
      <x:fill>
        <x:patternFill>
          <x:bgColor rgb="FFFCE4D6"/>
        </x:patternFill>
      </x:fill>
    </x:dxf>
    <x:dxf>
      <x:font>
        <x:b/>
        <x:color rgb="FF9C2C16"/>
      </x:font>
      <x:fill>
        <x:patternFill>
          <x:bgColor rgb="FFFCE4D6"/>
        </x:patternFill>
      </x:fill>
    </x:dxf>
    <x:dxf>
      <x:font>
        <x:b/>
        <x:color rgb="FF9C2C16"/>
      </x:font>
      <x:fill>
        <x:patternFill>
          <x:bgColor rgb="FFFCE4D6"/>
        </x:patternFill>
      </x:fill>
    </x:dxf>
    <x:dxf>
      <x:font>
        <x:b/>
        <x:color rgb="FF925A00"/>
      </x:font>
      <x:fill>
        <x:patternFill>
          <x:bgColor rgb="FFFFF2CC"/>
        </x:patternFill>
      </x:fill>
    </x:dxf>
    <x:dxf>
      <x:font>
        <x:b/>
        <x:color rgb="FF925A00"/>
      </x:font>
      <x:fill>
        <x:patternFill>
          <x:bgColor rgb="FFFFF2CC"/>
        </x:patternFill>
      </x:fill>
    </x:dxf>
    <x:dxf>
      <x:font>
        <x:b/>
        <x:color rgb="FF925A00"/>
      </x:font>
      <x:fill>
        <x:patternFill>
          <x:bgColor rgb="FFFFF2CC"/>
        </x:patternFill>
      </x:fill>
    </x:dxf>
    <x:dxf>
      <x:font>
        <x:b/>
        <x:color rgb="FF9C2C1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ecf8a74a74c68" /><Relationship Type="http://schemas.openxmlformats.org/officeDocument/2006/relationships/theme" Target="/xl/theme/theme1.xml" Id="R4a5416ec225d4496" /><Relationship Type="http://schemas.openxmlformats.org/officeDocument/2006/relationships/sharedStrings" Target="/xl/sharedStrings.xml" Id="Ree2e69043ed44a8e" /><Relationship Type="http://schemas.openxmlformats.org/officeDocument/2006/relationships/worksheet" Target="/xl/worksheets/sheet1.xml" Id="R516998836a2f4f50" /><Relationship Type="http://schemas.openxmlformats.org/officeDocument/2006/relationships/worksheet" Target="/xl/worksheets/sheet2.xml" Id="R9412bdee3c8d4756" /><Relationship Type="http://schemas.openxmlformats.org/officeDocument/2006/relationships/worksheet" Target="/xl/worksheets/sheet3.xml" Id="Rcfb006f2752d4f70" /><Relationship Type="http://schemas.openxmlformats.org/officeDocument/2006/relationships/worksheet" Target="/xl/worksheets/sheet4.xml" Id="R25ef73ac07224520" /><Relationship Type="http://schemas.openxmlformats.org/officeDocument/2006/relationships/worksheet" Target="/xl/worksheets/sheet5.xml" Id="R5ba2998a63f845d7" /><Relationship Type="http://schemas.openxmlformats.org/officeDocument/2006/relationships/worksheet" Target="/xl/worksheets/sheet6.xml" Id="Rc4d4bda52a004f68" /><Relationship Type="http://schemas.openxmlformats.org/officeDocument/2006/relationships/worksheet" Target="/xl/worksheets/sheet7.xml" Id="R486bb7b805f445c5" /><Relationship Type="http://schemas.openxmlformats.org/officeDocument/2006/relationships/worksheet" Target="/xl/worksheets/sheet8.xml" Id="Rf203e9081d554430" /><Relationship Type="http://schemas.openxmlformats.org/officeDocument/2006/relationships/worksheet" Target="/xl/worksheets/sheet9.xml" Id="Rc763208858b94e8f" /></Relationships>
</file>

<file path=xl/tables/table1.xml><?xml version="1.0" encoding="utf-8"?>
<x:table xmlns:x="http://schemas.openxmlformats.org/spreadsheetml/2006/main" id="1" name="BOMTable" displayName="BOMTable" ref="A7:O207" headerRowCount="1" totalsRowCount="0" totalsRowShown="0">
  <x:tableColumns count="15">
    <x:tableColumn id="1" name="Part ID"/>
    <x:tableColumn id="2" name="Component"/>
    <x:tableColumn id="3" name="UOM"/>
    <x:tableColumn id="4" name="Build qty"/>
    <x:tableColumn id="5" name="Spares qty"/>
    <x:tableColumn id="6" name="Total required"/>
    <x:tableColumn id="7" name="Stock covering plan"/>
    <x:tableColumn id="8" name="Open purchase qty"/>
    <x:tableColumn id="9" name="Inbound transit qty"/>
    <x:tableColumn id="10" name="Shortage today"/>
    <x:tableColumn id="11" name="Qty to buy"/>
    <x:tableColumn id="12" name="Purchase pack"/>
    <x:tableColumn id="13" name="Order packs"/>
    <x:tableColumn id="14" name="Outbound dispatched"/>
    <x:tableColumn id="15" name="Still to dispatc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ierarchyTable" displayName="HierarchyTable" ref="A7:F207" headerRowCount="1" totalsRowCount="0" totalsRowShown="0">
  <x:tableColumns count="6">
    <x:tableColumn id="1" name="Role ID"/>
    <x:tableColumn id="2" name="Component hierarchy"/>
    <x:tableColumn id="3" name="Qty per parent"/>
    <x:tableColumn id="4" name="Required qty"/>
    <x:tableColumn id="5" name="Purpose"/>
    <x:tableColumn id="6" name="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youtTable" displayName="LayoutTable" ref="A7:N207" headerRowCount="1" totalsRowCount="0" totalsRowShown="0">
  <x:tableColumns count="14">
    <x:tableColumn id="1" name="Role ID"/>
    <x:tableColumn id="2" name="Parent role"/>
    <x:tableColumn id="3" name="Root definition ID"/>
    <x:tableColumn id="4" name="Recipe line ID"/>
    <x:tableColumn id="5" name="Qty override"/>
    <x:tableColumn id="6" name="Root purpose"/>
    <x:tableColumn id="7" name="Definition ID"/>
    <x:tableColumn id="8" name="Component hierarchy"/>
    <x:tableColumn id="9" name="Recipe qty"/>
    <x:tableColumn id="10" name="Qty per parent"/>
    <x:tableColumn id="11" name="Required qty"/>
    <x:tableColumn id="12" name="Purpose"/>
    <x:tableColumn id="13" name="Depth"/>
    <x:tableColumn id="14" name="Che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finitionsTable" displayName="DefinitionsTable" ref="A7:K207" headerRowCount="1" totalsRowCount="0" totalsRowShown="0">
  <x:tableColumns count="11">
    <x:tableColumn id="1" name="Definition ID"/>
    <x:tableColumn id="2" name="Component name"/>
    <x:tableColumn id="3" name="Kind"/>
    <x:tableColumn id="4" name="Manufacturer"/>
    <x:tableColumn id="5" name="Part number / specification"/>
    <x:tableColumn id="6" name="UOM"/>
    <x:tableColumn id="7" name="Serial tracked"/>
    <x:tableColumn id="8" name="Purchase pack qty"/>
    <x:tableColumn id="9" name="Bulk stock covering plan"/>
    <x:tableColumn id="10" name="Notes"/>
    <x:tableColumn id="11" name="Chec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cipesTable" displayName="RecipesTable" ref="A7:G207" headerRowCount="1" totalsRowCount="0" totalsRowShown="0">
  <x:tableColumns count="7">
    <x:tableColumn id="1" name="Recipe line ID"/>
    <x:tableColumn id="2" name="Parent definition ID"/>
    <x:tableColumn id="3" name="Child definition ID"/>
    <x:tableColumn id="4" name="Qty per parent"/>
    <x:tableColumn id="5" name="Suggested child role suffix"/>
    <x:tableColumn id="6" name="Notes"/>
    <x:tableColumn id="7" name="Chec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ssetsTable" displayName="AssetsTable" ref="A7:K207" headerRowCount="1" totalsRowCount="0" totalsRowShown="0">
  <x:tableColumns count="11">
    <x:tableColumn id="1" name="Asset ID"/>
    <x:tableColumn id="2" name="Definition ID"/>
    <x:tableColumn id="3" name="Manufacturer serial"/>
    <x:tableColumn id="4" name="Location / box"/>
    <x:tableColumn id="5" name="Condition"/>
    <x:tableColumn id="6" name="State"/>
    <x:tableColumn id="7" name="Allocation"/>
    <x:tableColumn id="8" name="Assigned role"/>
    <x:tableColumn id="9" name="Notes"/>
    <x:tableColumn id="10" name="Stock covering plan"/>
    <x:tableColumn id="11" name="Check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rdersTable" displayName="OrdersTable" ref="A7:L207" headerRowCount="1" totalsRowCount="0" totalsRowShown="0">
  <x:tableColumns count="12">
    <x:tableColumn id="1" name="Order line ID"/>
    <x:tableColumn id="2" name="PO number"/>
    <x:tableColumn id="3" name="Supplier"/>
    <x:tableColumn id="4" name="Definition ID"/>
    <x:tableColumn id="5" name="Ordered qty"/>
    <x:tableColumn id="6" name="Cancelled qty"/>
    <x:tableColumn id="7" name="Due date"/>
    <x:tableColumn id="8" name="Accepted receipts"/>
    <x:tableColumn id="9" name="Open purchase qty"/>
    <x:tableColumn id="10" name="In transit qty"/>
    <x:tableColumn id="11" name="Awaiting dispatch"/>
    <x:tableColumn id="12" name="Check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hipmentsTable" displayName="ShipmentsTable" ref="A7:P207" headerRowCount="1" totalsRowCount="0" totalsRowShown="0">
  <x:tableColumns count="16">
    <x:tableColumn id="1" name="Shipment line ID"/>
    <x:tableColumn id="2" name="Shipment ID"/>
    <x:tableColumn id="3" name="Direction"/>
    <x:tableColumn id="4" name="Order line ID"/>
    <x:tableColumn id="5" name="Box / crate ID"/>
    <x:tableColumn id="6" name="Definition ID"/>
    <x:tableColumn id="7" name="Asset ID (optional)"/>
    <x:tableColumn id="8" name="Dispatched qty"/>
    <x:tableColumn id="9" name="Accepted qty"/>
    <x:tableColumn id="10" name="Rejected qty"/>
    <x:tableColumn id="11" name="In transit qty"/>
    <x:tableColumn id="12" name="Dispatch date"/>
    <x:tableColumn id="13" name="Arrival / ETA"/>
    <x:tableColumn id="14" name="Carrier tracking"/>
    <x:tableColumn id="15" name="Destination"/>
    <x:tableColumn id="16" name="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bfbf2db99b45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df1d4eac634d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0e24a101b24b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a4b00fa518e4c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5cc5a3b0d4445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4ac3ae1584348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15e1529c7204b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f38b1a02cba4f82" /></Relationships>
</file>

<file path=xl/worksheets/sheet1.xml><?xml version="1.0" encoding="utf-8"?>
<x:worksheet xmlns:x="http://schemas.openxmlformats.org/spreadsheetml/2006/main">
  <x:sheetPr>
    <x:tabColor rgb="FF23364D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9" hidden="0" customWidth="1"/>
    <x:col min="2" max="2" width="32" hidden="0" customWidth="1"/>
    <x:col min="3" max="3" width="10" hidden="0" customWidth="1"/>
    <x:col min="4" max="4" width="12" hidden="0" customWidth="1"/>
    <x:col min="5" max="5" width="12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5" hidden="0" customWidth="1"/>
    <x:col min="11" max="11" width="13" hidden="0" customWidth="1"/>
    <x:col min="12" max="12" width="14" hidden="0" customWidth="1"/>
    <x:col min="13" max="13" width="13" hidden="0" customWidth="1"/>
    <x:col min="14" max="14" width="18" hidden="0" customWidth="1"/>
    <x:col min="15" max="15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3" t="str">
        <x:v>Hardware bill of materials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4" t="str">
        <x:v>Demand includes build hardware and explicit spares. Stock and open orders cover this plan only.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4" t="str">
        <x:v>Amber cells are editable. Grey cells contain formulas. All populated records are illustrative.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2" customHeight="1">
      <x:c r="A6" s="2" t="str">
        <x:v>Input issues</x:v>
      </x:c>
      <x:c r="B6" s="2" t="n">
        <x:f>COUNTIFS('Layout'!$A$8:$A$207,"&lt;&gt;",'Layout'!$N$8:$N$207,"&lt;&gt;OK")+COUNTIFS('Definitions'!$A$8:$A$207,"&lt;&gt;",'Definitions'!$K$8:$K$207,"&lt;&gt;OK")+COUNTIFS('Recipes'!$A$8:$A$207,"&lt;&gt;",'Recipes'!$G$8:$G$207,"&lt;&gt;OK")+COUNTIFS('Assets'!$A$8:$A$207,"&lt;&gt;",'Assets'!$K$8:$K$207,"&lt;&gt;OK")+COUNTIFS('Orders'!$A$8:$A$207,"&lt;&gt;",'Orders'!$L$8:$L$207,"&lt;&gt;OK")+COUNTIFS('Shipments'!$A$8:$A$207,"&lt;&gt;",'Shipments'!$P$8:$P$207,"&lt;&gt;OK")</x:f>
        <x:v>0</x:v>
      </x:c>
      <x:c r="C6" s="2"/>
      <x:c r="D6" s="2" t="str">
        <x:v>Review</x:v>
      </x:c>
      <x:c r="E6" s="14" t="str">
        <x:f>IF(B6=0,"No input issues flagged","Fix flagged input rows")</x:f>
        <x:v>No input issues flagged</x:v>
      </x:c>
      <x:c r="F6" s="14"/>
      <x:c r="G6" s="14"/>
      <x:c r="H6" s="14"/>
      <x:c r="I6" s="14"/>
      <x:c r="J6" s="2"/>
      <x:c r="K6" s="2"/>
      <x:c r="L6" s="2"/>
      <x:c r="M6" s="2"/>
      <x:c r="N6" s="2"/>
      <x:c r="O6" s="2"/>
    </x:row>
    <x:row r="7" ht="40" customHeight="1">
      <x:c r="A7" s="8" t="str">
        <x:v>Part ID</x:v>
      </x:c>
      <x:c r="B7" s="8" t="str">
        <x:v>Component</x:v>
      </x:c>
      <x:c r="C7" s="8" t="str">
        <x:v>UOM</x:v>
      </x:c>
      <x:c r="D7" s="8" t="str">
        <x:v>Build qty</x:v>
      </x:c>
      <x:c r="E7" s="8" t="str">
        <x:v>Spares qty</x:v>
      </x:c>
      <x:c r="F7" s="8" t="str">
        <x:v>Total required</x:v>
      </x:c>
      <x:c r="G7" s="8" t="str">
        <x:v>Stock covering plan</x:v>
      </x:c>
      <x:c r="H7" s="8" t="str">
        <x:v>Open purchase qty</x:v>
      </x:c>
      <x:c r="I7" s="8" t="str">
        <x:v>Inbound transit qty</x:v>
      </x:c>
      <x:c r="J7" s="8" t="str">
        <x:v>Shortage today</x:v>
      </x:c>
      <x:c r="K7" s="8" t="str">
        <x:v>Qty to buy</x:v>
      </x:c>
      <x:c r="L7" s="8" t="str">
        <x:v>Purchase pack</x:v>
      </x:c>
      <x:c r="M7" s="8" t="str">
        <x:v>Order packs</x:v>
      </x:c>
      <x:c r="N7" s="8" t="str">
        <x:v>Outbound dispatched</x:v>
      </x:c>
      <x:c r="O7" s="8" t="str">
        <x:v>Still to dispatch</x:v>
      </x:c>
    </x:row>
    <x:row r="8" ht="22" customHeight="1">
      <x:c r="A8" s="9" t="str">
        <x:f>IF(AND('Definitions'!A8&lt;&gt;"",'Definitions'!C8="Part"),'Definitions'!A8,"")</x:f>
      </x:c>
      <x:c r="B8" s="9" t="str">
        <x:f>IF(A8="","",'Definitions'!B8)</x:f>
      </x:c>
      <x:c r="C8" s="9" t="str">
        <x:f>IF(A8="","",'Definitions'!F8)</x:f>
      </x:c>
      <x:c r="D8" s="11" t="str">
        <x:f>IF(A8="","",SUMIFS('Layout'!$K$8:$K$207,'Layout'!$G$8:$G$207,A8,'Layout'!$L$8:$L$207,"Build"))</x:f>
      </x:c>
      <x:c r="E8" s="11" t="str">
        <x:f>IF(A8="","",SUMIFS('Layout'!$K$8:$K$207,'Layout'!$G$8:$G$207,A8,'Layout'!$L$8:$L$207,"Spares"))</x:f>
      </x:c>
      <x:c r="F8" s="11" t="str">
        <x:f>IF(A8="","",SUM(D8:E8))</x:f>
      </x:c>
      <x:c r="G8" s="11" t="str">
        <x:f>IF(A8="","",'Definitions'!I8+SUMIFS('Assets'!$J$8:$J$207,'Assets'!$B$8:$B$207,A8))</x:f>
      </x:c>
      <x:c r="H8" s="11" t="str">
        <x:f>IF(A8="","",SUMIFS('Orders'!$I$8:$I$207,'Orders'!$D$8:$D$207,A8))</x:f>
      </x:c>
      <x:c r="I8" s="11" t="str">
        <x:f>IF(A8="","",SUMIFS('Orders'!$J$8:$J$207,'Orders'!$D$8:$D$207,A8))</x:f>
      </x:c>
      <x:c r="J8" s="11" t="str">
        <x:f>IF(A8="","",MAX(0,F8-G8))</x:f>
      </x:c>
      <x:c r="K8" s="11" t="str">
        <x:f>IF(A8="","",MAX(0,F8-G8-H8))</x:f>
      </x:c>
      <x:c r="L8" s="11" t="str">
        <x:f>IF(A8="","",'Definitions'!H8)</x:f>
      </x:c>
      <x:c r="M8" s="11" t="str">
        <x:f>IF(A8="","",IF(AND(ISNUMBER(L8),L8&gt;0),ROUNDUP(K8/L8,0),"Set pack size"))</x:f>
      </x:c>
      <x:c r="N8" s="11" t="str">
        <x:f>IF(A8="","",SUMIFS('Shipments'!$H$8:$H$207,'Shipments'!$F$8:$F$207,A8,'Shipments'!$C$8:$C$207,"Outbound"))</x:f>
      </x:c>
      <x:c r="O8" s="11" t="str">
        <x:f>IF(A8="","",MAX(0,F8-N8))</x:f>
      </x:c>
    </x:row>
    <x:row r="9" ht="22" customHeight="1">
      <x:c r="A9" s="9" t="str">
        <x:f>IF(AND('Definitions'!A9&lt;&gt;"",'Definitions'!C9="Part"),'Definitions'!A9,"")</x:f>
        <x:v>P-SWITCH</x:v>
      </x:c>
      <x:c r="B9" s="9" t="str">
        <x:f>IF(A9="","",'Definitions'!B9)</x:f>
        <x:v>Switch</x:v>
      </x:c>
      <x:c r="C9" s="9" t="str">
        <x:f>IF(A9="","",'Definitions'!F9)</x:f>
        <x:v>each</x:v>
      </x:c>
      <x:c r="D9" s="11" t="n">
        <x:f>IF(A9="","",SUMIFS('Layout'!$K$8:$K$207,'Layout'!$G$8:$G$207,A9,'Layout'!$L$8:$L$207,"Build"))</x:f>
        <x:v>2</x:v>
      </x:c>
      <x:c r="E9" s="11" t="n">
        <x:f>IF(A9="","",SUMIFS('Layout'!$K$8:$K$207,'Layout'!$G$8:$G$207,A9,'Layout'!$L$8:$L$207,"Spares"))</x:f>
        <x:v>0</x:v>
      </x:c>
      <x:c r="F9" s="11" t="n">
        <x:f>IF(A9="","",SUM(D9:E9))</x:f>
        <x:v>2</x:v>
      </x:c>
      <x:c r="G9" s="11" t="n">
        <x:f>IF(A9="","",'Definitions'!I9+SUMIFS('Assets'!$J$8:$J$207,'Assets'!$B$8:$B$207,A9))</x:f>
        <x:v>0</x:v>
      </x:c>
      <x:c r="H9" s="11" t="n">
        <x:f>IF(A9="","",SUMIFS('Orders'!$I$8:$I$207,'Orders'!$D$8:$D$207,A9))</x:f>
        <x:v>0</x:v>
      </x:c>
      <x:c r="I9" s="11" t="n">
        <x:f>IF(A9="","",SUMIFS('Orders'!$J$8:$J$207,'Orders'!$D$8:$D$207,A9))</x:f>
        <x:v>0</x:v>
      </x:c>
      <x:c r="J9" s="11" t="n">
        <x:f>IF(A9="","",MAX(0,F9-G9))</x:f>
        <x:v>2</x:v>
      </x:c>
      <x:c r="K9" s="11" t="n">
        <x:f>IF(A9="","",MAX(0,F9-G9-H9))</x:f>
        <x:v>2</x:v>
      </x:c>
      <x:c r="L9" s="11" t="n">
        <x:f>IF(A9="","",'Definitions'!H9)</x:f>
        <x:v>1</x:v>
      </x:c>
      <x:c r="M9" s="11" t="n">
        <x:f>IF(A9="","",IF(AND(ISNUMBER(L9),L9&gt;0),ROUNDUP(K9/L9,0),"Set pack size"))</x:f>
        <x:v>2</x:v>
      </x:c>
      <x:c r="N9" s="11" t="n">
        <x:f>IF(A9="","",SUMIFS('Shipments'!$H$8:$H$207,'Shipments'!$F$8:$F$207,A9,'Shipments'!$C$8:$C$207,"Outbound"))</x:f>
        <x:v>0</x:v>
      </x:c>
      <x:c r="O9" s="11" t="n">
        <x:f>IF(A9="","",MAX(0,F9-N9))</x:f>
        <x:v>2</x:v>
      </x:c>
    </x:row>
    <x:row r="10" ht="22" customHeight="1">
      <x:c r="A10" s="9" t="str">
        <x:f>IF(AND('Definitions'!A10&lt;&gt;"",'Definitions'!C10="Part"),'Definitions'!A10,"")</x:f>
      </x:c>
      <x:c r="B10" s="9" t="str">
        <x:f>IF(A10="","",'Definitions'!B10)</x:f>
      </x:c>
      <x:c r="C10" s="9" t="str">
        <x:f>IF(A10="","",'Definitions'!F10)</x:f>
      </x:c>
      <x:c r="D10" s="11" t="str">
        <x:f>IF(A10="","",SUMIFS('Layout'!$K$8:$K$207,'Layout'!$G$8:$G$207,A10,'Layout'!$L$8:$L$207,"Build"))</x:f>
      </x:c>
      <x:c r="E10" s="11" t="str">
        <x:f>IF(A10="","",SUMIFS('Layout'!$K$8:$K$207,'Layout'!$G$8:$G$207,A10,'Layout'!$L$8:$L$207,"Spares"))</x:f>
      </x:c>
      <x:c r="F10" s="11" t="str">
        <x:f>IF(A10="","",SUM(D10:E10))</x:f>
      </x:c>
      <x:c r="G10" s="11" t="str">
        <x:f>IF(A10="","",'Definitions'!I10+SUMIFS('Assets'!$J$8:$J$207,'Assets'!$B$8:$B$207,A10))</x:f>
      </x:c>
      <x:c r="H10" s="11" t="str">
        <x:f>IF(A10="","",SUMIFS('Orders'!$I$8:$I$207,'Orders'!$D$8:$D$207,A10))</x:f>
      </x:c>
      <x:c r="I10" s="11" t="str">
        <x:f>IF(A10="","",SUMIFS('Orders'!$J$8:$J$207,'Orders'!$D$8:$D$207,A10))</x:f>
      </x:c>
      <x:c r="J10" s="11" t="str">
        <x:f>IF(A10="","",MAX(0,F10-G10))</x:f>
      </x:c>
      <x:c r="K10" s="11" t="str">
        <x:f>IF(A10="","",MAX(0,F10-G10-H10))</x:f>
      </x:c>
      <x:c r="L10" s="11" t="str">
        <x:f>IF(A10="","",'Definitions'!H10)</x:f>
      </x:c>
      <x:c r="M10" s="11" t="str">
        <x:f>IF(A10="","",IF(AND(ISNUMBER(L10),L10&gt;0),ROUNDUP(K10/L10,0),"Set pack size"))</x:f>
      </x:c>
      <x:c r="N10" s="11" t="str">
        <x:f>IF(A10="","",SUMIFS('Shipments'!$H$8:$H$207,'Shipments'!$F$8:$F$207,A10,'Shipments'!$C$8:$C$207,"Outbound"))</x:f>
      </x:c>
      <x:c r="O10" s="11" t="str">
        <x:f>IF(A10="","",MAX(0,F10-N10))</x:f>
      </x:c>
    </x:row>
    <x:row r="11" ht="22" customHeight="1">
      <x:c r="A11" s="9" t="str">
        <x:f>IF(AND('Definitions'!A11&lt;&gt;"",'Definitions'!C11="Part"),'Definitions'!A11,"")</x:f>
        <x:v>P-OPTIC</x:v>
      </x:c>
      <x:c r="B11" s="9" t="str">
        <x:f>IF(A11="","",'Definitions'!B11)</x:f>
        <x:v>Transceiver</x:v>
      </x:c>
      <x:c r="C11" s="9" t="str">
        <x:f>IF(A11="","",'Definitions'!F11)</x:f>
        <x:v>each</x:v>
      </x:c>
      <x:c r="D11" s="11" t="n">
        <x:f>IF(A11="","",SUMIFS('Layout'!$K$8:$K$207,'Layout'!$G$8:$G$207,A11,'Layout'!$L$8:$L$207,"Build"))</x:f>
        <x:v>16</x:v>
      </x:c>
      <x:c r="E11" s="11" t="n">
        <x:f>IF(A11="","",SUMIFS('Layout'!$K$8:$K$207,'Layout'!$G$8:$G$207,A11,'Layout'!$L$8:$L$207,"Spares"))</x:f>
        <x:v>2</x:v>
      </x:c>
      <x:c r="F11" s="11" t="n">
        <x:f>IF(A11="","",SUM(D11:E11))</x:f>
        <x:v>18</x:v>
      </x:c>
      <x:c r="G11" s="11" t="n">
        <x:f>IF(A11="","",'Definitions'!I11+SUMIFS('Assets'!$J$8:$J$207,'Assets'!$B$8:$B$207,A11))</x:f>
        <x:v>1</x:v>
      </x:c>
      <x:c r="H11" s="11" t="n">
        <x:f>IF(A11="","",SUMIFS('Orders'!$I$8:$I$207,'Orders'!$D$8:$D$207,A11))</x:f>
        <x:v>20</x:v>
      </x:c>
      <x:c r="I11" s="11" t="n">
        <x:f>IF(A11="","",SUMIFS('Orders'!$J$8:$J$207,'Orders'!$D$8:$D$207,A11))</x:f>
        <x:v>6</x:v>
      </x:c>
      <x:c r="J11" s="11" t="n">
        <x:f>IF(A11="","",MAX(0,F11-G11))</x:f>
        <x:v>17</x:v>
      </x:c>
      <x:c r="K11" s="11" t="n">
        <x:f>IF(A11="","",MAX(0,F11-G11-H11))</x:f>
        <x:v>0</x:v>
      </x:c>
      <x:c r="L11" s="11" t="n">
        <x:f>IF(A11="","",'Definitions'!H11)</x:f>
        <x:v>1</x:v>
      </x:c>
      <x:c r="M11" s="11" t="n">
        <x:f>IF(A11="","",IF(AND(ISNUMBER(L11),L11&gt;0),ROUNDUP(K11/L11,0),"Set pack size"))</x:f>
        <x:v>0</x:v>
      </x:c>
      <x:c r="N11" s="11" t="n">
        <x:f>IF(A11="","",SUMIFS('Shipments'!$H$8:$H$207,'Shipments'!$F$8:$F$207,A11,'Shipments'!$C$8:$C$207,"Outbound"))</x:f>
        <x:v>0</x:v>
      </x:c>
      <x:c r="O11" s="11" t="n">
        <x:f>IF(A11="","",MAX(0,F11-N11))</x:f>
        <x:v>18</x:v>
      </x:c>
    </x:row>
    <x:row r="12" ht="22" customHeight="1">
      <x:c r="A12" s="9" t="str">
        <x:f>IF(AND('Definitions'!A12&lt;&gt;"",'Definitions'!C12="Part"),'Definitions'!A12,"")</x:f>
        <x:v>P-FIBRE</x:v>
      </x:c>
      <x:c r="B12" s="9" t="str">
        <x:f>IF(A12="","",'Definitions'!B12)</x:f>
        <x:v>Fibre patch lead</x:v>
      </x:c>
      <x:c r="C12" s="9" t="str">
        <x:f>IF(A12="","",'Definitions'!F12)</x:f>
        <x:v>each</x:v>
      </x:c>
      <x:c r="D12" s="11" t="n">
        <x:f>IF(A12="","",SUMIFS('Layout'!$K$8:$K$207,'Layout'!$G$8:$G$207,A12,'Layout'!$L$8:$L$207,"Build"))</x:f>
        <x:v>8</x:v>
      </x:c>
      <x:c r="E12" s="11" t="n">
        <x:f>IF(A12="","",SUMIFS('Layout'!$K$8:$K$207,'Layout'!$G$8:$G$207,A12,'Layout'!$L$8:$L$207,"Spares"))</x:f>
        <x:v>2</x:v>
      </x:c>
      <x:c r="F12" s="11" t="n">
        <x:f>IF(A12="","",SUM(D12:E12))</x:f>
        <x:v>10</x:v>
      </x:c>
      <x:c r="G12" s="11" t="n">
        <x:f>IF(A12="","",'Definitions'!I12+SUMIFS('Assets'!$J$8:$J$207,'Assets'!$B$8:$B$207,A12))</x:f>
        <x:v>0</x:v>
      </x:c>
      <x:c r="H12" s="11" t="n">
        <x:f>IF(A12="","",SUMIFS('Orders'!$I$8:$I$207,'Orders'!$D$8:$D$207,A12))</x:f>
        <x:v>10</x:v>
      </x:c>
      <x:c r="I12" s="11" t="n">
        <x:f>IF(A12="","",SUMIFS('Orders'!$J$8:$J$207,'Orders'!$D$8:$D$207,A12))</x:f>
        <x:v>0</x:v>
      </x:c>
      <x:c r="J12" s="11" t="n">
        <x:f>IF(A12="","",MAX(0,F12-G12))</x:f>
        <x:v>10</x:v>
      </x:c>
      <x:c r="K12" s="11" t="n">
        <x:f>IF(A12="","",MAX(0,F12-G12-H12))</x:f>
        <x:v>0</x:v>
      </x:c>
      <x:c r="L12" s="11" t="n">
        <x:f>IF(A12="","",'Definitions'!H12)</x:f>
        <x:v>1</x:v>
      </x:c>
      <x:c r="M12" s="11" t="n">
        <x:f>IF(A12="","",IF(AND(ISNUMBER(L12),L12&gt;0),ROUNDUP(K12/L12,0),"Set pack size"))</x:f>
        <x:v>0</x:v>
      </x:c>
      <x:c r="N12" s="11" t="n">
        <x:f>IF(A12="","",SUMIFS('Shipments'!$H$8:$H$207,'Shipments'!$F$8:$F$207,A12,'Shipments'!$C$8:$C$207,"Outbound"))</x:f>
        <x:v>0</x:v>
      </x:c>
      <x:c r="O12" s="11" t="n">
        <x:f>IF(A12="","",MAX(0,F12-N12))</x:f>
        <x:v>10</x:v>
      </x:c>
    </x:row>
    <x:row r="13" ht="22" customHeight="1">
      <x:c r="A13" s="9" t="str">
        <x:f>IF(AND('Definitions'!A13&lt;&gt;"",'Definitions'!C13="Part"),'Definitions'!A13,"")</x:f>
        <x:v>P-FHS</x:v>
      </x:c>
      <x:c r="B13" s="9" t="str">
        <x:f>IF(A13="","",'Definitions'!B13)</x:f>
        <x:v>FHS server</x:v>
      </x:c>
      <x:c r="C13" s="9" t="str">
        <x:f>IF(A13="","",'Definitions'!F13)</x:f>
        <x:v>each</x:v>
      </x:c>
      <x:c r="D13" s="11" t="n">
        <x:f>IF(A13="","",SUMIFS('Layout'!$K$8:$K$207,'Layout'!$G$8:$G$207,A13,'Layout'!$L$8:$L$207,"Build"))</x:f>
        <x:v>4</x:v>
      </x:c>
      <x:c r="E13" s="11" t="n">
        <x:f>IF(A13="","",SUMIFS('Layout'!$K$8:$K$207,'Layout'!$G$8:$G$207,A13,'Layout'!$L$8:$L$207,"Spares"))</x:f>
        <x:v>0</x:v>
      </x:c>
      <x:c r="F13" s="11" t="n">
        <x:f>IF(A13="","",SUM(D13:E13))</x:f>
        <x:v>4</x:v>
      </x:c>
      <x:c r="G13" s="11" t="n">
        <x:f>IF(A13="","",'Definitions'!I13+SUMIFS('Assets'!$J$8:$J$207,'Assets'!$B$8:$B$207,A13))</x:f>
        <x:v>1</x:v>
      </x:c>
      <x:c r="H13" s="11" t="n">
        <x:f>IF(A13="","",SUMIFS('Orders'!$I$8:$I$207,'Orders'!$D$8:$D$207,A13))</x:f>
        <x:v>0</x:v>
      </x:c>
      <x:c r="I13" s="11" t="n">
        <x:f>IF(A13="","",SUMIFS('Orders'!$J$8:$J$207,'Orders'!$D$8:$D$207,A13))</x:f>
        <x:v>0</x:v>
      </x:c>
      <x:c r="J13" s="11" t="n">
        <x:f>IF(A13="","",MAX(0,F13-G13))</x:f>
        <x:v>3</x:v>
      </x:c>
      <x:c r="K13" s="11" t="n">
        <x:f>IF(A13="","",MAX(0,F13-G13-H13))</x:f>
        <x:v>3</x:v>
      </x:c>
      <x:c r="L13" s="11" t="n">
        <x:f>IF(A13="","",'Definitions'!H13)</x:f>
        <x:v>1</x:v>
      </x:c>
      <x:c r="M13" s="11" t="n">
        <x:f>IF(A13="","",IF(AND(ISNUMBER(L13),L13&gt;0),ROUNDUP(K13/L13,0),"Set pack size"))</x:f>
        <x:v>3</x:v>
      </x:c>
      <x:c r="N13" s="11" t="n">
        <x:f>IF(A13="","",SUMIFS('Shipments'!$H$8:$H$207,'Shipments'!$F$8:$F$207,A13,'Shipments'!$C$8:$C$207,"Outbound"))</x:f>
        <x:v>0</x:v>
      </x:c>
      <x:c r="O13" s="11" t="n">
        <x:f>IF(A13="","",MAX(0,F13-N13))</x:f>
        <x:v>4</x:v>
      </x:c>
    </x:row>
    <x:row r="14" ht="22" customHeight="1">
      <x:c r="A14" s="9" t="str">
        <x:f>IF(AND('Definitions'!A14&lt;&gt;"",'Definitions'!C14="Part"),'Definitions'!A14,"")</x:f>
        <x:v>P-POWER</x:v>
      </x:c>
      <x:c r="B14" s="9" t="str">
        <x:f>IF(A14="","",'Definitions'!B14)</x:f>
        <x:v>Power lead</x:v>
      </x:c>
      <x:c r="C14" s="9" t="str">
        <x:f>IF(A14="","",'Definitions'!F14)</x:f>
        <x:v>each</x:v>
      </x:c>
      <x:c r="D14" s="11" t="n">
        <x:f>IF(A14="","",SUMIFS('Layout'!$K$8:$K$207,'Layout'!$G$8:$G$207,A14,'Layout'!$L$8:$L$207,"Build"))</x:f>
        <x:v>12</x:v>
      </x:c>
      <x:c r="E14" s="11" t="n">
        <x:f>IF(A14="","",SUMIFS('Layout'!$K$8:$K$207,'Layout'!$G$8:$G$207,A14,'Layout'!$L$8:$L$207,"Spares"))</x:f>
        <x:v>2</x:v>
      </x:c>
      <x:c r="F14" s="11" t="n">
        <x:f>IF(A14="","",SUM(D14:E14))</x:f>
        <x:v>14</x:v>
      </x:c>
      <x:c r="G14" s="11" t="n">
        <x:f>IF(A14="","",'Definitions'!I14+SUMIFS('Assets'!$J$8:$J$207,'Assets'!$B$8:$B$207,A14))</x:f>
        <x:v>0</x:v>
      </x:c>
      <x:c r="H14" s="11" t="n">
        <x:f>IF(A14="","",SUMIFS('Orders'!$I$8:$I$207,'Orders'!$D$8:$D$207,A14))</x:f>
        <x:v>0</x:v>
      </x:c>
      <x:c r="I14" s="11" t="n">
        <x:f>IF(A14="","",SUMIFS('Orders'!$J$8:$J$207,'Orders'!$D$8:$D$207,A14))</x:f>
        <x:v>0</x:v>
      </x:c>
      <x:c r="J14" s="11" t="n">
        <x:f>IF(A14="","",MAX(0,F14-G14))</x:f>
        <x:v>14</x:v>
      </x:c>
      <x:c r="K14" s="11" t="n">
        <x:f>IF(A14="","",MAX(0,F14-G14-H14))</x:f>
        <x:v>14</x:v>
      </x:c>
      <x:c r="L14" s="11" t="n">
        <x:f>IF(A14="","",'Definitions'!H14)</x:f>
        <x:v>1</x:v>
      </x:c>
      <x:c r="M14" s="11" t="n">
        <x:f>IF(A14="","",IF(AND(ISNUMBER(L14),L14&gt;0),ROUNDUP(K14/L14,0),"Set pack size"))</x:f>
        <x:v>14</x:v>
      </x:c>
      <x:c r="N14" s="11" t="n">
        <x:f>IF(A14="","",SUMIFS('Shipments'!$H$8:$H$207,'Shipments'!$F$8:$F$207,A14,'Shipments'!$C$8:$C$207,"Outbound"))</x:f>
        <x:v>0</x:v>
      </x:c>
      <x:c r="O14" s="11" t="n">
        <x:f>IF(A14="","",MAX(0,F14-N14))</x:f>
        <x:v>14</x:v>
      </x:c>
    </x:row>
    <x:row r="15" ht="22" customHeight="1">
      <x:c r="A15" s="9" t="str">
        <x:f>IF(AND('Definitions'!A15&lt;&gt;"",'Definitions'!C15="Part"),'Definitions'!A15,"")</x:f>
        <x:v>P-MESH</x:v>
      </x:c>
      <x:c r="B15" s="9" t="str">
        <x:f>IF(A15="","",'Definitions'!B15)</x:f>
        <x:v>Mesh box</x:v>
      </x:c>
      <x:c r="C15" s="9" t="str">
        <x:f>IF(A15="","",'Definitions'!F15)</x:f>
        <x:v>each</x:v>
      </x:c>
      <x:c r="D15" s="11" t="n">
        <x:f>IF(A15="","",SUMIFS('Layout'!$K$8:$K$207,'Layout'!$G$8:$G$207,A15,'Layout'!$L$8:$L$207,"Build"))</x:f>
        <x:v>1</x:v>
      </x:c>
      <x:c r="E15" s="11" t="n">
        <x:f>IF(A15="","",SUMIFS('Layout'!$K$8:$K$207,'Layout'!$G$8:$G$207,A15,'Layout'!$L$8:$L$207,"Spares"))</x:f>
        <x:v>0</x:v>
      </x:c>
      <x:c r="F15" s="11" t="n">
        <x:f>IF(A15="","",SUM(D15:E15))</x:f>
        <x:v>1</x:v>
      </x:c>
      <x:c r="G15" s="11" t="n">
        <x:f>IF(A15="","",'Definitions'!I15+SUMIFS('Assets'!$J$8:$J$207,'Assets'!$B$8:$B$207,A15))</x:f>
        <x:v>0</x:v>
      </x:c>
      <x:c r="H15" s="11" t="n">
        <x:f>IF(A15="","",SUMIFS('Orders'!$I$8:$I$207,'Orders'!$D$8:$D$207,A15))</x:f>
        <x:v>0</x:v>
      </x:c>
      <x:c r="I15" s="11" t="n">
        <x:f>IF(A15="","",SUMIFS('Orders'!$J$8:$J$207,'Orders'!$D$8:$D$207,A15))</x:f>
        <x:v>0</x:v>
      </x:c>
      <x:c r="J15" s="11" t="n">
        <x:f>IF(A15="","",MAX(0,F15-G15))</x:f>
        <x:v>1</x:v>
      </x:c>
      <x:c r="K15" s="11" t="n">
        <x:f>IF(A15="","",MAX(0,F15-G15-H15))</x:f>
        <x:v>1</x:v>
      </x:c>
      <x:c r="L15" s="11" t="n">
        <x:f>IF(A15="","",'Definitions'!H15)</x:f>
        <x:v>1</x:v>
      </x:c>
      <x:c r="M15" s="11" t="n">
        <x:f>IF(A15="","",IF(AND(ISNUMBER(L15),L15&gt;0),ROUNDUP(K15/L15,0),"Set pack size"))</x:f>
        <x:v>1</x:v>
      </x:c>
      <x:c r="N15" s="11" t="n">
        <x:f>IF(A15="","",SUMIFS('Shipments'!$H$8:$H$207,'Shipments'!$F$8:$F$207,A15,'Shipments'!$C$8:$C$207,"Outbound"))</x:f>
        <x:v>0</x:v>
      </x:c>
      <x:c r="O15" s="11" t="n">
        <x:f>IF(A15="","",MAX(0,F15-N15))</x:f>
        <x:v>1</x:v>
      </x:c>
    </x:row>
    <x:row r="16" ht="22" customHeight="1">
      <x:c r="A16" s="9" t="str">
        <x:f>IF(AND('Definitions'!A16&lt;&gt;"",'Definitions'!C16="Part"),'Definitions'!A16,"")</x:f>
        <x:v>P-RAILS</x:v>
      </x:c>
      <x:c r="B16" s="9" t="str">
        <x:f>IF(A16="","",'Definitions'!B16)</x:f>
        <x:v>Rack rail kit</x:v>
      </x:c>
      <x:c r="C16" s="9" t="str">
        <x:f>IF(A16="","",'Definitions'!F16)</x:f>
        <x:v>kit</x:v>
      </x:c>
      <x:c r="D16" s="11" t="n">
        <x:f>IF(A16="","",SUMIFS('Layout'!$K$8:$K$207,'Layout'!$G$8:$G$207,A16,'Layout'!$L$8:$L$207,"Build"))</x:f>
        <x:v>5</x:v>
      </x:c>
      <x:c r="E16" s="11" t="n">
        <x:f>IF(A16="","",SUMIFS('Layout'!$K$8:$K$207,'Layout'!$G$8:$G$207,A16,'Layout'!$L$8:$L$207,"Spares"))</x:f>
        <x:v>0</x:v>
      </x:c>
      <x:c r="F16" s="11" t="n">
        <x:f>IF(A16="","",SUM(D16:E16))</x:f>
        <x:v>5</x:v>
      </x:c>
      <x:c r="G16" s="11" t="n">
        <x:f>IF(A16="","",'Definitions'!I16+SUMIFS('Assets'!$J$8:$J$207,'Assets'!$B$8:$B$207,A16))</x:f>
        <x:v>0</x:v>
      </x:c>
      <x:c r="H16" s="11" t="n">
        <x:f>IF(A16="","",SUMIFS('Orders'!$I$8:$I$207,'Orders'!$D$8:$D$207,A16))</x:f>
        <x:v>0</x:v>
      </x:c>
      <x:c r="I16" s="11" t="n">
        <x:f>IF(A16="","",SUMIFS('Orders'!$J$8:$J$207,'Orders'!$D$8:$D$207,A16))</x:f>
        <x:v>0</x:v>
      </x:c>
      <x:c r="J16" s="11" t="n">
        <x:f>IF(A16="","",MAX(0,F16-G16))</x:f>
        <x:v>5</x:v>
      </x:c>
      <x:c r="K16" s="11" t="n">
        <x:f>IF(A16="","",MAX(0,F16-G16-H16))</x:f>
        <x:v>5</x:v>
      </x:c>
      <x:c r="L16" s="11" t="n">
        <x:f>IF(A16="","",'Definitions'!H16)</x:f>
        <x:v>1</x:v>
      </x:c>
      <x:c r="M16" s="11" t="n">
        <x:f>IF(A16="","",IF(AND(ISNUMBER(L16),L16&gt;0),ROUNDUP(K16/L16,0),"Set pack size"))</x:f>
        <x:v>5</x:v>
      </x:c>
      <x:c r="N16" s="11" t="n">
        <x:f>IF(A16="","",SUMIFS('Shipments'!$H$8:$H$207,'Shipments'!$F$8:$F$207,A16,'Shipments'!$C$8:$C$207,"Outbound"))</x:f>
        <x:v>0</x:v>
      </x:c>
      <x:c r="O16" s="11" t="n">
        <x:f>IF(A16="","",MAX(0,F16-N16))</x:f>
        <x:v>5</x:v>
      </x:c>
    </x:row>
    <x:row r="17" ht="22" customHeight="1">
      <x:c r="A17" s="9" t="str">
        <x:f>IF(AND('Definitions'!A17&lt;&gt;"",'Definitions'!C17="Part"),'Definitions'!A17,"")</x:f>
        <x:v>P-RACK</x:v>
      </x:c>
      <x:c r="B17" s="9" t="str">
        <x:f>IF(A17="","",'Definitions'!B17)</x:f>
        <x:v>Rack</x:v>
      </x:c>
      <x:c r="C17" s="9" t="str">
        <x:f>IF(A17="","",'Definitions'!F17)</x:f>
        <x:v>each</x:v>
      </x:c>
      <x:c r="D17" s="11" t="n">
        <x:f>IF(A17="","",SUMIFS('Layout'!$K$8:$K$207,'Layout'!$G$8:$G$207,A17,'Layout'!$L$8:$L$207,"Build"))</x:f>
        <x:v>1</x:v>
      </x:c>
      <x:c r="E17" s="11" t="n">
        <x:f>IF(A17="","",SUMIFS('Layout'!$K$8:$K$207,'Layout'!$G$8:$G$207,A17,'Layout'!$L$8:$L$207,"Spares"))</x:f>
        <x:v>0</x:v>
      </x:c>
      <x:c r="F17" s="11" t="n">
        <x:f>IF(A17="","",SUM(D17:E17))</x:f>
        <x:v>1</x:v>
      </x:c>
      <x:c r="G17" s="11" t="n">
        <x:f>IF(A17="","",'Definitions'!I17+SUMIFS('Assets'!$J$8:$J$207,'Assets'!$B$8:$B$207,A17))</x:f>
        <x:v>0</x:v>
      </x:c>
      <x:c r="H17" s="11" t="n">
        <x:f>IF(A17="","",SUMIFS('Orders'!$I$8:$I$207,'Orders'!$D$8:$D$207,A17))</x:f>
        <x:v>0</x:v>
      </x:c>
      <x:c r="I17" s="11" t="n">
        <x:f>IF(A17="","",SUMIFS('Orders'!$J$8:$J$207,'Orders'!$D$8:$D$207,A17))</x:f>
        <x:v>0</x:v>
      </x:c>
      <x:c r="J17" s="11" t="n">
        <x:f>IF(A17="","",MAX(0,F17-G17))</x:f>
        <x:v>1</x:v>
      </x:c>
      <x:c r="K17" s="11" t="n">
        <x:f>IF(A17="","",MAX(0,F17-G17-H17))</x:f>
        <x:v>1</x:v>
      </x:c>
      <x:c r="L17" s="11" t="n">
        <x:f>IF(A17="","",'Definitions'!H17)</x:f>
        <x:v>1</x:v>
      </x:c>
      <x:c r="M17" s="11" t="n">
        <x:f>IF(A17="","",IF(AND(ISNUMBER(L17),L17&gt;0),ROUNDUP(K17/L17,0),"Set pack size"))</x:f>
        <x:v>1</x:v>
      </x:c>
      <x:c r="N17" s="11" t="n">
        <x:f>IF(A17="","",SUMIFS('Shipments'!$H$8:$H$207,'Shipments'!$F$8:$F$207,A17,'Shipments'!$C$8:$C$207,"Outbound"))</x:f>
        <x:v>0</x:v>
      </x:c>
      <x:c r="O17" s="11" t="n">
        <x:f>IF(A17="","",MAX(0,F17-N17))</x:f>
        <x:v>1</x:v>
      </x:c>
    </x:row>
    <x:row r="18" ht="22" customHeight="1">
      <x:c r="A18" s="9" t="str">
        <x:f>IF(AND('Definitions'!A18&lt;&gt;"",'Definitions'!C18="Part"),'Definitions'!A18,"")</x:f>
        <x:v>P-PDU</x:v>
      </x:c>
      <x:c r="B18" s="9" t="str">
        <x:f>IF(A18="","",'Definitions'!B18)</x:f>
        <x:v>PDU</x:v>
      </x:c>
      <x:c r="C18" s="9" t="str">
        <x:f>IF(A18="","",'Definitions'!F18)</x:f>
        <x:v>each</x:v>
      </x:c>
      <x:c r="D18" s="11" t="n">
        <x:f>IF(A18="","",SUMIFS('Layout'!$K$8:$K$207,'Layout'!$G$8:$G$207,A18,'Layout'!$L$8:$L$207,"Build"))</x:f>
        <x:v>2</x:v>
      </x:c>
      <x:c r="E18" s="11" t="n">
        <x:f>IF(A18="","",SUMIFS('Layout'!$K$8:$K$207,'Layout'!$G$8:$G$207,A18,'Layout'!$L$8:$L$207,"Spares"))</x:f>
        <x:v>0</x:v>
      </x:c>
      <x:c r="F18" s="11" t="n">
        <x:f>IF(A18="","",SUM(D18:E18))</x:f>
        <x:v>2</x:v>
      </x:c>
      <x:c r="G18" s="11" t="n">
        <x:f>IF(A18="","",'Definitions'!I18+SUMIFS('Assets'!$J$8:$J$207,'Assets'!$B$8:$B$207,A18))</x:f>
        <x:v>0</x:v>
      </x:c>
      <x:c r="H18" s="11" t="n">
        <x:f>IF(A18="","",SUMIFS('Orders'!$I$8:$I$207,'Orders'!$D$8:$D$207,A18))</x:f>
        <x:v>0</x:v>
      </x:c>
      <x:c r="I18" s="11" t="n">
        <x:f>IF(A18="","",SUMIFS('Orders'!$J$8:$J$207,'Orders'!$D$8:$D$207,A18))</x:f>
        <x:v>0</x:v>
      </x:c>
      <x:c r="J18" s="11" t="n">
        <x:f>IF(A18="","",MAX(0,F18-G18))</x:f>
        <x:v>2</x:v>
      </x:c>
      <x:c r="K18" s="11" t="n">
        <x:f>IF(A18="","",MAX(0,F18-G18-H18))</x:f>
        <x:v>2</x:v>
      </x:c>
      <x:c r="L18" s="11" t="n">
        <x:f>IF(A18="","",'Definitions'!H18)</x:f>
        <x:v>1</x:v>
      </x:c>
      <x:c r="M18" s="11" t="n">
        <x:f>IF(A18="","",IF(AND(ISNUMBER(L18),L18&gt;0),ROUNDUP(K18/L18,0),"Set pack size"))</x:f>
        <x:v>2</x:v>
      </x:c>
      <x:c r="N18" s="11" t="n">
        <x:f>IF(A18="","",SUMIFS('Shipments'!$H$8:$H$207,'Shipments'!$F$8:$F$207,A18,'Shipments'!$C$8:$C$207,"Outbound"))</x:f>
        <x:v>0</x:v>
      </x:c>
      <x:c r="O18" s="11" t="n">
        <x:f>IF(A18="","",MAX(0,F18-N18))</x:f>
        <x:v>2</x:v>
      </x:c>
    </x:row>
    <x:row r="19" ht="22" customHeight="1">
      <x:c r="A19" s="9" t="str">
        <x:f>IF(AND('Definitions'!A19&lt;&gt;"",'Definitions'!C19="Part"),'Definitions'!A19,"")</x:f>
        <x:v>P-MGMT</x:v>
      </x:c>
      <x:c r="B19" s="9" t="str">
        <x:f>IF(A19="","",'Definitions'!B19)</x:f>
        <x:v>Cable management kit</x:v>
      </x:c>
      <x:c r="C19" s="9" t="str">
        <x:f>IF(A19="","",'Definitions'!F19)</x:f>
        <x:v>kit</x:v>
      </x:c>
      <x:c r="D19" s="11" t="n">
        <x:f>IF(A19="","",SUMIFS('Layout'!$K$8:$K$207,'Layout'!$G$8:$G$207,A19,'Layout'!$L$8:$L$207,"Build"))</x:f>
        <x:v>2</x:v>
      </x:c>
      <x:c r="E19" s="11" t="n">
        <x:f>IF(A19="","",SUMIFS('Layout'!$K$8:$K$207,'Layout'!$G$8:$G$207,A19,'Layout'!$L$8:$L$207,"Spares"))</x:f>
        <x:v>0</x:v>
      </x:c>
      <x:c r="F19" s="11" t="n">
        <x:f>IF(A19="","",SUM(D19:E19))</x:f>
        <x:v>2</x:v>
      </x:c>
      <x:c r="G19" s="11" t="n">
        <x:f>IF(A19="","",'Definitions'!I19+SUMIFS('Assets'!$J$8:$J$207,'Assets'!$B$8:$B$207,A19))</x:f>
        <x:v>0</x:v>
      </x:c>
      <x:c r="H19" s="11" t="n">
        <x:f>IF(A19="","",SUMIFS('Orders'!$I$8:$I$207,'Orders'!$D$8:$D$207,A19))</x:f>
        <x:v>0</x:v>
      </x:c>
      <x:c r="I19" s="11" t="n">
        <x:f>IF(A19="","",SUMIFS('Orders'!$J$8:$J$207,'Orders'!$D$8:$D$207,A19))</x:f>
        <x:v>0</x:v>
      </x:c>
      <x:c r="J19" s="11" t="n">
        <x:f>IF(A19="","",MAX(0,F19-G19))</x:f>
        <x:v>2</x:v>
      </x:c>
      <x:c r="K19" s="11" t="n">
        <x:f>IF(A19="","",MAX(0,F19-G19-H19))</x:f>
        <x:v>2</x:v>
      </x:c>
      <x:c r="L19" s="11" t="n">
        <x:f>IF(A19="","",'Definitions'!H19)</x:f>
        <x:v>1</x:v>
      </x:c>
      <x:c r="M19" s="11" t="n">
        <x:f>IF(A19="","",IF(AND(ISNUMBER(L19),L19&gt;0),ROUNDUP(K19/L19,0),"Set pack size"))</x:f>
        <x:v>2</x:v>
      </x:c>
      <x:c r="N19" s="11" t="n">
        <x:f>IF(A19="","",SUMIFS('Shipments'!$H$8:$H$207,'Shipments'!$F$8:$F$207,A19,'Shipments'!$C$8:$C$207,"Outbound"))</x:f>
        <x:v>0</x:v>
      </x:c>
      <x:c r="O19" s="11" t="n">
        <x:f>IF(A19="","",MAX(0,F19-N19))</x:f>
        <x:v>2</x:v>
      </x:c>
    </x:row>
    <x:row r="20" ht="22" customHeight="1">
      <x:c r="A20" s="9" t="str">
        <x:f>IF(AND('Definitions'!A20&lt;&gt;"",'Definitions'!C20="Part"),'Definitions'!A20,"")</x:f>
        <x:v>P-GROUND</x:v>
      </x:c>
      <x:c r="B20" s="9" t="str">
        <x:f>IF(A20="","",'Definitions'!B20)</x:f>
        <x:v>Grounding kit</x:v>
      </x:c>
      <x:c r="C20" s="9" t="str">
        <x:f>IF(A20="","",'Definitions'!F20)</x:f>
        <x:v>kit</x:v>
      </x:c>
      <x:c r="D20" s="11" t="n">
        <x:f>IF(A20="","",SUMIFS('Layout'!$K$8:$K$207,'Layout'!$G$8:$G$207,A20,'Layout'!$L$8:$L$207,"Build"))</x:f>
        <x:v>1</x:v>
      </x:c>
      <x:c r="E20" s="11" t="n">
        <x:f>IF(A20="","",SUMIFS('Layout'!$K$8:$K$207,'Layout'!$G$8:$G$207,A20,'Layout'!$L$8:$L$207,"Spares"))</x:f>
        <x:v>0</x:v>
      </x:c>
      <x:c r="F20" s="11" t="n">
        <x:f>IF(A20="","",SUM(D20:E20))</x:f>
        <x:v>1</x:v>
      </x:c>
      <x:c r="G20" s="11" t="n">
        <x:f>IF(A20="","",'Definitions'!I20+SUMIFS('Assets'!$J$8:$J$207,'Assets'!$B$8:$B$207,A20))</x:f>
        <x:v>0</x:v>
      </x:c>
      <x:c r="H20" s="11" t="n">
        <x:f>IF(A20="","",SUMIFS('Orders'!$I$8:$I$207,'Orders'!$D$8:$D$207,A20))</x:f>
        <x:v>0</x:v>
      </x:c>
      <x:c r="I20" s="11" t="n">
        <x:f>IF(A20="","",SUMIFS('Orders'!$J$8:$J$207,'Orders'!$D$8:$D$207,A20))</x:f>
        <x:v>0</x:v>
      </x:c>
      <x:c r="J20" s="11" t="n">
        <x:f>IF(A20="","",MAX(0,F20-G20))</x:f>
        <x:v>1</x:v>
      </x:c>
      <x:c r="K20" s="11" t="n">
        <x:f>IF(A20="","",MAX(0,F20-G20-H20))</x:f>
        <x:v>1</x:v>
      </x:c>
      <x:c r="L20" s="11" t="n">
        <x:f>IF(A20="","",'Definitions'!H20)</x:f>
        <x:v>1</x:v>
      </x:c>
      <x:c r="M20" s="11" t="n">
        <x:f>IF(A20="","",IF(AND(ISNUMBER(L20),L20&gt;0),ROUNDUP(K20/L20,0),"Set pack size"))</x:f>
        <x:v>1</x:v>
      </x:c>
      <x:c r="N20" s="11" t="n">
        <x:f>IF(A20="","",SUMIFS('Shipments'!$H$8:$H$207,'Shipments'!$F$8:$F$207,A20,'Shipments'!$C$8:$C$207,"Outbound"))</x:f>
        <x:v>0</x:v>
      </x:c>
      <x:c r="O20" s="11" t="n">
        <x:f>IF(A20="","",MAX(0,F20-N20))</x:f>
        <x:v>1</x:v>
      </x:c>
    </x:row>
    <x:row r="21" ht="22" customHeight="1">
      <x:c r="A21" s="9" t="str">
        <x:f>IF(AND('Definitions'!A21&lt;&gt;"",'Definitions'!C21="Part"),'Definitions'!A21,"")</x:f>
      </x:c>
      <x:c r="B21" s="9" t="str">
        <x:f>IF(A21="","",'Definitions'!B21)</x:f>
      </x:c>
      <x:c r="C21" s="9" t="str">
        <x:f>IF(A21="","",'Definitions'!F21)</x:f>
      </x:c>
      <x:c r="D21" s="11" t="str">
        <x:f>IF(A21="","",SUMIFS('Layout'!$K$8:$K$207,'Layout'!$G$8:$G$207,A21,'Layout'!$L$8:$L$207,"Build"))</x:f>
      </x:c>
      <x:c r="E21" s="11" t="str">
        <x:f>IF(A21="","",SUMIFS('Layout'!$K$8:$K$207,'Layout'!$G$8:$G$207,A21,'Layout'!$L$8:$L$207,"Spares"))</x:f>
      </x:c>
      <x:c r="F21" s="11" t="str">
        <x:f>IF(A21="","",SUM(D21:E21))</x:f>
      </x:c>
      <x:c r="G21" s="11" t="str">
        <x:f>IF(A21="","",'Definitions'!I21+SUMIFS('Assets'!$J$8:$J$207,'Assets'!$B$8:$B$207,A21))</x:f>
      </x:c>
      <x:c r="H21" s="11" t="str">
        <x:f>IF(A21="","",SUMIFS('Orders'!$I$8:$I$207,'Orders'!$D$8:$D$207,A21))</x:f>
      </x:c>
      <x:c r="I21" s="11" t="str">
        <x:f>IF(A21="","",SUMIFS('Orders'!$J$8:$J$207,'Orders'!$D$8:$D$207,A21))</x:f>
      </x:c>
      <x:c r="J21" s="11" t="str">
        <x:f>IF(A21="","",MAX(0,F21-G21))</x:f>
      </x:c>
      <x:c r="K21" s="11" t="str">
        <x:f>IF(A21="","",MAX(0,F21-G21-H21))</x:f>
      </x:c>
      <x:c r="L21" s="11" t="str">
        <x:f>IF(A21="","",'Definitions'!H21)</x:f>
      </x:c>
      <x:c r="M21" s="11" t="str">
        <x:f>IF(A21="","",IF(AND(ISNUMBER(L21),L21&gt;0),ROUNDUP(K21/L21,0),"Set pack size"))</x:f>
      </x:c>
      <x:c r="N21" s="11" t="str">
        <x:f>IF(A21="","",SUMIFS('Shipments'!$H$8:$H$207,'Shipments'!$F$8:$F$207,A21,'Shipments'!$C$8:$C$207,"Outbound"))</x:f>
      </x:c>
      <x:c r="O21" s="11" t="str">
        <x:f>IF(A21="","",MAX(0,F21-N21))</x:f>
      </x:c>
    </x:row>
    <x:row r="22" ht="22" customHeight="1">
      <x:c r="A22" s="9" t="str">
        <x:f>IF(AND('Definitions'!A22&lt;&gt;"",'Definitions'!C22="Part"),'Definitions'!A22,"")</x:f>
        <x:v>P-LABEL</x:v>
      </x:c>
      <x:c r="B22" s="9" t="str">
        <x:f>IF(A22="","",'Definitions'!B22)</x:f>
        <x:v>Label pack</x:v>
      </x:c>
      <x:c r="C22" s="9" t="str">
        <x:f>IF(A22="","",'Definitions'!F22)</x:f>
        <x:v>pack</x:v>
      </x:c>
      <x:c r="D22" s="11" t="n">
        <x:f>IF(A22="","",SUMIFS('Layout'!$K$8:$K$207,'Layout'!$G$8:$G$207,A22,'Layout'!$L$8:$L$207,"Build"))</x:f>
        <x:v>1</x:v>
      </x:c>
      <x:c r="E22" s="11" t="n">
        <x:f>IF(A22="","",SUMIFS('Layout'!$K$8:$K$207,'Layout'!$G$8:$G$207,A22,'Layout'!$L$8:$L$207,"Spares"))</x:f>
        <x:v>0</x:v>
      </x:c>
      <x:c r="F22" s="11" t="n">
        <x:f>IF(A22="","",SUM(D22:E22))</x:f>
        <x:v>1</x:v>
      </x:c>
      <x:c r="G22" s="11" t="n">
        <x:f>IF(A22="","",'Definitions'!I22+SUMIFS('Assets'!$J$8:$J$207,'Assets'!$B$8:$B$207,A22))</x:f>
        <x:v>0</x:v>
      </x:c>
      <x:c r="H22" s="11" t="n">
        <x:f>IF(A22="","",SUMIFS('Orders'!$I$8:$I$207,'Orders'!$D$8:$D$207,A22))</x:f>
        <x:v>0</x:v>
      </x:c>
      <x:c r="I22" s="11" t="n">
        <x:f>IF(A22="","",SUMIFS('Orders'!$J$8:$J$207,'Orders'!$D$8:$D$207,A22))</x:f>
        <x:v>0</x:v>
      </x:c>
      <x:c r="J22" s="11" t="n">
        <x:f>IF(A22="","",MAX(0,F22-G22))</x:f>
        <x:v>1</x:v>
      </x:c>
      <x:c r="K22" s="11" t="n">
        <x:f>IF(A22="","",MAX(0,F22-G22-H22))</x:f>
        <x:v>1</x:v>
      </x:c>
      <x:c r="L22" s="11" t="n">
        <x:f>IF(A22="","",'Definitions'!H22)</x:f>
        <x:v>1</x:v>
      </x:c>
      <x:c r="M22" s="11" t="n">
        <x:f>IF(A22="","",IF(AND(ISNUMBER(L22),L22&gt;0),ROUNDUP(K22/L22,0),"Set pack size"))</x:f>
        <x:v>1</x:v>
      </x:c>
      <x:c r="N22" s="11" t="n">
        <x:f>IF(A22="","",SUMIFS('Shipments'!$H$8:$H$207,'Shipments'!$F$8:$F$207,A22,'Shipments'!$C$8:$C$207,"Outbound"))</x:f>
        <x:v>0</x:v>
      </x:c>
      <x:c r="O22" s="11" t="n">
        <x:f>IF(A22="","",MAX(0,F22-N22))</x:f>
        <x:v>1</x:v>
      </x:c>
    </x:row>
    <x:row r="23" ht="22" customHeight="1">
      <x:c r="A23" s="9" t="str">
        <x:f>IF(AND('Definitions'!A23&lt;&gt;"",'Definitions'!C23="Part"),'Definitions'!A23,"")</x:f>
      </x:c>
      <x:c r="B23" s="9" t="str">
        <x:f>IF(A23="","",'Definitions'!B23)</x:f>
      </x:c>
      <x:c r="C23" s="9" t="str">
        <x:f>IF(A23="","",'Definitions'!F23)</x:f>
      </x:c>
      <x:c r="D23" s="11" t="str">
        <x:f>IF(A23="","",SUMIFS('Layout'!$K$8:$K$207,'Layout'!$G$8:$G$207,A23,'Layout'!$L$8:$L$207,"Build"))</x:f>
      </x:c>
      <x:c r="E23" s="11" t="str">
        <x:f>IF(A23="","",SUMIFS('Layout'!$K$8:$K$207,'Layout'!$G$8:$G$207,A23,'Layout'!$L$8:$L$207,"Spares"))</x:f>
      </x:c>
      <x:c r="F23" s="11" t="str">
        <x:f>IF(A23="","",SUM(D23:E23))</x:f>
      </x:c>
      <x:c r="G23" s="11" t="str">
        <x:f>IF(A23="","",'Definitions'!I23+SUMIFS('Assets'!$J$8:$J$207,'Assets'!$B$8:$B$207,A23))</x:f>
      </x:c>
      <x:c r="H23" s="11" t="str">
        <x:f>IF(A23="","",SUMIFS('Orders'!$I$8:$I$207,'Orders'!$D$8:$D$207,A23))</x:f>
      </x:c>
      <x:c r="I23" s="11" t="str">
        <x:f>IF(A23="","",SUMIFS('Orders'!$J$8:$J$207,'Orders'!$D$8:$D$207,A23))</x:f>
      </x:c>
      <x:c r="J23" s="11" t="str">
        <x:f>IF(A23="","",MAX(0,F23-G23))</x:f>
      </x:c>
      <x:c r="K23" s="11" t="str">
        <x:f>IF(A23="","",MAX(0,F23-G23-H23))</x:f>
      </x:c>
      <x:c r="L23" s="11" t="str">
        <x:f>IF(A23="","",'Definitions'!H23)</x:f>
      </x:c>
      <x:c r="M23" s="11" t="str">
        <x:f>IF(A23="","",IF(AND(ISNUMBER(L23),L23&gt;0),ROUNDUP(K23/L23,0),"Set pack size"))</x:f>
      </x:c>
      <x:c r="N23" s="11" t="str">
        <x:f>IF(A23="","",SUMIFS('Shipments'!$H$8:$H$207,'Shipments'!$F$8:$F$207,A23,'Shipments'!$C$8:$C$207,"Outbound"))</x:f>
      </x:c>
      <x:c r="O23" s="11" t="str">
        <x:f>IF(A23="","",MAX(0,F23-N23))</x:f>
      </x:c>
    </x:row>
    <x:row r="24" ht="22" customHeight="1">
      <x:c r="A24" s="9" t="str">
        <x:f>IF(AND('Definitions'!A24&lt;&gt;"",'Definitions'!C24="Part"),'Definitions'!A24,"")</x:f>
      </x:c>
      <x:c r="B24" s="9" t="str">
        <x:f>IF(A24="","",'Definitions'!B24)</x:f>
      </x:c>
      <x:c r="C24" s="9" t="str">
        <x:f>IF(A24="","",'Definitions'!F24)</x:f>
      </x:c>
      <x:c r="D24" s="11" t="str">
        <x:f>IF(A24="","",SUMIFS('Layout'!$K$8:$K$207,'Layout'!$G$8:$G$207,A24,'Layout'!$L$8:$L$207,"Build"))</x:f>
      </x:c>
      <x:c r="E24" s="11" t="str">
        <x:f>IF(A24="","",SUMIFS('Layout'!$K$8:$K$207,'Layout'!$G$8:$G$207,A24,'Layout'!$L$8:$L$207,"Spares"))</x:f>
      </x:c>
      <x:c r="F24" s="11" t="str">
        <x:f>IF(A24="","",SUM(D24:E24))</x:f>
      </x:c>
      <x:c r="G24" s="11" t="str">
        <x:f>IF(A24="","",'Definitions'!I24+SUMIFS('Assets'!$J$8:$J$207,'Assets'!$B$8:$B$207,A24))</x:f>
      </x:c>
      <x:c r="H24" s="11" t="str">
        <x:f>IF(A24="","",SUMIFS('Orders'!$I$8:$I$207,'Orders'!$D$8:$D$207,A24))</x:f>
      </x:c>
      <x:c r="I24" s="11" t="str">
        <x:f>IF(A24="","",SUMIFS('Orders'!$J$8:$J$207,'Orders'!$D$8:$D$207,A24))</x:f>
      </x:c>
      <x:c r="J24" s="11" t="str">
        <x:f>IF(A24="","",MAX(0,F24-G24))</x:f>
      </x:c>
      <x:c r="K24" s="11" t="str">
        <x:f>IF(A24="","",MAX(0,F24-G24-H24))</x:f>
      </x:c>
      <x:c r="L24" s="11" t="str">
        <x:f>IF(A24="","",'Definitions'!H24)</x:f>
      </x:c>
      <x:c r="M24" s="11" t="str">
        <x:f>IF(A24="","",IF(AND(ISNUMBER(L24),L24&gt;0),ROUNDUP(K24/L24,0),"Set pack size"))</x:f>
      </x:c>
      <x:c r="N24" s="11" t="str">
        <x:f>IF(A24="","",SUMIFS('Shipments'!$H$8:$H$207,'Shipments'!$F$8:$F$207,A24,'Shipments'!$C$8:$C$207,"Outbound"))</x:f>
      </x:c>
      <x:c r="O24" s="11" t="str">
        <x:f>IF(A24="","",MAX(0,F24-N24))</x:f>
      </x:c>
    </x:row>
    <x:row r="25" ht="22" customHeight="1">
      <x:c r="A25" s="9" t="str">
        <x:f>IF(AND('Definitions'!A25&lt;&gt;"",'Definitions'!C25="Part"),'Definitions'!A25,"")</x:f>
      </x:c>
      <x:c r="B25" s="9" t="str">
        <x:f>IF(A25="","",'Definitions'!B25)</x:f>
      </x:c>
      <x:c r="C25" s="9" t="str">
        <x:f>IF(A25="","",'Definitions'!F25)</x:f>
      </x:c>
      <x:c r="D25" s="11" t="str">
        <x:f>IF(A25="","",SUMIFS('Layout'!$K$8:$K$207,'Layout'!$G$8:$G$207,A25,'Layout'!$L$8:$L$207,"Build"))</x:f>
      </x:c>
      <x:c r="E25" s="11" t="str">
        <x:f>IF(A25="","",SUMIFS('Layout'!$K$8:$K$207,'Layout'!$G$8:$G$207,A25,'Layout'!$L$8:$L$207,"Spares"))</x:f>
      </x:c>
      <x:c r="F25" s="11" t="str">
        <x:f>IF(A25="","",SUM(D25:E25))</x:f>
      </x:c>
      <x:c r="G25" s="11" t="str">
        <x:f>IF(A25="","",'Definitions'!I25+SUMIFS('Assets'!$J$8:$J$207,'Assets'!$B$8:$B$207,A25))</x:f>
      </x:c>
      <x:c r="H25" s="11" t="str">
        <x:f>IF(A25="","",SUMIFS('Orders'!$I$8:$I$207,'Orders'!$D$8:$D$207,A25))</x:f>
      </x:c>
      <x:c r="I25" s="11" t="str">
        <x:f>IF(A25="","",SUMIFS('Orders'!$J$8:$J$207,'Orders'!$D$8:$D$207,A25))</x:f>
      </x:c>
      <x:c r="J25" s="11" t="str">
        <x:f>IF(A25="","",MAX(0,F25-G25))</x:f>
      </x:c>
      <x:c r="K25" s="11" t="str">
        <x:f>IF(A25="","",MAX(0,F25-G25-H25))</x:f>
      </x:c>
      <x:c r="L25" s="11" t="str">
        <x:f>IF(A25="","",'Definitions'!H25)</x:f>
      </x:c>
      <x:c r="M25" s="11" t="str">
        <x:f>IF(A25="","",IF(AND(ISNUMBER(L25),L25&gt;0),ROUNDUP(K25/L25,0),"Set pack size"))</x:f>
      </x:c>
      <x:c r="N25" s="11" t="str">
        <x:f>IF(A25="","",SUMIFS('Shipments'!$H$8:$H$207,'Shipments'!$F$8:$F$207,A25,'Shipments'!$C$8:$C$207,"Outbound"))</x:f>
      </x:c>
      <x:c r="O25" s="11" t="str">
        <x:f>IF(A25="","",MAX(0,F25-N25))</x:f>
      </x:c>
    </x:row>
    <x:row r="26" ht="22" customHeight="1">
      <x:c r="A26" s="9" t="str">
        <x:f>IF(AND('Definitions'!A26&lt;&gt;"",'Definitions'!C26="Part"),'Definitions'!A26,"")</x:f>
      </x:c>
      <x:c r="B26" s="9" t="str">
        <x:f>IF(A26="","",'Definitions'!B26)</x:f>
      </x:c>
      <x:c r="C26" s="9" t="str">
        <x:f>IF(A26="","",'Definitions'!F26)</x:f>
      </x:c>
      <x:c r="D26" s="11" t="str">
        <x:f>IF(A26="","",SUMIFS('Layout'!$K$8:$K$207,'Layout'!$G$8:$G$207,A26,'Layout'!$L$8:$L$207,"Build"))</x:f>
      </x:c>
      <x:c r="E26" s="11" t="str">
        <x:f>IF(A26="","",SUMIFS('Layout'!$K$8:$K$207,'Layout'!$G$8:$G$207,A26,'Layout'!$L$8:$L$207,"Spares"))</x:f>
      </x:c>
      <x:c r="F26" s="11" t="str">
        <x:f>IF(A26="","",SUM(D26:E26))</x:f>
      </x:c>
      <x:c r="G26" s="11" t="str">
        <x:f>IF(A26="","",'Definitions'!I26+SUMIFS('Assets'!$J$8:$J$207,'Assets'!$B$8:$B$207,A26))</x:f>
      </x:c>
      <x:c r="H26" s="11" t="str">
        <x:f>IF(A26="","",SUMIFS('Orders'!$I$8:$I$207,'Orders'!$D$8:$D$207,A26))</x:f>
      </x:c>
      <x:c r="I26" s="11" t="str">
        <x:f>IF(A26="","",SUMIFS('Orders'!$J$8:$J$207,'Orders'!$D$8:$D$207,A26))</x:f>
      </x:c>
      <x:c r="J26" s="11" t="str">
        <x:f>IF(A26="","",MAX(0,F26-G26))</x:f>
      </x:c>
      <x:c r="K26" s="11" t="str">
        <x:f>IF(A26="","",MAX(0,F26-G26-H26))</x:f>
      </x:c>
      <x:c r="L26" s="11" t="str">
        <x:f>IF(A26="","",'Definitions'!H26)</x:f>
      </x:c>
      <x:c r="M26" s="11" t="str">
        <x:f>IF(A26="","",IF(AND(ISNUMBER(L26),L26&gt;0),ROUNDUP(K26/L26,0),"Set pack size"))</x:f>
      </x:c>
      <x:c r="N26" s="11" t="str">
        <x:f>IF(A26="","",SUMIFS('Shipments'!$H$8:$H$207,'Shipments'!$F$8:$F$207,A26,'Shipments'!$C$8:$C$207,"Outbound"))</x:f>
      </x:c>
      <x:c r="O26" s="11" t="str">
        <x:f>IF(A26="","",MAX(0,F26-N26))</x:f>
      </x:c>
    </x:row>
    <x:row r="27" ht="22" customHeight="1">
      <x:c r="A27" s="9" t="str">
        <x:f>IF(AND('Definitions'!A27&lt;&gt;"",'Definitions'!C27="Part"),'Definitions'!A27,"")</x:f>
      </x:c>
      <x:c r="B27" s="9" t="str">
        <x:f>IF(A27="","",'Definitions'!B27)</x:f>
      </x:c>
      <x:c r="C27" s="9" t="str">
        <x:f>IF(A27="","",'Definitions'!F27)</x:f>
      </x:c>
      <x:c r="D27" s="11" t="str">
        <x:f>IF(A27="","",SUMIFS('Layout'!$K$8:$K$207,'Layout'!$G$8:$G$207,A27,'Layout'!$L$8:$L$207,"Build"))</x:f>
      </x:c>
      <x:c r="E27" s="11" t="str">
        <x:f>IF(A27="","",SUMIFS('Layout'!$K$8:$K$207,'Layout'!$G$8:$G$207,A27,'Layout'!$L$8:$L$207,"Spares"))</x:f>
      </x:c>
      <x:c r="F27" s="11" t="str">
        <x:f>IF(A27="","",SUM(D27:E27))</x:f>
      </x:c>
      <x:c r="G27" s="11" t="str">
        <x:f>IF(A27="","",'Definitions'!I27+SUMIFS('Assets'!$J$8:$J$207,'Assets'!$B$8:$B$207,A27))</x:f>
      </x:c>
      <x:c r="H27" s="11" t="str">
        <x:f>IF(A27="","",SUMIFS('Orders'!$I$8:$I$207,'Orders'!$D$8:$D$207,A27))</x:f>
      </x:c>
      <x:c r="I27" s="11" t="str">
        <x:f>IF(A27="","",SUMIFS('Orders'!$J$8:$J$207,'Orders'!$D$8:$D$207,A27))</x:f>
      </x:c>
      <x:c r="J27" s="11" t="str">
        <x:f>IF(A27="","",MAX(0,F27-G27))</x:f>
      </x:c>
      <x:c r="K27" s="11" t="str">
        <x:f>IF(A27="","",MAX(0,F27-G27-H27))</x:f>
      </x:c>
      <x:c r="L27" s="11" t="str">
        <x:f>IF(A27="","",'Definitions'!H27)</x:f>
      </x:c>
      <x:c r="M27" s="11" t="str">
        <x:f>IF(A27="","",IF(AND(ISNUMBER(L27),L27&gt;0),ROUNDUP(K27/L27,0),"Set pack size"))</x:f>
      </x:c>
      <x:c r="N27" s="11" t="str">
        <x:f>IF(A27="","",SUMIFS('Shipments'!$H$8:$H$207,'Shipments'!$F$8:$F$207,A27,'Shipments'!$C$8:$C$207,"Outbound"))</x:f>
      </x:c>
      <x:c r="O27" s="11" t="str">
        <x:f>IF(A27="","",MAX(0,F27-N27))</x:f>
      </x:c>
    </x:row>
    <x:row r="28" ht="22" customHeight="1">
      <x:c r="A28" s="9" t="str">
        <x:f>IF(AND('Definitions'!A28&lt;&gt;"",'Definitions'!C28="Part"),'Definitions'!A28,"")</x:f>
      </x:c>
      <x:c r="B28" s="9" t="str">
        <x:f>IF(A28="","",'Definitions'!B28)</x:f>
      </x:c>
      <x:c r="C28" s="9" t="str">
        <x:f>IF(A28="","",'Definitions'!F28)</x:f>
      </x:c>
      <x:c r="D28" s="11" t="str">
        <x:f>IF(A28="","",SUMIFS('Layout'!$K$8:$K$207,'Layout'!$G$8:$G$207,A28,'Layout'!$L$8:$L$207,"Build"))</x:f>
      </x:c>
      <x:c r="E28" s="11" t="str">
        <x:f>IF(A28="","",SUMIFS('Layout'!$K$8:$K$207,'Layout'!$G$8:$G$207,A28,'Layout'!$L$8:$L$207,"Spares"))</x:f>
      </x:c>
      <x:c r="F28" s="11" t="str">
        <x:f>IF(A28="","",SUM(D28:E28))</x:f>
      </x:c>
      <x:c r="G28" s="11" t="str">
        <x:f>IF(A28="","",'Definitions'!I28+SUMIFS('Assets'!$J$8:$J$207,'Assets'!$B$8:$B$207,A28))</x:f>
      </x:c>
      <x:c r="H28" s="11" t="str">
        <x:f>IF(A28="","",SUMIFS('Orders'!$I$8:$I$207,'Orders'!$D$8:$D$207,A28))</x:f>
      </x:c>
      <x:c r="I28" s="11" t="str">
        <x:f>IF(A28="","",SUMIFS('Orders'!$J$8:$J$207,'Orders'!$D$8:$D$207,A28))</x:f>
      </x:c>
      <x:c r="J28" s="11" t="str">
        <x:f>IF(A28="","",MAX(0,F28-G28))</x:f>
      </x:c>
      <x:c r="K28" s="11" t="str">
        <x:f>IF(A28="","",MAX(0,F28-G28-H28))</x:f>
      </x:c>
      <x:c r="L28" s="11" t="str">
        <x:f>IF(A28="","",'Definitions'!H28)</x:f>
      </x:c>
      <x:c r="M28" s="11" t="str">
        <x:f>IF(A28="","",IF(AND(ISNUMBER(L28),L28&gt;0),ROUNDUP(K28/L28,0),"Set pack size"))</x:f>
      </x:c>
      <x:c r="N28" s="11" t="str">
        <x:f>IF(A28="","",SUMIFS('Shipments'!$H$8:$H$207,'Shipments'!$F$8:$F$207,A28,'Shipments'!$C$8:$C$207,"Outbound"))</x:f>
      </x:c>
      <x:c r="O28" s="11" t="str">
        <x:f>IF(A28="","",MAX(0,F28-N28))</x:f>
      </x:c>
    </x:row>
    <x:row r="29" ht="22" customHeight="1">
      <x:c r="A29" s="9" t="str">
        <x:f>IF(AND('Definitions'!A29&lt;&gt;"",'Definitions'!C29="Part"),'Definitions'!A29,"")</x:f>
      </x:c>
      <x:c r="B29" s="9" t="str">
        <x:f>IF(A29="","",'Definitions'!B29)</x:f>
      </x:c>
      <x:c r="C29" s="9" t="str">
        <x:f>IF(A29="","",'Definitions'!F29)</x:f>
      </x:c>
      <x:c r="D29" s="11" t="str">
        <x:f>IF(A29="","",SUMIFS('Layout'!$K$8:$K$207,'Layout'!$G$8:$G$207,A29,'Layout'!$L$8:$L$207,"Build"))</x:f>
      </x:c>
      <x:c r="E29" s="11" t="str">
        <x:f>IF(A29="","",SUMIFS('Layout'!$K$8:$K$207,'Layout'!$G$8:$G$207,A29,'Layout'!$L$8:$L$207,"Spares"))</x:f>
      </x:c>
      <x:c r="F29" s="11" t="str">
        <x:f>IF(A29="","",SUM(D29:E29))</x:f>
      </x:c>
      <x:c r="G29" s="11" t="str">
        <x:f>IF(A29="","",'Definitions'!I29+SUMIFS('Assets'!$J$8:$J$207,'Assets'!$B$8:$B$207,A29))</x:f>
      </x:c>
      <x:c r="H29" s="11" t="str">
        <x:f>IF(A29="","",SUMIFS('Orders'!$I$8:$I$207,'Orders'!$D$8:$D$207,A29))</x:f>
      </x:c>
      <x:c r="I29" s="11" t="str">
        <x:f>IF(A29="","",SUMIFS('Orders'!$J$8:$J$207,'Orders'!$D$8:$D$207,A29))</x:f>
      </x:c>
      <x:c r="J29" s="11" t="str">
        <x:f>IF(A29="","",MAX(0,F29-G29))</x:f>
      </x:c>
      <x:c r="K29" s="11" t="str">
        <x:f>IF(A29="","",MAX(0,F29-G29-H29))</x:f>
      </x:c>
      <x:c r="L29" s="11" t="str">
        <x:f>IF(A29="","",'Definitions'!H29)</x:f>
      </x:c>
      <x:c r="M29" s="11" t="str">
        <x:f>IF(A29="","",IF(AND(ISNUMBER(L29),L29&gt;0),ROUNDUP(K29/L29,0),"Set pack size"))</x:f>
      </x:c>
      <x:c r="N29" s="11" t="str">
        <x:f>IF(A29="","",SUMIFS('Shipments'!$H$8:$H$207,'Shipments'!$F$8:$F$207,A29,'Shipments'!$C$8:$C$207,"Outbound"))</x:f>
      </x:c>
      <x:c r="O29" s="11" t="str">
        <x:f>IF(A29="","",MAX(0,F29-N29))</x:f>
      </x:c>
    </x:row>
    <x:row r="30" ht="22" customHeight="1">
      <x:c r="A30" s="9" t="str">
        <x:f>IF(AND('Definitions'!A30&lt;&gt;"",'Definitions'!C30="Part"),'Definitions'!A30,"")</x:f>
      </x:c>
      <x:c r="B30" s="9" t="str">
        <x:f>IF(A30="","",'Definitions'!B30)</x:f>
      </x:c>
      <x:c r="C30" s="9" t="str">
        <x:f>IF(A30="","",'Definitions'!F30)</x:f>
      </x:c>
      <x:c r="D30" s="11" t="str">
        <x:f>IF(A30="","",SUMIFS('Layout'!$K$8:$K$207,'Layout'!$G$8:$G$207,A30,'Layout'!$L$8:$L$207,"Build"))</x:f>
      </x:c>
      <x:c r="E30" s="11" t="str">
        <x:f>IF(A30="","",SUMIFS('Layout'!$K$8:$K$207,'Layout'!$G$8:$G$207,A30,'Layout'!$L$8:$L$207,"Spares"))</x:f>
      </x:c>
      <x:c r="F30" s="11" t="str">
        <x:f>IF(A30="","",SUM(D30:E30))</x:f>
      </x:c>
      <x:c r="G30" s="11" t="str">
        <x:f>IF(A30="","",'Definitions'!I30+SUMIFS('Assets'!$J$8:$J$207,'Assets'!$B$8:$B$207,A30))</x:f>
      </x:c>
      <x:c r="H30" s="11" t="str">
        <x:f>IF(A30="","",SUMIFS('Orders'!$I$8:$I$207,'Orders'!$D$8:$D$207,A30))</x:f>
      </x:c>
      <x:c r="I30" s="11" t="str">
        <x:f>IF(A30="","",SUMIFS('Orders'!$J$8:$J$207,'Orders'!$D$8:$D$207,A30))</x:f>
      </x:c>
      <x:c r="J30" s="11" t="str">
        <x:f>IF(A30="","",MAX(0,F30-G30))</x:f>
      </x:c>
      <x:c r="K30" s="11" t="str">
        <x:f>IF(A30="","",MAX(0,F30-G30-H30))</x:f>
      </x:c>
      <x:c r="L30" s="11" t="str">
        <x:f>IF(A30="","",'Definitions'!H30)</x:f>
      </x:c>
      <x:c r="M30" s="11" t="str">
        <x:f>IF(A30="","",IF(AND(ISNUMBER(L30),L30&gt;0),ROUNDUP(K30/L30,0),"Set pack size"))</x:f>
      </x:c>
      <x:c r="N30" s="11" t="str">
        <x:f>IF(A30="","",SUMIFS('Shipments'!$H$8:$H$207,'Shipments'!$F$8:$F$207,A30,'Shipments'!$C$8:$C$207,"Outbound"))</x:f>
      </x:c>
      <x:c r="O30" s="11" t="str">
        <x:f>IF(A30="","",MAX(0,F30-N30))</x:f>
      </x:c>
    </x:row>
    <x:row r="31" ht="22" customHeight="1">
      <x:c r="A31" s="9" t="str">
        <x:f>IF(AND('Definitions'!A31&lt;&gt;"",'Definitions'!C31="Part"),'Definitions'!A31,"")</x:f>
      </x:c>
      <x:c r="B31" s="9" t="str">
        <x:f>IF(A31="","",'Definitions'!B31)</x:f>
      </x:c>
      <x:c r="C31" s="9" t="str">
        <x:f>IF(A31="","",'Definitions'!F31)</x:f>
      </x:c>
      <x:c r="D31" s="11" t="str">
        <x:f>IF(A31="","",SUMIFS('Layout'!$K$8:$K$207,'Layout'!$G$8:$G$207,A31,'Layout'!$L$8:$L$207,"Build"))</x:f>
      </x:c>
      <x:c r="E31" s="11" t="str">
        <x:f>IF(A31="","",SUMIFS('Layout'!$K$8:$K$207,'Layout'!$G$8:$G$207,A31,'Layout'!$L$8:$L$207,"Spares"))</x:f>
      </x:c>
      <x:c r="F31" s="11" t="str">
        <x:f>IF(A31="","",SUM(D31:E31))</x:f>
      </x:c>
      <x:c r="G31" s="11" t="str">
        <x:f>IF(A31="","",'Definitions'!I31+SUMIFS('Assets'!$J$8:$J$207,'Assets'!$B$8:$B$207,A31))</x:f>
      </x:c>
      <x:c r="H31" s="11" t="str">
        <x:f>IF(A31="","",SUMIFS('Orders'!$I$8:$I$207,'Orders'!$D$8:$D$207,A31))</x:f>
      </x:c>
      <x:c r="I31" s="11" t="str">
        <x:f>IF(A31="","",SUMIFS('Orders'!$J$8:$J$207,'Orders'!$D$8:$D$207,A31))</x:f>
      </x:c>
      <x:c r="J31" s="11" t="str">
        <x:f>IF(A31="","",MAX(0,F31-G31))</x:f>
      </x:c>
      <x:c r="K31" s="11" t="str">
        <x:f>IF(A31="","",MAX(0,F31-G31-H31))</x:f>
      </x:c>
      <x:c r="L31" s="11" t="str">
        <x:f>IF(A31="","",'Definitions'!H31)</x:f>
      </x:c>
      <x:c r="M31" s="11" t="str">
        <x:f>IF(A31="","",IF(AND(ISNUMBER(L31),L31&gt;0),ROUNDUP(K31/L31,0),"Set pack size"))</x:f>
      </x:c>
      <x:c r="N31" s="11" t="str">
        <x:f>IF(A31="","",SUMIFS('Shipments'!$H$8:$H$207,'Shipments'!$F$8:$F$207,A31,'Shipments'!$C$8:$C$207,"Outbound"))</x:f>
      </x:c>
      <x:c r="O31" s="11" t="str">
        <x:f>IF(A31="","",MAX(0,F31-N31))</x:f>
      </x:c>
    </x:row>
    <x:row r="32" ht="22" customHeight="1">
      <x:c r="A32" s="9" t="str">
        <x:f>IF(AND('Definitions'!A32&lt;&gt;"",'Definitions'!C32="Part"),'Definitions'!A32,"")</x:f>
      </x:c>
      <x:c r="B32" s="9" t="str">
        <x:f>IF(A32="","",'Definitions'!B32)</x:f>
      </x:c>
      <x:c r="C32" s="9" t="str">
        <x:f>IF(A32="","",'Definitions'!F32)</x:f>
      </x:c>
      <x:c r="D32" s="11" t="str">
        <x:f>IF(A32="","",SUMIFS('Layout'!$K$8:$K$207,'Layout'!$G$8:$G$207,A32,'Layout'!$L$8:$L$207,"Build"))</x:f>
      </x:c>
      <x:c r="E32" s="11" t="str">
        <x:f>IF(A32="","",SUMIFS('Layout'!$K$8:$K$207,'Layout'!$G$8:$G$207,A32,'Layout'!$L$8:$L$207,"Spares"))</x:f>
      </x:c>
      <x:c r="F32" s="11" t="str">
        <x:f>IF(A32="","",SUM(D32:E32))</x:f>
      </x:c>
      <x:c r="G32" s="11" t="str">
        <x:f>IF(A32="","",'Definitions'!I32+SUMIFS('Assets'!$J$8:$J$207,'Assets'!$B$8:$B$207,A32))</x:f>
      </x:c>
      <x:c r="H32" s="11" t="str">
        <x:f>IF(A32="","",SUMIFS('Orders'!$I$8:$I$207,'Orders'!$D$8:$D$207,A32))</x:f>
      </x:c>
      <x:c r="I32" s="11" t="str">
        <x:f>IF(A32="","",SUMIFS('Orders'!$J$8:$J$207,'Orders'!$D$8:$D$207,A32))</x:f>
      </x:c>
      <x:c r="J32" s="11" t="str">
        <x:f>IF(A32="","",MAX(0,F32-G32))</x:f>
      </x:c>
      <x:c r="K32" s="11" t="str">
        <x:f>IF(A32="","",MAX(0,F32-G32-H32))</x:f>
      </x:c>
      <x:c r="L32" s="11" t="str">
        <x:f>IF(A32="","",'Definitions'!H32)</x:f>
      </x:c>
      <x:c r="M32" s="11" t="str">
        <x:f>IF(A32="","",IF(AND(ISNUMBER(L32),L32&gt;0),ROUNDUP(K32/L32,0),"Set pack size"))</x:f>
      </x:c>
      <x:c r="N32" s="11" t="str">
        <x:f>IF(A32="","",SUMIFS('Shipments'!$H$8:$H$207,'Shipments'!$F$8:$F$207,A32,'Shipments'!$C$8:$C$207,"Outbound"))</x:f>
      </x:c>
      <x:c r="O32" s="11" t="str">
        <x:f>IF(A32="","",MAX(0,F32-N32))</x:f>
      </x:c>
    </x:row>
    <x:row r="33" ht="22" customHeight="1">
      <x:c r="A33" s="9" t="str">
        <x:f>IF(AND('Definitions'!A33&lt;&gt;"",'Definitions'!C33="Part"),'Definitions'!A33,"")</x:f>
      </x:c>
      <x:c r="B33" s="9" t="str">
        <x:f>IF(A33="","",'Definitions'!B33)</x:f>
      </x:c>
      <x:c r="C33" s="9" t="str">
        <x:f>IF(A33="","",'Definitions'!F33)</x:f>
      </x:c>
      <x:c r="D33" s="11" t="str">
        <x:f>IF(A33="","",SUMIFS('Layout'!$K$8:$K$207,'Layout'!$G$8:$G$207,A33,'Layout'!$L$8:$L$207,"Build"))</x:f>
      </x:c>
      <x:c r="E33" s="11" t="str">
        <x:f>IF(A33="","",SUMIFS('Layout'!$K$8:$K$207,'Layout'!$G$8:$G$207,A33,'Layout'!$L$8:$L$207,"Spares"))</x:f>
      </x:c>
      <x:c r="F33" s="11" t="str">
        <x:f>IF(A33="","",SUM(D33:E33))</x:f>
      </x:c>
      <x:c r="G33" s="11" t="str">
        <x:f>IF(A33="","",'Definitions'!I33+SUMIFS('Assets'!$J$8:$J$207,'Assets'!$B$8:$B$207,A33))</x:f>
      </x:c>
      <x:c r="H33" s="11" t="str">
        <x:f>IF(A33="","",SUMIFS('Orders'!$I$8:$I$207,'Orders'!$D$8:$D$207,A33))</x:f>
      </x:c>
      <x:c r="I33" s="11" t="str">
        <x:f>IF(A33="","",SUMIFS('Orders'!$J$8:$J$207,'Orders'!$D$8:$D$207,A33))</x:f>
      </x:c>
      <x:c r="J33" s="11" t="str">
        <x:f>IF(A33="","",MAX(0,F33-G33))</x:f>
      </x:c>
      <x:c r="K33" s="11" t="str">
        <x:f>IF(A33="","",MAX(0,F33-G33-H33))</x:f>
      </x:c>
      <x:c r="L33" s="11" t="str">
        <x:f>IF(A33="","",'Definitions'!H33)</x:f>
      </x:c>
      <x:c r="M33" s="11" t="str">
        <x:f>IF(A33="","",IF(AND(ISNUMBER(L33),L33&gt;0),ROUNDUP(K33/L33,0),"Set pack size"))</x:f>
      </x:c>
      <x:c r="N33" s="11" t="str">
        <x:f>IF(A33="","",SUMIFS('Shipments'!$H$8:$H$207,'Shipments'!$F$8:$F$207,A33,'Shipments'!$C$8:$C$207,"Outbound"))</x:f>
      </x:c>
      <x:c r="O33" s="11" t="str">
        <x:f>IF(A33="","",MAX(0,F33-N33))</x:f>
      </x:c>
    </x:row>
    <x:row r="34" ht="22" customHeight="1">
      <x:c r="A34" s="9" t="str">
        <x:f>IF(AND('Definitions'!A34&lt;&gt;"",'Definitions'!C34="Part"),'Definitions'!A34,"")</x:f>
      </x:c>
      <x:c r="B34" s="9" t="str">
        <x:f>IF(A34="","",'Definitions'!B34)</x:f>
      </x:c>
      <x:c r="C34" s="9" t="str">
        <x:f>IF(A34="","",'Definitions'!F34)</x:f>
      </x:c>
      <x:c r="D34" s="11" t="str">
        <x:f>IF(A34="","",SUMIFS('Layout'!$K$8:$K$207,'Layout'!$G$8:$G$207,A34,'Layout'!$L$8:$L$207,"Build"))</x:f>
      </x:c>
      <x:c r="E34" s="11" t="str">
        <x:f>IF(A34="","",SUMIFS('Layout'!$K$8:$K$207,'Layout'!$G$8:$G$207,A34,'Layout'!$L$8:$L$207,"Spares"))</x:f>
      </x:c>
      <x:c r="F34" s="11" t="str">
        <x:f>IF(A34="","",SUM(D34:E34))</x:f>
      </x:c>
      <x:c r="G34" s="11" t="str">
        <x:f>IF(A34="","",'Definitions'!I34+SUMIFS('Assets'!$J$8:$J$207,'Assets'!$B$8:$B$207,A34))</x:f>
      </x:c>
      <x:c r="H34" s="11" t="str">
        <x:f>IF(A34="","",SUMIFS('Orders'!$I$8:$I$207,'Orders'!$D$8:$D$207,A34))</x:f>
      </x:c>
      <x:c r="I34" s="11" t="str">
        <x:f>IF(A34="","",SUMIFS('Orders'!$J$8:$J$207,'Orders'!$D$8:$D$207,A34))</x:f>
      </x:c>
      <x:c r="J34" s="11" t="str">
        <x:f>IF(A34="","",MAX(0,F34-G34))</x:f>
      </x:c>
      <x:c r="K34" s="11" t="str">
        <x:f>IF(A34="","",MAX(0,F34-G34-H34))</x:f>
      </x:c>
      <x:c r="L34" s="11" t="str">
        <x:f>IF(A34="","",'Definitions'!H34)</x:f>
      </x:c>
      <x:c r="M34" s="11" t="str">
        <x:f>IF(A34="","",IF(AND(ISNUMBER(L34),L34&gt;0),ROUNDUP(K34/L34,0),"Set pack size"))</x:f>
      </x:c>
      <x:c r="N34" s="11" t="str">
        <x:f>IF(A34="","",SUMIFS('Shipments'!$H$8:$H$207,'Shipments'!$F$8:$F$207,A34,'Shipments'!$C$8:$C$207,"Outbound"))</x:f>
      </x:c>
      <x:c r="O34" s="11" t="str">
        <x:f>IF(A34="","",MAX(0,F34-N34))</x:f>
      </x:c>
    </x:row>
    <x:row r="35" ht="22" customHeight="1">
      <x:c r="A35" s="9" t="str">
        <x:f>IF(AND('Definitions'!A35&lt;&gt;"",'Definitions'!C35="Part"),'Definitions'!A35,"")</x:f>
      </x:c>
      <x:c r="B35" s="9" t="str">
        <x:f>IF(A35="","",'Definitions'!B35)</x:f>
      </x:c>
      <x:c r="C35" s="9" t="str">
        <x:f>IF(A35="","",'Definitions'!F35)</x:f>
      </x:c>
      <x:c r="D35" s="11" t="str">
        <x:f>IF(A35="","",SUMIFS('Layout'!$K$8:$K$207,'Layout'!$G$8:$G$207,A35,'Layout'!$L$8:$L$207,"Build"))</x:f>
      </x:c>
      <x:c r="E35" s="11" t="str">
        <x:f>IF(A35="","",SUMIFS('Layout'!$K$8:$K$207,'Layout'!$G$8:$G$207,A35,'Layout'!$L$8:$L$207,"Spares"))</x:f>
      </x:c>
      <x:c r="F35" s="11" t="str">
        <x:f>IF(A35="","",SUM(D35:E35))</x:f>
      </x:c>
      <x:c r="G35" s="11" t="str">
        <x:f>IF(A35="","",'Definitions'!I35+SUMIFS('Assets'!$J$8:$J$207,'Assets'!$B$8:$B$207,A35))</x:f>
      </x:c>
      <x:c r="H35" s="11" t="str">
        <x:f>IF(A35="","",SUMIFS('Orders'!$I$8:$I$207,'Orders'!$D$8:$D$207,A35))</x:f>
      </x:c>
      <x:c r="I35" s="11" t="str">
        <x:f>IF(A35="","",SUMIFS('Orders'!$J$8:$J$207,'Orders'!$D$8:$D$207,A35))</x:f>
      </x:c>
      <x:c r="J35" s="11" t="str">
        <x:f>IF(A35="","",MAX(0,F35-G35))</x:f>
      </x:c>
      <x:c r="K35" s="11" t="str">
        <x:f>IF(A35="","",MAX(0,F35-G35-H35))</x:f>
      </x:c>
      <x:c r="L35" s="11" t="str">
        <x:f>IF(A35="","",'Definitions'!H35)</x:f>
      </x:c>
      <x:c r="M35" s="11" t="str">
        <x:f>IF(A35="","",IF(AND(ISNUMBER(L35),L35&gt;0),ROUNDUP(K35/L35,0),"Set pack size"))</x:f>
      </x:c>
      <x:c r="N35" s="11" t="str">
        <x:f>IF(A35="","",SUMIFS('Shipments'!$H$8:$H$207,'Shipments'!$F$8:$F$207,A35,'Shipments'!$C$8:$C$207,"Outbound"))</x:f>
      </x:c>
      <x:c r="O35" s="11" t="str">
        <x:f>IF(A35="","",MAX(0,F35-N35))</x:f>
      </x:c>
    </x:row>
    <x:row r="36" ht="22" customHeight="1">
      <x:c r="A36" s="9" t="str">
        <x:f>IF(AND('Definitions'!A36&lt;&gt;"",'Definitions'!C36="Part"),'Definitions'!A36,"")</x:f>
      </x:c>
      <x:c r="B36" s="9" t="str">
        <x:f>IF(A36="","",'Definitions'!B36)</x:f>
      </x:c>
      <x:c r="C36" s="9" t="str">
        <x:f>IF(A36="","",'Definitions'!F36)</x:f>
      </x:c>
      <x:c r="D36" s="11" t="str">
        <x:f>IF(A36="","",SUMIFS('Layout'!$K$8:$K$207,'Layout'!$G$8:$G$207,A36,'Layout'!$L$8:$L$207,"Build"))</x:f>
      </x:c>
      <x:c r="E36" s="11" t="str">
        <x:f>IF(A36="","",SUMIFS('Layout'!$K$8:$K$207,'Layout'!$G$8:$G$207,A36,'Layout'!$L$8:$L$207,"Spares"))</x:f>
      </x:c>
      <x:c r="F36" s="11" t="str">
        <x:f>IF(A36="","",SUM(D36:E36))</x:f>
      </x:c>
      <x:c r="G36" s="11" t="str">
        <x:f>IF(A36="","",'Definitions'!I36+SUMIFS('Assets'!$J$8:$J$207,'Assets'!$B$8:$B$207,A36))</x:f>
      </x:c>
      <x:c r="H36" s="11" t="str">
        <x:f>IF(A36="","",SUMIFS('Orders'!$I$8:$I$207,'Orders'!$D$8:$D$207,A36))</x:f>
      </x:c>
      <x:c r="I36" s="11" t="str">
        <x:f>IF(A36="","",SUMIFS('Orders'!$J$8:$J$207,'Orders'!$D$8:$D$207,A36))</x:f>
      </x:c>
      <x:c r="J36" s="11" t="str">
        <x:f>IF(A36="","",MAX(0,F36-G36))</x:f>
      </x:c>
      <x:c r="K36" s="11" t="str">
        <x:f>IF(A36="","",MAX(0,F36-G36-H36))</x:f>
      </x:c>
      <x:c r="L36" s="11" t="str">
        <x:f>IF(A36="","",'Definitions'!H36)</x:f>
      </x:c>
      <x:c r="M36" s="11" t="str">
        <x:f>IF(A36="","",IF(AND(ISNUMBER(L36),L36&gt;0),ROUNDUP(K36/L36,0),"Set pack size"))</x:f>
      </x:c>
      <x:c r="N36" s="11" t="str">
        <x:f>IF(A36="","",SUMIFS('Shipments'!$H$8:$H$207,'Shipments'!$F$8:$F$207,A36,'Shipments'!$C$8:$C$207,"Outbound"))</x:f>
      </x:c>
      <x:c r="O36" s="11" t="str">
        <x:f>IF(A36="","",MAX(0,F36-N36))</x:f>
      </x:c>
    </x:row>
    <x:row r="37" ht="22" customHeight="1">
      <x:c r="A37" s="9" t="str">
        <x:f>IF(AND('Definitions'!A37&lt;&gt;"",'Definitions'!C37="Part"),'Definitions'!A37,"")</x:f>
      </x:c>
      <x:c r="B37" s="9" t="str">
        <x:f>IF(A37="","",'Definitions'!B37)</x:f>
      </x:c>
      <x:c r="C37" s="9" t="str">
        <x:f>IF(A37="","",'Definitions'!F37)</x:f>
      </x:c>
      <x:c r="D37" s="11" t="str">
        <x:f>IF(A37="","",SUMIFS('Layout'!$K$8:$K$207,'Layout'!$G$8:$G$207,A37,'Layout'!$L$8:$L$207,"Build"))</x:f>
      </x:c>
      <x:c r="E37" s="11" t="str">
        <x:f>IF(A37="","",SUMIFS('Layout'!$K$8:$K$207,'Layout'!$G$8:$G$207,A37,'Layout'!$L$8:$L$207,"Spares"))</x:f>
      </x:c>
      <x:c r="F37" s="11" t="str">
        <x:f>IF(A37="","",SUM(D37:E37))</x:f>
      </x:c>
      <x:c r="G37" s="11" t="str">
        <x:f>IF(A37="","",'Definitions'!I37+SUMIFS('Assets'!$J$8:$J$207,'Assets'!$B$8:$B$207,A37))</x:f>
      </x:c>
      <x:c r="H37" s="11" t="str">
        <x:f>IF(A37="","",SUMIFS('Orders'!$I$8:$I$207,'Orders'!$D$8:$D$207,A37))</x:f>
      </x:c>
      <x:c r="I37" s="11" t="str">
        <x:f>IF(A37="","",SUMIFS('Orders'!$J$8:$J$207,'Orders'!$D$8:$D$207,A37))</x:f>
      </x:c>
      <x:c r="J37" s="11" t="str">
        <x:f>IF(A37="","",MAX(0,F37-G37))</x:f>
      </x:c>
      <x:c r="K37" s="11" t="str">
        <x:f>IF(A37="","",MAX(0,F37-G37-H37))</x:f>
      </x:c>
      <x:c r="L37" s="11" t="str">
        <x:f>IF(A37="","",'Definitions'!H37)</x:f>
      </x:c>
      <x:c r="M37" s="11" t="str">
        <x:f>IF(A37="","",IF(AND(ISNUMBER(L37),L37&gt;0),ROUNDUP(K37/L37,0),"Set pack size"))</x:f>
      </x:c>
      <x:c r="N37" s="11" t="str">
        <x:f>IF(A37="","",SUMIFS('Shipments'!$H$8:$H$207,'Shipments'!$F$8:$F$207,A37,'Shipments'!$C$8:$C$207,"Outbound"))</x:f>
      </x:c>
      <x:c r="O37" s="11" t="str">
        <x:f>IF(A37="","",MAX(0,F37-N37))</x:f>
      </x:c>
    </x:row>
    <x:row r="38" ht="22" customHeight="1">
      <x:c r="A38" s="9" t="str">
        <x:f>IF(AND('Definitions'!A38&lt;&gt;"",'Definitions'!C38="Part"),'Definitions'!A38,"")</x:f>
      </x:c>
      <x:c r="B38" s="9" t="str">
        <x:f>IF(A38="","",'Definitions'!B38)</x:f>
      </x:c>
      <x:c r="C38" s="9" t="str">
        <x:f>IF(A38="","",'Definitions'!F38)</x:f>
      </x:c>
      <x:c r="D38" s="11" t="str">
        <x:f>IF(A38="","",SUMIFS('Layout'!$K$8:$K$207,'Layout'!$G$8:$G$207,A38,'Layout'!$L$8:$L$207,"Build"))</x:f>
      </x:c>
      <x:c r="E38" s="11" t="str">
        <x:f>IF(A38="","",SUMIFS('Layout'!$K$8:$K$207,'Layout'!$G$8:$G$207,A38,'Layout'!$L$8:$L$207,"Spares"))</x:f>
      </x:c>
      <x:c r="F38" s="11" t="str">
        <x:f>IF(A38="","",SUM(D38:E38))</x:f>
      </x:c>
      <x:c r="G38" s="11" t="str">
        <x:f>IF(A38="","",'Definitions'!I38+SUMIFS('Assets'!$J$8:$J$207,'Assets'!$B$8:$B$207,A38))</x:f>
      </x:c>
      <x:c r="H38" s="11" t="str">
        <x:f>IF(A38="","",SUMIFS('Orders'!$I$8:$I$207,'Orders'!$D$8:$D$207,A38))</x:f>
      </x:c>
      <x:c r="I38" s="11" t="str">
        <x:f>IF(A38="","",SUMIFS('Orders'!$J$8:$J$207,'Orders'!$D$8:$D$207,A38))</x:f>
      </x:c>
      <x:c r="J38" s="11" t="str">
        <x:f>IF(A38="","",MAX(0,F38-G38))</x:f>
      </x:c>
      <x:c r="K38" s="11" t="str">
        <x:f>IF(A38="","",MAX(0,F38-G38-H38))</x:f>
      </x:c>
      <x:c r="L38" s="11" t="str">
        <x:f>IF(A38="","",'Definitions'!H38)</x:f>
      </x:c>
      <x:c r="M38" s="11" t="str">
        <x:f>IF(A38="","",IF(AND(ISNUMBER(L38),L38&gt;0),ROUNDUP(K38/L38,0),"Set pack size"))</x:f>
      </x:c>
      <x:c r="N38" s="11" t="str">
        <x:f>IF(A38="","",SUMIFS('Shipments'!$H$8:$H$207,'Shipments'!$F$8:$F$207,A38,'Shipments'!$C$8:$C$207,"Outbound"))</x:f>
      </x:c>
      <x:c r="O38" s="11" t="str">
        <x:f>IF(A38="","",MAX(0,F38-N38))</x:f>
      </x:c>
    </x:row>
    <x:row r="39" ht="22" customHeight="1">
      <x:c r="A39" s="9" t="str">
        <x:f>IF(AND('Definitions'!A39&lt;&gt;"",'Definitions'!C39="Part"),'Definitions'!A39,"")</x:f>
      </x:c>
      <x:c r="B39" s="9" t="str">
        <x:f>IF(A39="","",'Definitions'!B39)</x:f>
      </x:c>
      <x:c r="C39" s="9" t="str">
        <x:f>IF(A39="","",'Definitions'!F39)</x:f>
      </x:c>
      <x:c r="D39" s="11" t="str">
        <x:f>IF(A39="","",SUMIFS('Layout'!$K$8:$K$207,'Layout'!$G$8:$G$207,A39,'Layout'!$L$8:$L$207,"Build"))</x:f>
      </x:c>
      <x:c r="E39" s="11" t="str">
        <x:f>IF(A39="","",SUMIFS('Layout'!$K$8:$K$207,'Layout'!$G$8:$G$207,A39,'Layout'!$L$8:$L$207,"Spares"))</x:f>
      </x:c>
      <x:c r="F39" s="11" t="str">
        <x:f>IF(A39="","",SUM(D39:E39))</x:f>
      </x:c>
      <x:c r="G39" s="11" t="str">
        <x:f>IF(A39="","",'Definitions'!I39+SUMIFS('Assets'!$J$8:$J$207,'Assets'!$B$8:$B$207,A39))</x:f>
      </x:c>
      <x:c r="H39" s="11" t="str">
        <x:f>IF(A39="","",SUMIFS('Orders'!$I$8:$I$207,'Orders'!$D$8:$D$207,A39))</x:f>
      </x:c>
      <x:c r="I39" s="11" t="str">
        <x:f>IF(A39="","",SUMIFS('Orders'!$J$8:$J$207,'Orders'!$D$8:$D$207,A39))</x:f>
      </x:c>
      <x:c r="J39" s="11" t="str">
        <x:f>IF(A39="","",MAX(0,F39-G39))</x:f>
      </x:c>
      <x:c r="K39" s="11" t="str">
        <x:f>IF(A39="","",MAX(0,F39-G39-H39))</x:f>
      </x:c>
      <x:c r="L39" s="11" t="str">
        <x:f>IF(A39="","",'Definitions'!H39)</x:f>
      </x:c>
      <x:c r="M39" s="11" t="str">
        <x:f>IF(A39="","",IF(AND(ISNUMBER(L39),L39&gt;0),ROUNDUP(K39/L39,0),"Set pack size"))</x:f>
      </x:c>
      <x:c r="N39" s="11" t="str">
        <x:f>IF(A39="","",SUMIFS('Shipments'!$H$8:$H$207,'Shipments'!$F$8:$F$207,A39,'Shipments'!$C$8:$C$207,"Outbound"))</x:f>
      </x:c>
      <x:c r="O39" s="11" t="str">
        <x:f>IF(A39="","",MAX(0,F39-N39))</x:f>
      </x:c>
    </x:row>
    <x:row r="40" ht="22" customHeight="1">
      <x:c r="A40" s="9" t="str">
        <x:f>IF(AND('Definitions'!A40&lt;&gt;"",'Definitions'!C40="Part"),'Definitions'!A40,"")</x:f>
      </x:c>
      <x:c r="B40" s="9" t="str">
        <x:f>IF(A40="","",'Definitions'!B40)</x:f>
      </x:c>
      <x:c r="C40" s="9" t="str">
        <x:f>IF(A40="","",'Definitions'!F40)</x:f>
      </x:c>
      <x:c r="D40" s="11" t="str">
        <x:f>IF(A40="","",SUMIFS('Layout'!$K$8:$K$207,'Layout'!$G$8:$G$207,A40,'Layout'!$L$8:$L$207,"Build"))</x:f>
      </x:c>
      <x:c r="E40" s="11" t="str">
        <x:f>IF(A40="","",SUMIFS('Layout'!$K$8:$K$207,'Layout'!$G$8:$G$207,A40,'Layout'!$L$8:$L$207,"Spares"))</x:f>
      </x:c>
      <x:c r="F40" s="11" t="str">
        <x:f>IF(A40="","",SUM(D40:E40))</x:f>
      </x:c>
      <x:c r="G40" s="11" t="str">
        <x:f>IF(A40="","",'Definitions'!I40+SUMIFS('Assets'!$J$8:$J$207,'Assets'!$B$8:$B$207,A40))</x:f>
      </x:c>
      <x:c r="H40" s="11" t="str">
        <x:f>IF(A40="","",SUMIFS('Orders'!$I$8:$I$207,'Orders'!$D$8:$D$207,A40))</x:f>
      </x:c>
      <x:c r="I40" s="11" t="str">
        <x:f>IF(A40="","",SUMIFS('Orders'!$J$8:$J$207,'Orders'!$D$8:$D$207,A40))</x:f>
      </x:c>
      <x:c r="J40" s="11" t="str">
        <x:f>IF(A40="","",MAX(0,F40-G40))</x:f>
      </x:c>
      <x:c r="K40" s="11" t="str">
        <x:f>IF(A40="","",MAX(0,F40-G40-H40))</x:f>
      </x:c>
      <x:c r="L40" s="11" t="str">
        <x:f>IF(A40="","",'Definitions'!H40)</x:f>
      </x:c>
      <x:c r="M40" s="11" t="str">
        <x:f>IF(A40="","",IF(AND(ISNUMBER(L40),L40&gt;0),ROUNDUP(K40/L40,0),"Set pack size"))</x:f>
      </x:c>
      <x:c r="N40" s="11" t="str">
        <x:f>IF(A40="","",SUMIFS('Shipments'!$H$8:$H$207,'Shipments'!$F$8:$F$207,A40,'Shipments'!$C$8:$C$207,"Outbound"))</x:f>
      </x:c>
      <x:c r="O40" s="11" t="str">
        <x:f>IF(A40="","",MAX(0,F40-N40))</x:f>
      </x:c>
    </x:row>
    <x:row r="41" ht="22" customHeight="1">
      <x:c r="A41" s="9" t="str">
        <x:f>IF(AND('Definitions'!A41&lt;&gt;"",'Definitions'!C41="Part"),'Definitions'!A41,"")</x:f>
      </x:c>
      <x:c r="B41" s="9" t="str">
        <x:f>IF(A41="","",'Definitions'!B41)</x:f>
      </x:c>
      <x:c r="C41" s="9" t="str">
        <x:f>IF(A41="","",'Definitions'!F41)</x:f>
      </x:c>
      <x:c r="D41" s="11" t="str">
        <x:f>IF(A41="","",SUMIFS('Layout'!$K$8:$K$207,'Layout'!$G$8:$G$207,A41,'Layout'!$L$8:$L$207,"Build"))</x:f>
      </x:c>
      <x:c r="E41" s="11" t="str">
        <x:f>IF(A41="","",SUMIFS('Layout'!$K$8:$K$207,'Layout'!$G$8:$G$207,A41,'Layout'!$L$8:$L$207,"Spares"))</x:f>
      </x:c>
      <x:c r="F41" s="11" t="str">
        <x:f>IF(A41="","",SUM(D41:E41))</x:f>
      </x:c>
      <x:c r="G41" s="11" t="str">
        <x:f>IF(A41="","",'Definitions'!I41+SUMIFS('Assets'!$J$8:$J$207,'Assets'!$B$8:$B$207,A41))</x:f>
      </x:c>
      <x:c r="H41" s="11" t="str">
        <x:f>IF(A41="","",SUMIFS('Orders'!$I$8:$I$207,'Orders'!$D$8:$D$207,A41))</x:f>
      </x:c>
      <x:c r="I41" s="11" t="str">
        <x:f>IF(A41="","",SUMIFS('Orders'!$J$8:$J$207,'Orders'!$D$8:$D$207,A41))</x:f>
      </x:c>
      <x:c r="J41" s="11" t="str">
        <x:f>IF(A41="","",MAX(0,F41-G41))</x:f>
      </x:c>
      <x:c r="K41" s="11" t="str">
        <x:f>IF(A41="","",MAX(0,F41-G41-H41))</x:f>
      </x:c>
      <x:c r="L41" s="11" t="str">
        <x:f>IF(A41="","",'Definitions'!H41)</x:f>
      </x:c>
      <x:c r="M41" s="11" t="str">
        <x:f>IF(A41="","",IF(AND(ISNUMBER(L41),L41&gt;0),ROUNDUP(K41/L41,0),"Set pack size"))</x:f>
      </x:c>
      <x:c r="N41" s="11" t="str">
        <x:f>IF(A41="","",SUMIFS('Shipments'!$H$8:$H$207,'Shipments'!$F$8:$F$207,A41,'Shipments'!$C$8:$C$207,"Outbound"))</x:f>
      </x:c>
      <x:c r="O41" s="11" t="str">
        <x:f>IF(A41="","",MAX(0,F41-N41))</x:f>
      </x:c>
    </x:row>
    <x:row r="42" ht="22" customHeight="1">
      <x:c r="A42" s="9" t="str">
        <x:f>IF(AND('Definitions'!A42&lt;&gt;"",'Definitions'!C42="Part"),'Definitions'!A42,"")</x:f>
      </x:c>
      <x:c r="B42" s="9" t="str">
        <x:f>IF(A42="","",'Definitions'!B42)</x:f>
      </x:c>
      <x:c r="C42" s="9" t="str">
        <x:f>IF(A42="","",'Definitions'!F42)</x:f>
      </x:c>
      <x:c r="D42" s="11" t="str">
        <x:f>IF(A42="","",SUMIFS('Layout'!$K$8:$K$207,'Layout'!$G$8:$G$207,A42,'Layout'!$L$8:$L$207,"Build"))</x:f>
      </x:c>
      <x:c r="E42" s="11" t="str">
        <x:f>IF(A42="","",SUMIFS('Layout'!$K$8:$K$207,'Layout'!$G$8:$G$207,A42,'Layout'!$L$8:$L$207,"Spares"))</x:f>
      </x:c>
      <x:c r="F42" s="11" t="str">
        <x:f>IF(A42="","",SUM(D42:E42))</x:f>
      </x:c>
      <x:c r="G42" s="11" t="str">
        <x:f>IF(A42="","",'Definitions'!I42+SUMIFS('Assets'!$J$8:$J$207,'Assets'!$B$8:$B$207,A42))</x:f>
      </x:c>
      <x:c r="H42" s="11" t="str">
        <x:f>IF(A42="","",SUMIFS('Orders'!$I$8:$I$207,'Orders'!$D$8:$D$207,A42))</x:f>
      </x:c>
      <x:c r="I42" s="11" t="str">
        <x:f>IF(A42="","",SUMIFS('Orders'!$J$8:$J$207,'Orders'!$D$8:$D$207,A42))</x:f>
      </x:c>
      <x:c r="J42" s="11" t="str">
        <x:f>IF(A42="","",MAX(0,F42-G42))</x:f>
      </x:c>
      <x:c r="K42" s="11" t="str">
        <x:f>IF(A42="","",MAX(0,F42-G42-H42))</x:f>
      </x:c>
      <x:c r="L42" s="11" t="str">
        <x:f>IF(A42="","",'Definitions'!H42)</x:f>
      </x:c>
      <x:c r="M42" s="11" t="str">
        <x:f>IF(A42="","",IF(AND(ISNUMBER(L42),L42&gt;0),ROUNDUP(K42/L42,0),"Set pack size"))</x:f>
      </x:c>
      <x:c r="N42" s="11" t="str">
        <x:f>IF(A42="","",SUMIFS('Shipments'!$H$8:$H$207,'Shipments'!$F$8:$F$207,A42,'Shipments'!$C$8:$C$207,"Outbound"))</x:f>
      </x:c>
      <x:c r="O42" s="11" t="str">
        <x:f>IF(A42="","",MAX(0,F42-N42))</x:f>
      </x:c>
    </x:row>
    <x:row r="43" ht="22" customHeight="1">
      <x:c r="A43" s="9" t="str">
        <x:f>IF(AND('Definitions'!A43&lt;&gt;"",'Definitions'!C43="Part"),'Definitions'!A43,"")</x:f>
      </x:c>
      <x:c r="B43" s="9" t="str">
        <x:f>IF(A43="","",'Definitions'!B43)</x:f>
      </x:c>
      <x:c r="C43" s="9" t="str">
        <x:f>IF(A43="","",'Definitions'!F43)</x:f>
      </x:c>
      <x:c r="D43" s="11" t="str">
        <x:f>IF(A43="","",SUMIFS('Layout'!$K$8:$K$207,'Layout'!$G$8:$G$207,A43,'Layout'!$L$8:$L$207,"Build"))</x:f>
      </x:c>
      <x:c r="E43" s="11" t="str">
        <x:f>IF(A43="","",SUMIFS('Layout'!$K$8:$K$207,'Layout'!$G$8:$G$207,A43,'Layout'!$L$8:$L$207,"Spares"))</x:f>
      </x:c>
      <x:c r="F43" s="11" t="str">
        <x:f>IF(A43="","",SUM(D43:E43))</x:f>
      </x:c>
      <x:c r="G43" s="11" t="str">
        <x:f>IF(A43="","",'Definitions'!I43+SUMIFS('Assets'!$J$8:$J$207,'Assets'!$B$8:$B$207,A43))</x:f>
      </x:c>
      <x:c r="H43" s="11" t="str">
        <x:f>IF(A43="","",SUMIFS('Orders'!$I$8:$I$207,'Orders'!$D$8:$D$207,A43))</x:f>
      </x:c>
      <x:c r="I43" s="11" t="str">
        <x:f>IF(A43="","",SUMIFS('Orders'!$J$8:$J$207,'Orders'!$D$8:$D$207,A43))</x:f>
      </x:c>
      <x:c r="J43" s="11" t="str">
        <x:f>IF(A43="","",MAX(0,F43-G43))</x:f>
      </x:c>
      <x:c r="K43" s="11" t="str">
        <x:f>IF(A43="","",MAX(0,F43-G43-H43))</x:f>
      </x:c>
      <x:c r="L43" s="11" t="str">
        <x:f>IF(A43="","",'Definitions'!H43)</x:f>
      </x:c>
      <x:c r="M43" s="11" t="str">
        <x:f>IF(A43="","",IF(AND(ISNUMBER(L43),L43&gt;0),ROUNDUP(K43/L43,0),"Set pack size"))</x:f>
      </x:c>
      <x:c r="N43" s="11" t="str">
        <x:f>IF(A43="","",SUMIFS('Shipments'!$H$8:$H$207,'Shipments'!$F$8:$F$207,A43,'Shipments'!$C$8:$C$207,"Outbound"))</x:f>
      </x:c>
      <x:c r="O43" s="11" t="str">
        <x:f>IF(A43="","",MAX(0,F43-N43))</x:f>
      </x:c>
    </x:row>
    <x:row r="44" ht="22" customHeight="1">
      <x:c r="A44" s="9" t="str">
        <x:f>IF(AND('Definitions'!A44&lt;&gt;"",'Definitions'!C44="Part"),'Definitions'!A44,"")</x:f>
      </x:c>
      <x:c r="B44" s="9" t="str">
        <x:f>IF(A44="","",'Definitions'!B44)</x:f>
      </x:c>
      <x:c r="C44" s="9" t="str">
        <x:f>IF(A44="","",'Definitions'!F44)</x:f>
      </x:c>
      <x:c r="D44" s="11" t="str">
        <x:f>IF(A44="","",SUMIFS('Layout'!$K$8:$K$207,'Layout'!$G$8:$G$207,A44,'Layout'!$L$8:$L$207,"Build"))</x:f>
      </x:c>
      <x:c r="E44" s="11" t="str">
        <x:f>IF(A44="","",SUMIFS('Layout'!$K$8:$K$207,'Layout'!$G$8:$G$207,A44,'Layout'!$L$8:$L$207,"Spares"))</x:f>
      </x:c>
      <x:c r="F44" s="11" t="str">
        <x:f>IF(A44="","",SUM(D44:E44))</x:f>
      </x:c>
      <x:c r="G44" s="11" t="str">
        <x:f>IF(A44="","",'Definitions'!I44+SUMIFS('Assets'!$J$8:$J$207,'Assets'!$B$8:$B$207,A44))</x:f>
      </x:c>
      <x:c r="H44" s="11" t="str">
        <x:f>IF(A44="","",SUMIFS('Orders'!$I$8:$I$207,'Orders'!$D$8:$D$207,A44))</x:f>
      </x:c>
      <x:c r="I44" s="11" t="str">
        <x:f>IF(A44="","",SUMIFS('Orders'!$J$8:$J$207,'Orders'!$D$8:$D$207,A44))</x:f>
      </x:c>
      <x:c r="J44" s="11" t="str">
        <x:f>IF(A44="","",MAX(0,F44-G44))</x:f>
      </x:c>
      <x:c r="K44" s="11" t="str">
        <x:f>IF(A44="","",MAX(0,F44-G44-H44))</x:f>
      </x:c>
      <x:c r="L44" s="11" t="str">
        <x:f>IF(A44="","",'Definitions'!H44)</x:f>
      </x:c>
      <x:c r="M44" s="11" t="str">
        <x:f>IF(A44="","",IF(AND(ISNUMBER(L44),L44&gt;0),ROUNDUP(K44/L44,0),"Set pack size"))</x:f>
      </x:c>
      <x:c r="N44" s="11" t="str">
        <x:f>IF(A44="","",SUMIFS('Shipments'!$H$8:$H$207,'Shipments'!$F$8:$F$207,A44,'Shipments'!$C$8:$C$207,"Outbound"))</x:f>
      </x:c>
      <x:c r="O44" s="11" t="str">
        <x:f>IF(A44="","",MAX(0,F44-N44))</x:f>
      </x:c>
    </x:row>
    <x:row r="45" ht="22" customHeight="1">
      <x:c r="A45" s="9" t="str">
        <x:f>IF(AND('Definitions'!A45&lt;&gt;"",'Definitions'!C45="Part"),'Definitions'!A45,"")</x:f>
      </x:c>
      <x:c r="B45" s="9" t="str">
        <x:f>IF(A45="","",'Definitions'!B45)</x:f>
      </x:c>
      <x:c r="C45" s="9" t="str">
        <x:f>IF(A45="","",'Definitions'!F45)</x:f>
      </x:c>
      <x:c r="D45" s="11" t="str">
        <x:f>IF(A45="","",SUMIFS('Layout'!$K$8:$K$207,'Layout'!$G$8:$G$207,A45,'Layout'!$L$8:$L$207,"Build"))</x:f>
      </x:c>
      <x:c r="E45" s="11" t="str">
        <x:f>IF(A45="","",SUMIFS('Layout'!$K$8:$K$207,'Layout'!$G$8:$G$207,A45,'Layout'!$L$8:$L$207,"Spares"))</x:f>
      </x:c>
      <x:c r="F45" s="11" t="str">
        <x:f>IF(A45="","",SUM(D45:E45))</x:f>
      </x:c>
      <x:c r="G45" s="11" t="str">
        <x:f>IF(A45="","",'Definitions'!I45+SUMIFS('Assets'!$J$8:$J$207,'Assets'!$B$8:$B$207,A45))</x:f>
      </x:c>
      <x:c r="H45" s="11" t="str">
        <x:f>IF(A45="","",SUMIFS('Orders'!$I$8:$I$207,'Orders'!$D$8:$D$207,A45))</x:f>
      </x:c>
      <x:c r="I45" s="11" t="str">
        <x:f>IF(A45="","",SUMIFS('Orders'!$J$8:$J$207,'Orders'!$D$8:$D$207,A45))</x:f>
      </x:c>
      <x:c r="J45" s="11" t="str">
        <x:f>IF(A45="","",MAX(0,F45-G45))</x:f>
      </x:c>
      <x:c r="K45" s="11" t="str">
        <x:f>IF(A45="","",MAX(0,F45-G45-H45))</x:f>
      </x:c>
      <x:c r="L45" s="11" t="str">
        <x:f>IF(A45="","",'Definitions'!H45)</x:f>
      </x:c>
      <x:c r="M45" s="11" t="str">
        <x:f>IF(A45="","",IF(AND(ISNUMBER(L45),L45&gt;0),ROUNDUP(K45/L45,0),"Set pack size"))</x:f>
      </x:c>
      <x:c r="N45" s="11" t="str">
        <x:f>IF(A45="","",SUMIFS('Shipments'!$H$8:$H$207,'Shipments'!$F$8:$F$207,A45,'Shipments'!$C$8:$C$207,"Outbound"))</x:f>
      </x:c>
      <x:c r="O45" s="11" t="str">
        <x:f>IF(A45="","",MAX(0,F45-N45))</x:f>
      </x:c>
    </x:row>
    <x:row r="46" ht="22" customHeight="1">
      <x:c r="A46" s="9" t="str">
        <x:f>IF(AND('Definitions'!A46&lt;&gt;"",'Definitions'!C46="Part"),'Definitions'!A46,"")</x:f>
      </x:c>
      <x:c r="B46" s="9" t="str">
        <x:f>IF(A46="","",'Definitions'!B46)</x:f>
      </x:c>
      <x:c r="C46" s="9" t="str">
        <x:f>IF(A46="","",'Definitions'!F46)</x:f>
      </x:c>
      <x:c r="D46" s="11" t="str">
        <x:f>IF(A46="","",SUMIFS('Layout'!$K$8:$K$207,'Layout'!$G$8:$G$207,A46,'Layout'!$L$8:$L$207,"Build"))</x:f>
      </x:c>
      <x:c r="E46" s="11" t="str">
        <x:f>IF(A46="","",SUMIFS('Layout'!$K$8:$K$207,'Layout'!$G$8:$G$207,A46,'Layout'!$L$8:$L$207,"Spares"))</x:f>
      </x:c>
      <x:c r="F46" s="11" t="str">
        <x:f>IF(A46="","",SUM(D46:E46))</x:f>
      </x:c>
      <x:c r="G46" s="11" t="str">
        <x:f>IF(A46="","",'Definitions'!I46+SUMIFS('Assets'!$J$8:$J$207,'Assets'!$B$8:$B$207,A46))</x:f>
      </x:c>
      <x:c r="H46" s="11" t="str">
        <x:f>IF(A46="","",SUMIFS('Orders'!$I$8:$I$207,'Orders'!$D$8:$D$207,A46))</x:f>
      </x:c>
      <x:c r="I46" s="11" t="str">
        <x:f>IF(A46="","",SUMIFS('Orders'!$J$8:$J$207,'Orders'!$D$8:$D$207,A46))</x:f>
      </x:c>
      <x:c r="J46" s="11" t="str">
        <x:f>IF(A46="","",MAX(0,F46-G46))</x:f>
      </x:c>
      <x:c r="K46" s="11" t="str">
        <x:f>IF(A46="","",MAX(0,F46-G46-H46))</x:f>
      </x:c>
      <x:c r="L46" s="11" t="str">
        <x:f>IF(A46="","",'Definitions'!H46)</x:f>
      </x:c>
      <x:c r="M46" s="11" t="str">
        <x:f>IF(A46="","",IF(AND(ISNUMBER(L46),L46&gt;0),ROUNDUP(K46/L46,0),"Set pack size"))</x:f>
      </x:c>
      <x:c r="N46" s="11" t="str">
        <x:f>IF(A46="","",SUMIFS('Shipments'!$H$8:$H$207,'Shipments'!$F$8:$F$207,A46,'Shipments'!$C$8:$C$207,"Outbound"))</x:f>
      </x:c>
      <x:c r="O46" s="11" t="str">
        <x:f>IF(A46="","",MAX(0,F46-N46))</x:f>
      </x:c>
    </x:row>
    <x:row r="47" ht="22" customHeight="1">
      <x:c r="A47" s="9" t="str">
        <x:f>IF(AND('Definitions'!A47&lt;&gt;"",'Definitions'!C47="Part"),'Definitions'!A47,"")</x:f>
      </x:c>
      <x:c r="B47" s="9" t="str">
        <x:f>IF(A47="","",'Definitions'!B47)</x:f>
      </x:c>
      <x:c r="C47" s="9" t="str">
        <x:f>IF(A47="","",'Definitions'!F47)</x:f>
      </x:c>
      <x:c r="D47" s="11" t="str">
        <x:f>IF(A47="","",SUMIFS('Layout'!$K$8:$K$207,'Layout'!$G$8:$G$207,A47,'Layout'!$L$8:$L$207,"Build"))</x:f>
      </x:c>
      <x:c r="E47" s="11" t="str">
        <x:f>IF(A47="","",SUMIFS('Layout'!$K$8:$K$207,'Layout'!$G$8:$G$207,A47,'Layout'!$L$8:$L$207,"Spares"))</x:f>
      </x:c>
      <x:c r="F47" s="11" t="str">
        <x:f>IF(A47="","",SUM(D47:E47))</x:f>
      </x:c>
      <x:c r="G47" s="11" t="str">
        <x:f>IF(A47="","",'Definitions'!I47+SUMIFS('Assets'!$J$8:$J$207,'Assets'!$B$8:$B$207,A47))</x:f>
      </x:c>
      <x:c r="H47" s="11" t="str">
        <x:f>IF(A47="","",SUMIFS('Orders'!$I$8:$I$207,'Orders'!$D$8:$D$207,A47))</x:f>
      </x:c>
      <x:c r="I47" s="11" t="str">
        <x:f>IF(A47="","",SUMIFS('Orders'!$J$8:$J$207,'Orders'!$D$8:$D$207,A47))</x:f>
      </x:c>
      <x:c r="J47" s="11" t="str">
        <x:f>IF(A47="","",MAX(0,F47-G47))</x:f>
      </x:c>
      <x:c r="K47" s="11" t="str">
        <x:f>IF(A47="","",MAX(0,F47-G47-H47))</x:f>
      </x:c>
      <x:c r="L47" s="11" t="str">
        <x:f>IF(A47="","",'Definitions'!H47)</x:f>
      </x:c>
      <x:c r="M47" s="11" t="str">
        <x:f>IF(A47="","",IF(AND(ISNUMBER(L47),L47&gt;0),ROUNDUP(K47/L47,0),"Set pack size"))</x:f>
      </x:c>
      <x:c r="N47" s="11" t="str">
        <x:f>IF(A47="","",SUMIFS('Shipments'!$H$8:$H$207,'Shipments'!$F$8:$F$207,A47,'Shipments'!$C$8:$C$207,"Outbound"))</x:f>
      </x:c>
      <x:c r="O47" s="11" t="str">
        <x:f>IF(A47="","",MAX(0,F47-N47))</x:f>
      </x:c>
    </x:row>
    <x:row r="48" ht="22" customHeight="1">
      <x:c r="A48" s="9" t="str">
        <x:f>IF(AND('Definitions'!A48&lt;&gt;"",'Definitions'!C48="Part"),'Definitions'!A48,"")</x:f>
      </x:c>
      <x:c r="B48" s="9" t="str">
        <x:f>IF(A48="","",'Definitions'!B48)</x:f>
      </x:c>
      <x:c r="C48" s="9" t="str">
        <x:f>IF(A48="","",'Definitions'!F48)</x:f>
      </x:c>
      <x:c r="D48" s="11" t="str">
        <x:f>IF(A48="","",SUMIFS('Layout'!$K$8:$K$207,'Layout'!$G$8:$G$207,A48,'Layout'!$L$8:$L$207,"Build"))</x:f>
      </x:c>
      <x:c r="E48" s="11" t="str">
        <x:f>IF(A48="","",SUMIFS('Layout'!$K$8:$K$207,'Layout'!$G$8:$G$207,A48,'Layout'!$L$8:$L$207,"Spares"))</x:f>
      </x:c>
      <x:c r="F48" s="11" t="str">
        <x:f>IF(A48="","",SUM(D48:E48))</x:f>
      </x:c>
      <x:c r="G48" s="11" t="str">
        <x:f>IF(A48="","",'Definitions'!I48+SUMIFS('Assets'!$J$8:$J$207,'Assets'!$B$8:$B$207,A48))</x:f>
      </x:c>
      <x:c r="H48" s="11" t="str">
        <x:f>IF(A48="","",SUMIFS('Orders'!$I$8:$I$207,'Orders'!$D$8:$D$207,A48))</x:f>
      </x:c>
      <x:c r="I48" s="11" t="str">
        <x:f>IF(A48="","",SUMIFS('Orders'!$J$8:$J$207,'Orders'!$D$8:$D$207,A48))</x:f>
      </x:c>
      <x:c r="J48" s="11" t="str">
        <x:f>IF(A48="","",MAX(0,F48-G48))</x:f>
      </x:c>
      <x:c r="K48" s="11" t="str">
        <x:f>IF(A48="","",MAX(0,F48-G48-H48))</x:f>
      </x:c>
      <x:c r="L48" s="11" t="str">
        <x:f>IF(A48="","",'Definitions'!H48)</x:f>
      </x:c>
      <x:c r="M48" s="11" t="str">
        <x:f>IF(A48="","",IF(AND(ISNUMBER(L48),L48&gt;0),ROUNDUP(K48/L48,0),"Set pack size"))</x:f>
      </x:c>
      <x:c r="N48" s="11" t="str">
        <x:f>IF(A48="","",SUMIFS('Shipments'!$H$8:$H$207,'Shipments'!$F$8:$F$207,A48,'Shipments'!$C$8:$C$207,"Outbound"))</x:f>
      </x:c>
      <x:c r="O48" s="11" t="str">
        <x:f>IF(A48="","",MAX(0,F48-N48))</x:f>
      </x:c>
    </x:row>
    <x:row r="49" ht="22" customHeight="1">
      <x:c r="A49" s="9" t="str">
        <x:f>IF(AND('Definitions'!A49&lt;&gt;"",'Definitions'!C49="Part"),'Definitions'!A49,"")</x:f>
      </x:c>
      <x:c r="B49" s="9" t="str">
        <x:f>IF(A49="","",'Definitions'!B49)</x:f>
      </x:c>
      <x:c r="C49" s="9" t="str">
        <x:f>IF(A49="","",'Definitions'!F49)</x:f>
      </x:c>
      <x:c r="D49" s="11" t="str">
        <x:f>IF(A49="","",SUMIFS('Layout'!$K$8:$K$207,'Layout'!$G$8:$G$207,A49,'Layout'!$L$8:$L$207,"Build"))</x:f>
      </x:c>
      <x:c r="E49" s="11" t="str">
        <x:f>IF(A49="","",SUMIFS('Layout'!$K$8:$K$207,'Layout'!$G$8:$G$207,A49,'Layout'!$L$8:$L$207,"Spares"))</x:f>
      </x:c>
      <x:c r="F49" s="11" t="str">
        <x:f>IF(A49="","",SUM(D49:E49))</x:f>
      </x:c>
      <x:c r="G49" s="11" t="str">
        <x:f>IF(A49="","",'Definitions'!I49+SUMIFS('Assets'!$J$8:$J$207,'Assets'!$B$8:$B$207,A49))</x:f>
      </x:c>
      <x:c r="H49" s="11" t="str">
        <x:f>IF(A49="","",SUMIFS('Orders'!$I$8:$I$207,'Orders'!$D$8:$D$207,A49))</x:f>
      </x:c>
      <x:c r="I49" s="11" t="str">
        <x:f>IF(A49="","",SUMIFS('Orders'!$J$8:$J$207,'Orders'!$D$8:$D$207,A49))</x:f>
      </x:c>
      <x:c r="J49" s="11" t="str">
        <x:f>IF(A49="","",MAX(0,F49-G49))</x:f>
      </x:c>
      <x:c r="K49" s="11" t="str">
        <x:f>IF(A49="","",MAX(0,F49-G49-H49))</x:f>
      </x:c>
      <x:c r="L49" s="11" t="str">
        <x:f>IF(A49="","",'Definitions'!H49)</x:f>
      </x:c>
      <x:c r="M49" s="11" t="str">
        <x:f>IF(A49="","",IF(AND(ISNUMBER(L49),L49&gt;0),ROUNDUP(K49/L49,0),"Set pack size"))</x:f>
      </x:c>
      <x:c r="N49" s="11" t="str">
        <x:f>IF(A49="","",SUMIFS('Shipments'!$H$8:$H$207,'Shipments'!$F$8:$F$207,A49,'Shipments'!$C$8:$C$207,"Outbound"))</x:f>
      </x:c>
      <x:c r="O49" s="11" t="str">
        <x:f>IF(A49="","",MAX(0,F49-N49))</x:f>
      </x:c>
    </x:row>
    <x:row r="50" ht="22" customHeight="1">
      <x:c r="A50" s="9" t="str">
        <x:f>IF(AND('Definitions'!A50&lt;&gt;"",'Definitions'!C50="Part"),'Definitions'!A50,"")</x:f>
      </x:c>
      <x:c r="B50" s="9" t="str">
        <x:f>IF(A50="","",'Definitions'!B50)</x:f>
      </x:c>
      <x:c r="C50" s="9" t="str">
        <x:f>IF(A50="","",'Definitions'!F50)</x:f>
      </x:c>
      <x:c r="D50" s="11" t="str">
        <x:f>IF(A50="","",SUMIFS('Layout'!$K$8:$K$207,'Layout'!$G$8:$G$207,A50,'Layout'!$L$8:$L$207,"Build"))</x:f>
      </x:c>
      <x:c r="E50" s="11" t="str">
        <x:f>IF(A50="","",SUMIFS('Layout'!$K$8:$K$207,'Layout'!$G$8:$G$207,A50,'Layout'!$L$8:$L$207,"Spares"))</x:f>
      </x:c>
      <x:c r="F50" s="11" t="str">
        <x:f>IF(A50="","",SUM(D50:E50))</x:f>
      </x:c>
      <x:c r="G50" s="11" t="str">
        <x:f>IF(A50="","",'Definitions'!I50+SUMIFS('Assets'!$J$8:$J$207,'Assets'!$B$8:$B$207,A50))</x:f>
      </x:c>
      <x:c r="H50" s="11" t="str">
        <x:f>IF(A50="","",SUMIFS('Orders'!$I$8:$I$207,'Orders'!$D$8:$D$207,A50))</x:f>
      </x:c>
      <x:c r="I50" s="11" t="str">
        <x:f>IF(A50="","",SUMIFS('Orders'!$J$8:$J$207,'Orders'!$D$8:$D$207,A50))</x:f>
      </x:c>
      <x:c r="J50" s="11" t="str">
        <x:f>IF(A50="","",MAX(0,F50-G50))</x:f>
      </x:c>
      <x:c r="K50" s="11" t="str">
        <x:f>IF(A50="","",MAX(0,F50-G50-H50))</x:f>
      </x:c>
      <x:c r="L50" s="11" t="str">
        <x:f>IF(A50="","",'Definitions'!H50)</x:f>
      </x:c>
      <x:c r="M50" s="11" t="str">
        <x:f>IF(A50="","",IF(AND(ISNUMBER(L50),L50&gt;0),ROUNDUP(K50/L50,0),"Set pack size"))</x:f>
      </x:c>
      <x:c r="N50" s="11" t="str">
        <x:f>IF(A50="","",SUMIFS('Shipments'!$H$8:$H$207,'Shipments'!$F$8:$F$207,A50,'Shipments'!$C$8:$C$207,"Outbound"))</x:f>
      </x:c>
      <x:c r="O50" s="11" t="str">
        <x:f>IF(A50="","",MAX(0,F50-N50))</x:f>
      </x:c>
    </x:row>
    <x:row r="51" ht="22" customHeight="1">
      <x:c r="A51" s="9" t="str">
        <x:f>IF(AND('Definitions'!A51&lt;&gt;"",'Definitions'!C51="Part"),'Definitions'!A51,"")</x:f>
      </x:c>
      <x:c r="B51" s="9" t="str">
        <x:f>IF(A51="","",'Definitions'!B51)</x:f>
      </x:c>
      <x:c r="C51" s="9" t="str">
        <x:f>IF(A51="","",'Definitions'!F51)</x:f>
      </x:c>
      <x:c r="D51" s="11" t="str">
        <x:f>IF(A51="","",SUMIFS('Layout'!$K$8:$K$207,'Layout'!$G$8:$G$207,A51,'Layout'!$L$8:$L$207,"Build"))</x:f>
      </x:c>
      <x:c r="E51" s="11" t="str">
        <x:f>IF(A51="","",SUMIFS('Layout'!$K$8:$K$207,'Layout'!$G$8:$G$207,A51,'Layout'!$L$8:$L$207,"Spares"))</x:f>
      </x:c>
      <x:c r="F51" s="11" t="str">
        <x:f>IF(A51="","",SUM(D51:E51))</x:f>
      </x:c>
      <x:c r="G51" s="11" t="str">
        <x:f>IF(A51="","",'Definitions'!I51+SUMIFS('Assets'!$J$8:$J$207,'Assets'!$B$8:$B$207,A51))</x:f>
      </x:c>
      <x:c r="H51" s="11" t="str">
        <x:f>IF(A51="","",SUMIFS('Orders'!$I$8:$I$207,'Orders'!$D$8:$D$207,A51))</x:f>
      </x:c>
      <x:c r="I51" s="11" t="str">
        <x:f>IF(A51="","",SUMIFS('Orders'!$J$8:$J$207,'Orders'!$D$8:$D$207,A51))</x:f>
      </x:c>
      <x:c r="J51" s="11" t="str">
        <x:f>IF(A51="","",MAX(0,F51-G51))</x:f>
      </x:c>
      <x:c r="K51" s="11" t="str">
        <x:f>IF(A51="","",MAX(0,F51-G51-H51))</x:f>
      </x:c>
      <x:c r="L51" s="11" t="str">
        <x:f>IF(A51="","",'Definitions'!H51)</x:f>
      </x:c>
      <x:c r="M51" s="11" t="str">
        <x:f>IF(A51="","",IF(AND(ISNUMBER(L51),L51&gt;0),ROUNDUP(K51/L51,0),"Set pack size"))</x:f>
      </x:c>
      <x:c r="N51" s="11" t="str">
        <x:f>IF(A51="","",SUMIFS('Shipments'!$H$8:$H$207,'Shipments'!$F$8:$F$207,A51,'Shipments'!$C$8:$C$207,"Outbound"))</x:f>
      </x:c>
      <x:c r="O51" s="11" t="str">
        <x:f>IF(A51="","",MAX(0,F51-N51))</x:f>
      </x:c>
    </x:row>
    <x:row r="52" ht="22" customHeight="1">
      <x:c r="A52" s="9" t="str">
        <x:f>IF(AND('Definitions'!A52&lt;&gt;"",'Definitions'!C52="Part"),'Definitions'!A52,"")</x:f>
      </x:c>
      <x:c r="B52" s="9" t="str">
        <x:f>IF(A52="","",'Definitions'!B52)</x:f>
      </x:c>
      <x:c r="C52" s="9" t="str">
        <x:f>IF(A52="","",'Definitions'!F52)</x:f>
      </x:c>
      <x:c r="D52" s="11" t="str">
        <x:f>IF(A52="","",SUMIFS('Layout'!$K$8:$K$207,'Layout'!$G$8:$G$207,A52,'Layout'!$L$8:$L$207,"Build"))</x:f>
      </x:c>
      <x:c r="E52" s="11" t="str">
        <x:f>IF(A52="","",SUMIFS('Layout'!$K$8:$K$207,'Layout'!$G$8:$G$207,A52,'Layout'!$L$8:$L$207,"Spares"))</x:f>
      </x:c>
      <x:c r="F52" s="11" t="str">
        <x:f>IF(A52="","",SUM(D52:E52))</x:f>
      </x:c>
      <x:c r="G52" s="11" t="str">
        <x:f>IF(A52="","",'Definitions'!I52+SUMIFS('Assets'!$J$8:$J$207,'Assets'!$B$8:$B$207,A52))</x:f>
      </x:c>
      <x:c r="H52" s="11" t="str">
        <x:f>IF(A52="","",SUMIFS('Orders'!$I$8:$I$207,'Orders'!$D$8:$D$207,A52))</x:f>
      </x:c>
      <x:c r="I52" s="11" t="str">
        <x:f>IF(A52="","",SUMIFS('Orders'!$J$8:$J$207,'Orders'!$D$8:$D$207,A52))</x:f>
      </x:c>
      <x:c r="J52" s="11" t="str">
        <x:f>IF(A52="","",MAX(0,F52-G52))</x:f>
      </x:c>
      <x:c r="K52" s="11" t="str">
        <x:f>IF(A52="","",MAX(0,F52-G52-H52))</x:f>
      </x:c>
      <x:c r="L52" s="11" t="str">
        <x:f>IF(A52="","",'Definitions'!H52)</x:f>
      </x:c>
      <x:c r="M52" s="11" t="str">
        <x:f>IF(A52="","",IF(AND(ISNUMBER(L52),L52&gt;0),ROUNDUP(K52/L52,0),"Set pack size"))</x:f>
      </x:c>
      <x:c r="N52" s="11" t="str">
        <x:f>IF(A52="","",SUMIFS('Shipments'!$H$8:$H$207,'Shipments'!$F$8:$F$207,A52,'Shipments'!$C$8:$C$207,"Outbound"))</x:f>
      </x:c>
      <x:c r="O52" s="11" t="str">
        <x:f>IF(A52="","",MAX(0,F52-N52))</x:f>
      </x:c>
    </x:row>
    <x:row r="53" ht="22" customHeight="1">
      <x:c r="A53" s="9" t="str">
        <x:f>IF(AND('Definitions'!A53&lt;&gt;"",'Definitions'!C53="Part"),'Definitions'!A53,"")</x:f>
      </x:c>
      <x:c r="B53" s="9" t="str">
        <x:f>IF(A53="","",'Definitions'!B53)</x:f>
      </x:c>
      <x:c r="C53" s="9" t="str">
        <x:f>IF(A53="","",'Definitions'!F53)</x:f>
      </x:c>
      <x:c r="D53" s="11" t="str">
        <x:f>IF(A53="","",SUMIFS('Layout'!$K$8:$K$207,'Layout'!$G$8:$G$207,A53,'Layout'!$L$8:$L$207,"Build"))</x:f>
      </x:c>
      <x:c r="E53" s="11" t="str">
        <x:f>IF(A53="","",SUMIFS('Layout'!$K$8:$K$207,'Layout'!$G$8:$G$207,A53,'Layout'!$L$8:$L$207,"Spares"))</x:f>
      </x:c>
      <x:c r="F53" s="11" t="str">
        <x:f>IF(A53="","",SUM(D53:E53))</x:f>
      </x:c>
      <x:c r="G53" s="11" t="str">
        <x:f>IF(A53="","",'Definitions'!I53+SUMIFS('Assets'!$J$8:$J$207,'Assets'!$B$8:$B$207,A53))</x:f>
      </x:c>
      <x:c r="H53" s="11" t="str">
        <x:f>IF(A53="","",SUMIFS('Orders'!$I$8:$I$207,'Orders'!$D$8:$D$207,A53))</x:f>
      </x:c>
      <x:c r="I53" s="11" t="str">
        <x:f>IF(A53="","",SUMIFS('Orders'!$J$8:$J$207,'Orders'!$D$8:$D$207,A53))</x:f>
      </x:c>
      <x:c r="J53" s="11" t="str">
        <x:f>IF(A53="","",MAX(0,F53-G53))</x:f>
      </x:c>
      <x:c r="K53" s="11" t="str">
        <x:f>IF(A53="","",MAX(0,F53-G53-H53))</x:f>
      </x:c>
      <x:c r="L53" s="11" t="str">
        <x:f>IF(A53="","",'Definitions'!H53)</x:f>
      </x:c>
      <x:c r="M53" s="11" t="str">
        <x:f>IF(A53="","",IF(AND(ISNUMBER(L53),L53&gt;0),ROUNDUP(K53/L53,0),"Set pack size"))</x:f>
      </x:c>
      <x:c r="N53" s="11" t="str">
        <x:f>IF(A53="","",SUMIFS('Shipments'!$H$8:$H$207,'Shipments'!$F$8:$F$207,A53,'Shipments'!$C$8:$C$207,"Outbound"))</x:f>
      </x:c>
      <x:c r="O53" s="11" t="str">
        <x:f>IF(A53="","",MAX(0,F53-N53))</x:f>
      </x:c>
    </x:row>
    <x:row r="54" ht="22" customHeight="1">
      <x:c r="A54" s="9" t="str">
        <x:f>IF(AND('Definitions'!A54&lt;&gt;"",'Definitions'!C54="Part"),'Definitions'!A54,"")</x:f>
      </x:c>
      <x:c r="B54" s="9" t="str">
        <x:f>IF(A54="","",'Definitions'!B54)</x:f>
      </x:c>
      <x:c r="C54" s="9" t="str">
        <x:f>IF(A54="","",'Definitions'!F54)</x:f>
      </x:c>
      <x:c r="D54" s="11" t="str">
        <x:f>IF(A54="","",SUMIFS('Layout'!$K$8:$K$207,'Layout'!$G$8:$G$207,A54,'Layout'!$L$8:$L$207,"Build"))</x:f>
      </x:c>
      <x:c r="E54" s="11" t="str">
        <x:f>IF(A54="","",SUMIFS('Layout'!$K$8:$K$207,'Layout'!$G$8:$G$207,A54,'Layout'!$L$8:$L$207,"Spares"))</x:f>
      </x:c>
      <x:c r="F54" s="11" t="str">
        <x:f>IF(A54="","",SUM(D54:E54))</x:f>
      </x:c>
      <x:c r="G54" s="11" t="str">
        <x:f>IF(A54="","",'Definitions'!I54+SUMIFS('Assets'!$J$8:$J$207,'Assets'!$B$8:$B$207,A54))</x:f>
      </x:c>
      <x:c r="H54" s="11" t="str">
        <x:f>IF(A54="","",SUMIFS('Orders'!$I$8:$I$207,'Orders'!$D$8:$D$207,A54))</x:f>
      </x:c>
      <x:c r="I54" s="11" t="str">
        <x:f>IF(A54="","",SUMIFS('Orders'!$J$8:$J$207,'Orders'!$D$8:$D$207,A54))</x:f>
      </x:c>
      <x:c r="J54" s="11" t="str">
        <x:f>IF(A54="","",MAX(0,F54-G54))</x:f>
      </x:c>
      <x:c r="K54" s="11" t="str">
        <x:f>IF(A54="","",MAX(0,F54-G54-H54))</x:f>
      </x:c>
      <x:c r="L54" s="11" t="str">
        <x:f>IF(A54="","",'Definitions'!H54)</x:f>
      </x:c>
      <x:c r="M54" s="11" t="str">
        <x:f>IF(A54="","",IF(AND(ISNUMBER(L54),L54&gt;0),ROUNDUP(K54/L54,0),"Set pack size"))</x:f>
      </x:c>
      <x:c r="N54" s="11" t="str">
        <x:f>IF(A54="","",SUMIFS('Shipments'!$H$8:$H$207,'Shipments'!$F$8:$F$207,A54,'Shipments'!$C$8:$C$207,"Outbound"))</x:f>
      </x:c>
      <x:c r="O54" s="11" t="str">
        <x:f>IF(A54="","",MAX(0,F54-N54))</x:f>
      </x:c>
    </x:row>
    <x:row r="55" ht="22" customHeight="1">
      <x:c r="A55" s="9" t="str">
        <x:f>IF(AND('Definitions'!A55&lt;&gt;"",'Definitions'!C55="Part"),'Definitions'!A55,"")</x:f>
      </x:c>
      <x:c r="B55" s="9" t="str">
        <x:f>IF(A55="","",'Definitions'!B55)</x:f>
      </x:c>
      <x:c r="C55" s="9" t="str">
        <x:f>IF(A55="","",'Definitions'!F55)</x:f>
      </x:c>
      <x:c r="D55" s="11" t="str">
        <x:f>IF(A55="","",SUMIFS('Layout'!$K$8:$K$207,'Layout'!$G$8:$G$207,A55,'Layout'!$L$8:$L$207,"Build"))</x:f>
      </x:c>
      <x:c r="E55" s="11" t="str">
        <x:f>IF(A55="","",SUMIFS('Layout'!$K$8:$K$207,'Layout'!$G$8:$G$207,A55,'Layout'!$L$8:$L$207,"Spares"))</x:f>
      </x:c>
      <x:c r="F55" s="11" t="str">
        <x:f>IF(A55="","",SUM(D55:E55))</x:f>
      </x:c>
      <x:c r="G55" s="11" t="str">
        <x:f>IF(A55="","",'Definitions'!I55+SUMIFS('Assets'!$J$8:$J$207,'Assets'!$B$8:$B$207,A55))</x:f>
      </x:c>
      <x:c r="H55" s="11" t="str">
        <x:f>IF(A55="","",SUMIFS('Orders'!$I$8:$I$207,'Orders'!$D$8:$D$207,A55))</x:f>
      </x:c>
      <x:c r="I55" s="11" t="str">
        <x:f>IF(A55="","",SUMIFS('Orders'!$J$8:$J$207,'Orders'!$D$8:$D$207,A55))</x:f>
      </x:c>
      <x:c r="J55" s="11" t="str">
        <x:f>IF(A55="","",MAX(0,F55-G55))</x:f>
      </x:c>
      <x:c r="K55" s="11" t="str">
        <x:f>IF(A55="","",MAX(0,F55-G55-H55))</x:f>
      </x:c>
      <x:c r="L55" s="11" t="str">
        <x:f>IF(A55="","",'Definitions'!H55)</x:f>
      </x:c>
      <x:c r="M55" s="11" t="str">
        <x:f>IF(A55="","",IF(AND(ISNUMBER(L55),L55&gt;0),ROUNDUP(K55/L55,0),"Set pack size"))</x:f>
      </x:c>
      <x:c r="N55" s="11" t="str">
        <x:f>IF(A55="","",SUMIFS('Shipments'!$H$8:$H$207,'Shipments'!$F$8:$F$207,A55,'Shipments'!$C$8:$C$207,"Outbound"))</x:f>
      </x:c>
      <x:c r="O55" s="11" t="str">
        <x:f>IF(A55="","",MAX(0,F55-N55))</x:f>
      </x:c>
    </x:row>
    <x:row r="56" ht="22" customHeight="1">
      <x:c r="A56" s="9" t="str">
        <x:f>IF(AND('Definitions'!A56&lt;&gt;"",'Definitions'!C56="Part"),'Definitions'!A56,"")</x:f>
      </x:c>
      <x:c r="B56" s="9" t="str">
        <x:f>IF(A56="","",'Definitions'!B56)</x:f>
      </x:c>
      <x:c r="C56" s="9" t="str">
        <x:f>IF(A56="","",'Definitions'!F56)</x:f>
      </x:c>
      <x:c r="D56" s="11" t="str">
        <x:f>IF(A56="","",SUMIFS('Layout'!$K$8:$K$207,'Layout'!$G$8:$G$207,A56,'Layout'!$L$8:$L$207,"Build"))</x:f>
      </x:c>
      <x:c r="E56" s="11" t="str">
        <x:f>IF(A56="","",SUMIFS('Layout'!$K$8:$K$207,'Layout'!$G$8:$G$207,A56,'Layout'!$L$8:$L$207,"Spares"))</x:f>
      </x:c>
      <x:c r="F56" s="11" t="str">
        <x:f>IF(A56="","",SUM(D56:E56))</x:f>
      </x:c>
      <x:c r="G56" s="11" t="str">
        <x:f>IF(A56="","",'Definitions'!I56+SUMIFS('Assets'!$J$8:$J$207,'Assets'!$B$8:$B$207,A56))</x:f>
      </x:c>
      <x:c r="H56" s="11" t="str">
        <x:f>IF(A56="","",SUMIFS('Orders'!$I$8:$I$207,'Orders'!$D$8:$D$207,A56))</x:f>
      </x:c>
      <x:c r="I56" s="11" t="str">
        <x:f>IF(A56="","",SUMIFS('Orders'!$J$8:$J$207,'Orders'!$D$8:$D$207,A56))</x:f>
      </x:c>
      <x:c r="J56" s="11" t="str">
        <x:f>IF(A56="","",MAX(0,F56-G56))</x:f>
      </x:c>
      <x:c r="K56" s="11" t="str">
        <x:f>IF(A56="","",MAX(0,F56-G56-H56))</x:f>
      </x:c>
      <x:c r="L56" s="11" t="str">
        <x:f>IF(A56="","",'Definitions'!H56)</x:f>
      </x:c>
      <x:c r="M56" s="11" t="str">
        <x:f>IF(A56="","",IF(AND(ISNUMBER(L56),L56&gt;0),ROUNDUP(K56/L56,0),"Set pack size"))</x:f>
      </x:c>
      <x:c r="N56" s="11" t="str">
        <x:f>IF(A56="","",SUMIFS('Shipments'!$H$8:$H$207,'Shipments'!$F$8:$F$207,A56,'Shipments'!$C$8:$C$207,"Outbound"))</x:f>
      </x:c>
      <x:c r="O56" s="11" t="str">
        <x:f>IF(A56="","",MAX(0,F56-N56))</x:f>
      </x:c>
    </x:row>
    <x:row r="57" ht="22" customHeight="1">
      <x:c r="A57" s="9" t="str">
        <x:f>IF(AND('Definitions'!A57&lt;&gt;"",'Definitions'!C57="Part"),'Definitions'!A57,"")</x:f>
      </x:c>
      <x:c r="B57" s="9" t="str">
        <x:f>IF(A57="","",'Definitions'!B57)</x:f>
      </x:c>
      <x:c r="C57" s="9" t="str">
        <x:f>IF(A57="","",'Definitions'!F57)</x:f>
      </x:c>
      <x:c r="D57" s="11" t="str">
        <x:f>IF(A57="","",SUMIFS('Layout'!$K$8:$K$207,'Layout'!$G$8:$G$207,A57,'Layout'!$L$8:$L$207,"Build"))</x:f>
      </x:c>
      <x:c r="E57" s="11" t="str">
        <x:f>IF(A57="","",SUMIFS('Layout'!$K$8:$K$207,'Layout'!$G$8:$G$207,A57,'Layout'!$L$8:$L$207,"Spares"))</x:f>
      </x:c>
      <x:c r="F57" s="11" t="str">
        <x:f>IF(A57="","",SUM(D57:E57))</x:f>
      </x:c>
      <x:c r="G57" s="11" t="str">
        <x:f>IF(A57="","",'Definitions'!I57+SUMIFS('Assets'!$J$8:$J$207,'Assets'!$B$8:$B$207,A57))</x:f>
      </x:c>
      <x:c r="H57" s="11" t="str">
        <x:f>IF(A57="","",SUMIFS('Orders'!$I$8:$I$207,'Orders'!$D$8:$D$207,A57))</x:f>
      </x:c>
      <x:c r="I57" s="11" t="str">
        <x:f>IF(A57="","",SUMIFS('Orders'!$J$8:$J$207,'Orders'!$D$8:$D$207,A57))</x:f>
      </x:c>
      <x:c r="J57" s="11" t="str">
        <x:f>IF(A57="","",MAX(0,F57-G57))</x:f>
      </x:c>
      <x:c r="K57" s="11" t="str">
        <x:f>IF(A57="","",MAX(0,F57-G57-H57))</x:f>
      </x:c>
      <x:c r="L57" s="11" t="str">
        <x:f>IF(A57="","",'Definitions'!H57)</x:f>
      </x:c>
      <x:c r="M57" s="11" t="str">
        <x:f>IF(A57="","",IF(AND(ISNUMBER(L57),L57&gt;0),ROUNDUP(K57/L57,0),"Set pack size"))</x:f>
      </x:c>
      <x:c r="N57" s="11" t="str">
        <x:f>IF(A57="","",SUMIFS('Shipments'!$H$8:$H$207,'Shipments'!$F$8:$F$207,A57,'Shipments'!$C$8:$C$207,"Outbound"))</x:f>
      </x:c>
      <x:c r="O57" s="11" t="str">
        <x:f>IF(A57="","",MAX(0,F57-N57))</x:f>
      </x:c>
    </x:row>
    <x:row r="58" ht="22" customHeight="1">
      <x:c r="A58" s="9" t="str">
        <x:f>IF(AND('Definitions'!A58&lt;&gt;"",'Definitions'!C58="Part"),'Definitions'!A58,"")</x:f>
      </x:c>
      <x:c r="B58" s="9" t="str">
        <x:f>IF(A58="","",'Definitions'!B58)</x:f>
      </x:c>
      <x:c r="C58" s="9" t="str">
        <x:f>IF(A58="","",'Definitions'!F58)</x:f>
      </x:c>
      <x:c r="D58" s="11" t="str">
        <x:f>IF(A58="","",SUMIFS('Layout'!$K$8:$K$207,'Layout'!$G$8:$G$207,A58,'Layout'!$L$8:$L$207,"Build"))</x:f>
      </x:c>
      <x:c r="E58" s="11" t="str">
        <x:f>IF(A58="","",SUMIFS('Layout'!$K$8:$K$207,'Layout'!$G$8:$G$207,A58,'Layout'!$L$8:$L$207,"Spares"))</x:f>
      </x:c>
      <x:c r="F58" s="11" t="str">
        <x:f>IF(A58="","",SUM(D58:E58))</x:f>
      </x:c>
      <x:c r="G58" s="11" t="str">
        <x:f>IF(A58="","",'Definitions'!I58+SUMIFS('Assets'!$J$8:$J$207,'Assets'!$B$8:$B$207,A58))</x:f>
      </x:c>
      <x:c r="H58" s="11" t="str">
        <x:f>IF(A58="","",SUMIFS('Orders'!$I$8:$I$207,'Orders'!$D$8:$D$207,A58))</x:f>
      </x:c>
      <x:c r="I58" s="11" t="str">
        <x:f>IF(A58="","",SUMIFS('Orders'!$J$8:$J$207,'Orders'!$D$8:$D$207,A58))</x:f>
      </x:c>
      <x:c r="J58" s="11" t="str">
        <x:f>IF(A58="","",MAX(0,F58-G58))</x:f>
      </x:c>
      <x:c r="K58" s="11" t="str">
        <x:f>IF(A58="","",MAX(0,F58-G58-H58))</x:f>
      </x:c>
      <x:c r="L58" s="11" t="str">
        <x:f>IF(A58="","",'Definitions'!H58)</x:f>
      </x:c>
      <x:c r="M58" s="11" t="str">
        <x:f>IF(A58="","",IF(AND(ISNUMBER(L58),L58&gt;0),ROUNDUP(K58/L58,0),"Set pack size"))</x:f>
      </x:c>
      <x:c r="N58" s="11" t="str">
        <x:f>IF(A58="","",SUMIFS('Shipments'!$H$8:$H$207,'Shipments'!$F$8:$F$207,A58,'Shipments'!$C$8:$C$207,"Outbound"))</x:f>
      </x:c>
      <x:c r="O58" s="11" t="str">
        <x:f>IF(A58="","",MAX(0,F58-N58))</x:f>
      </x:c>
    </x:row>
    <x:row r="59" ht="22" customHeight="1">
      <x:c r="A59" s="9" t="str">
        <x:f>IF(AND('Definitions'!A59&lt;&gt;"",'Definitions'!C59="Part"),'Definitions'!A59,"")</x:f>
      </x:c>
      <x:c r="B59" s="9" t="str">
        <x:f>IF(A59="","",'Definitions'!B59)</x:f>
      </x:c>
      <x:c r="C59" s="9" t="str">
        <x:f>IF(A59="","",'Definitions'!F59)</x:f>
      </x:c>
      <x:c r="D59" s="11" t="str">
        <x:f>IF(A59="","",SUMIFS('Layout'!$K$8:$K$207,'Layout'!$G$8:$G$207,A59,'Layout'!$L$8:$L$207,"Build"))</x:f>
      </x:c>
      <x:c r="E59" s="11" t="str">
        <x:f>IF(A59="","",SUMIFS('Layout'!$K$8:$K$207,'Layout'!$G$8:$G$207,A59,'Layout'!$L$8:$L$207,"Spares"))</x:f>
      </x:c>
      <x:c r="F59" s="11" t="str">
        <x:f>IF(A59="","",SUM(D59:E59))</x:f>
      </x:c>
      <x:c r="G59" s="11" t="str">
        <x:f>IF(A59="","",'Definitions'!I59+SUMIFS('Assets'!$J$8:$J$207,'Assets'!$B$8:$B$207,A59))</x:f>
      </x:c>
      <x:c r="H59" s="11" t="str">
        <x:f>IF(A59="","",SUMIFS('Orders'!$I$8:$I$207,'Orders'!$D$8:$D$207,A59))</x:f>
      </x:c>
      <x:c r="I59" s="11" t="str">
        <x:f>IF(A59="","",SUMIFS('Orders'!$J$8:$J$207,'Orders'!$D$8:$D$207,A59))</x:f>
      </x:c>
      <x:c r="J59" s="11" t="str">
        <x:f>IF(A59="","",MAX(0,F59-G59))</x:f>
      </x:c>
      <x:c r="K59" s="11" t="str">
        <x:f>IF(A59="","",MAX(0,F59-G59-H59))</x:f>
      </x:c>
      <x:c r="L59" s="11" t="str">
        <x:f>IF(A59="","",'Definitions'!H59)</x:f>
      </x:c>
      <x:c r="M59" s="11" t="str">
        <x:f>IF(A59="","",IF(AND(ISNUMBER(L59),L59&gt;0),ROUNDUP(K59/L59,0),"Set pack size"))</x:f>
      </x:c>
      <x:c r="N59" s="11" t="str">
        <x:f>IF(A59="","",SUMIFS('Shipments'!$H$8:$H$207,'Shipments'!$F$8:$F$207,A59,'Shipments'!$C$8:$C$207,"Outbound"))</x:f>
      </x:c>
      <x:c r="O59" s="11" t="str">
        <x:f>IF(A59="","",MAX(0,F59-N59))</x:f>
      </x:c>
    </x:row>
    <x:row r="60" ht="22" customHeight="1">
      <x:c r="A60" s="9" t="str">
        <x:f>IF(AND('Definitions'!A60&lt;&gt;"",'Definitions'!C60="Part"),'Definitions'!A60,"")</x:f>
      </x:c>
      <x:c r="B60" s="9" t="str">
        <x:f>IF(A60="","",'Definitions'!B60)</x:f>
      </x:c>
      <x:c r="C60" s="9" t="str">
        <x:f>IF(A60="","",'Definitions'!F60)</x:f>
      </x:c>
      <x:c r="D60" s="11" t="str">
        <x:f>IF(A60="","",SUMIFS('Layout'!$K$8:$K$207,'Layout'!$G$8:$G$207,A60,'Layout'!$L$8:$L$207,"Build"))</x:f>
      </x:c>
      <x:c r="E60" s="11" t="str">
        <x:f>IF(A60="","",SUMIFS('Layout'!$K$8:$K$207,'Layout'!$G$8:$G$207,A60,'Layout'!$L$8:$L$207,"Spares"))</x:f>
      </x:c>
      <x:c r="F60" s="11" t="str">
        <x:f>IF(A60="","",SUM(D60:E60))</x:f>
      </x:c>
      <x:c r="G60" s="11" t="str">
        <x:f>IF(A60="","",'Definitions'!I60+SUMIFS('Assets'!$J$8:$J$207,'Assets'!$B$8:$B$207,A60))</x:f>
      </x:c>
      <x:c r="H60" s="11" t="str">
        <x:f>IF(A60="","",SUMIFS('Orders'!$I$8:$I$207,'Orders'!$D$8:$D$207,A60))</x:f>
      </x:c>
      <x:c r="I60" s="11" t="str">
        <x:f>IF(A60="","",SUMIFS('Orders'!$J$8:$J$207,'Orders'!$D$8:$D$207,A60))</x:f>
      </x:c>
      <x:c r="J60" s="11" t="str">
        <x:f>IF(A60="","",MAX(0,F60-G60))</x:f>
      </x:c>
      <x:c r="K60" s="11" t="str">
        <x:f>IF(A60="","",MAX(0,F60-G60-H60))</x:f>
      </x:c>
      <x:c r="L60" s="11" t="str">
        <x:f>IF(A60="","",'Definitions'!H60)</x:f>
      </x:c>
      <x:c r="M60" s="11" t="str">
        <x:f>IF(A60="","",IF(AND(ISNUMBER(L60),L60&gt;0),ROUNDUP(K60/L60,0),"Set pack size"))</x:f>
      </x:c>
      <x:c r="N60" s="11" t="str">
        <x:f>IF(A60="","",SUMIFS('Shipments'!$H$8:$H$207,'Shipments'!$F$8:$F$207,A60,'Shipments'!$C$8:$C$207,"Outbound"))</x:f>
      </x:c>
      <x:c r="O60" s="11" t="str">
        <x:f>IF(A60="","",MAX(0,F60-N60))</x:f>
      </x:c>
    </x:row>
    <x:row r="61" ht="22" customHeight="1">
      <x:c r="A61" s="9" t="str">
        <x:f>IF(AND('Definitions'!A61&lt;&gt;"",'Definitions'!C61="Part"),'Definitions'!A61,"")</x:f>
      </x:c>
      <x:c r="B61" s="9" t="str">
        <x:f>IF(A61="","",'Definitions'!B61)</x:f>
      </x:c>
      <x:c r="C61" s="9" t="str">
        <x:f>IF(A61="","",'Definitions'!F61)</x:f>
      </x:c>
      <x:c r="D61" s="11" t="str">
        <x:f>IF(A61="","",SUMIFS('Layout'!$K$8:$K$207,'Layout'!$G$8:$G$207,A61,'Layout'!$L$8:$L$207,"Build"))</x:f>
      </x:c>
      <x:c r="E61" s="11" t="str">
        <x:f>IF(A61="","",SUMIFS('Layout'!$K$8:$K$207,'Layout'!$G$8:$G$207,A61,'Layout'!$L$8:$L$207,"Spares"))</x:f>
      </x:c>
      <x:c r="F61" s="11" t="str">
        <x:f>IF(A61="","",SUM(D61:E61))</x:f>
      </x:c>
      <x:c r="G61" s="11" t="str">
        <x:f>IF(A61="","",'Definitions'!I61+SUMIFS('Assets'!$J$8:$J$207,'Assets'!$B$8:$B$207,A61))</x:f>
      </x:c>
      <x:c r="H61" s="11" t="str">
        <x:f>IF(A61="","",SUMIFS('Orders'!$I$8:$I$207,'Orders'!$D$8:$D$207,A61))</x:f>
      </x:c>
      <x:c r="I61" s="11" t="str">
        <x:f>IF(A61="","",SUMIFS('Orders'!$J$8:$J$207,'Orders'!$D$8:$D$207,A61))</x:f>
      </x:c>
      <x:c r="J61" s="11" t="str">
        <x:f>IF(A61="","",MAX(0,F61-G61))</x:f>
      </x:c>
      <x:c r="K61" s="11" t="str">
        <x:f>IF(A61="","",MAX(0,F61-G61-H61))</x:f>
      </x:c>
      <x:c r="L61" s="11" t="str">
        <x:f>IF(A61="","",'Definitions'!H61)</x:f>
      </x:c>
      <x:c r="M61" s="11" t="str">
        <x:f>IF(A61="","",IF(AND(ISNUMBER(L61),L61&gt;0),ROUNDUP(K61/L61,0),"Set pack size"))</x:f>
      </x:c>
      <x:c r="N61" s="11" t="str">
        <x:f>IF(A61="","",SUMIFS('Shipments'!$H$8:$H$207,'Shipments'!$F$8:$F$207,A61,'Shipments'!$C$8:$C$207,"Outbound"))</x:f>
      </x:c>
      <x:c r="O61" s="11" t="str">
        <x:f>IF(A61="","",MAX(0,F61-N61))</x:f>
      </x:c>
    </x:row>
    <x:row r="62" ht="22" customHeight="1">
      <x:c r="A62" s="9" t="str">
        <x:f>IF(AND('Definitions'!A62&lt;&gt;"",'Definitions'!C62="Part"),'Definitions'!A62,"")</x:f>
      </x:c>
      <x:c r="B62" s="9" t="str">
        <x:f>IF(A62="","",'Definitions'!B62)</x:f>
      </x:c>
      <x:c r="C62" s="9" t="str">
        <x:f>IF(A62="","",'Definitions'!F62)</x:f>
      </x:c>
      <x:c r="D62" s="11" t="str">
        <x:f>IF(A62="","",SUMIFS('Layout'!$K$8:$K$207,'Layout'!$G$8:$G$207,A62,'Layout'!$L$8:$L$207,"Build"))</x:f>
      </x:c>
      <x:c r="E62" s="11" t="str">
        <x:f>IF(A62="","",SUMIFS('Layout'!$K$8:$K$207,'Layout'!$G$8:$G$207,A62,'Layout'!$L$8:$L$207,"Spares"))</x:f>
      </x:c>
      <x:c r="F62" s="11" t="str">
        <x:f>IF(A62="","",SUM(D62:E62))</x:f>
      </x:c>
      <x:c r="G62" s="11" t="str">
        <x:f>IF(A62="","",'Definitions'!I62+SUMIFS('Assets'!$J$8:$J$207,'Assets'!$B$8:$B$207,A62))</x:f>
      </x:c>
      <x:c r="H62" s="11" t="str">
        <x:f>IF(A62="","",SUMIFS('Orders'!$I$8:$I$207,'Orders'!$D$8:$D$207,A62))</x:f>
      </x:c>
      <x:c r="I62" s="11" t="str">
        <x:f>IF(A62="","",SUMIFS('Orders'!$J$8:$J$207,'Orders'!$D$8:$D$207,A62))</x:f>
      </x:c>
      <x:c r="J62" s="11" t="str">
        <x:f>IF(A62="","",MAX(0,F62-G62))</x:f>
      </x:c>
      <x:c r="K62" s="11" t="str">
        <x:f>IF(A62="","",MAX(0,F62-G62-H62))</x:f>
      </x:c>
      <x:c r="L62" s="11" t="str">
        <x:f>IF(A62="","",'Definitions'!H62)</x:f>
      </x:c>
      <x:c r="M62" s="11" t="str">
        <x:f>IF(A62="","",IF(AND(ISNUMBER(L62),L62&gt;0),ROUNDUP(K62/L62,0),"Set pack size"))</x:f>
      </x:c>
      <x:c r="N62" s="11" t="str">
        <x:f>IF(A62="","",SUMIFS('Shipments'!$H$8:$H$207,'Shipments'!$F$8:$F$207,A62,'Shipments'!$C$8:$C$207,"Outbound"))</x:f>
      </x:c>
      <x:c r="O62" s="11" t="str">
        <x:f>IF(A62="","",MAX(0,F62-N62))</x:f>
      </x:c>
    </x:row>
    <x:row r="63" ht="22" customHeight="1">
      <x:c r="A63" s="9" t="str">
        <x:f>IF(AND('Definitions'!A63&lt;&gt;"",'Definitions'!C63="Part"),'Definitions'!A63,"")</x:f>
      </x:c>
      <x:c r="B63" s="9" t="str">
        <x:f>IF(A63="","",'Definitions'!B63)</x:f>
      </x:c>
      <x:c r="C63" s="9" t="str">
        <x:f>IF(A63="","",'Definitions'!F63)</x:f>
      </x:c>
      <x:c r="D63" s="11" t="str">
        <x:f>IF(A63="","",SUMIFS('Layout'!$K$8:$K$207,'Layout'!$G$8:$G$207,A63,'Layout'!$L$8:$L$207,"Build"))</x:f>
      </x:c>
      <x:c r="E63" s="11" t="str">
        <x:f>IF(A63="","",SUMIFS('Layout'!$K$8:$K$207,'Layout'!$G$8:$G$207,A63,'Layout'!$L$8:$L$207,"Spares"))</x:f>
      </x:c>
      <x:c r="F63" s="11" t="str">
        <x:f>IF(A63="","",SUM(D63:E63))</x:f>
      </x:c>
      <x:c r="G63" s="11" t="str">
        <x:f>IF(A63="","",'Definitions'!I63+SUMIFS('Assets'!$J$8:$J$207,'Assets'!$B$8:$B$207,A63))</x:f>
      </x:c>
      <x:c r="H63" s="11" t="str">
        <x:f>IF(A63="","",SUMIFS('Orders'!$I$8:$I$207,'Orders'!$D$8:$D$207,A63))</x:f>
      </x:c>
      <x:c r="I63" s="11" t="str">
        <x:f>IF(A63="","",SUMIFS('Orders'!$J$8:$J$207,'Orders'!$D$8:$D$207,A63))</x:f>
      </x:c>
      <x:c r="J63" s="11" t="str">
        <x:f>IF(A63="","",MAX(0,F63-G63))</x:f>
      </x:c>
      <x:c r="K63" s="11" t="str">
        <x:f>IF(A63="","",MAX(0,F63-G63-H63))</x:f>
      </x:c>
      <x:c r="L63" s="11" t="str">
        <x:f>IF(A63="","",'Definitions'!H63)</x:f>
      </x:c>
      <x:c r="M63" s="11" t="str">
        <x:f>IF(A63="","",IF(AND(ISNUMBER(L63),L63&gt;0),ROUNDUP(K63/L63,0),"Set pack size"))</x:f>
      </x:c>
      <x:c r="N63" s="11" t="str">
        <x:f>IF(A63="","",SUMIFS('Shipments'!$H$8:$H$207,'Shipments'!$F$8:$F$207,A63,'Shipments'!$C$8:$C$207,"Outbound"))</x:f>
      </x:c>
      <x:c r="O63" s="11" t="str">
        <x:f>IF(A63="","",MAX(0,F63-N63))</x:f>
      </x:c>
    </x:row>
    <x:row r="64" ht="22" customHeight="1">
      <x:c r="A64" s="9" t="str">
        <x:f>IF(AND('Definitions'!A64&lt;&gt;"",'Definitions'!C64="Part"),'Definitions'!A64,"")</x:f>
      </x:c>
      <x:c r="B64" s="9" t="str">
        <x:f>IF(A64="","",'Definitions'!B64)</x:f>
      </x:c>
      <x:c r="C64" s="9" t="str">
        <x:f>IF(A64="","",'Definitions'!F64)</x:f>
      </x:c>
      <x:c r="D64" s="11" t="str">
        <x:f>IF(A64="","",SUMIFS('Layout'!$K$8:$K$207,'Layout'!$G$8:$G$207,A64,'Layout'!$L$8:$L$207,"Build"))</x:f>
      </x:c>
      <x:c r="E64" s="11" t="str">
        <x:f>IF(A64="","",SUMIFS('Layout'!$K$8:$K$207,'Layout'!$G$8:$G$207,A64,'Layout'!$L$8:$L$207,"Spares"))</x:f>
      </x:c>
      <x:c r="F64" s="11" t="str">
        <x:f>IF(A64="","",SUM(D64:E64))</x:f>
      </x:c>
      <x:c r="G64" s="11" t="str">
        <x:f>IF(A64="","",'Definitions'!I64+SUMIFS('Assets'!$J$8:$J$207,'Assets'!$B$8:$B$207,A64))</x:f>
      </x:c>
      <x:c r="H64" s="11" t="str">
        <x:f>IF(A64="","",SUMIFS('Orders'!$I$8:$I$207,'Orders'!$D$8:$D$207,A64))</x:f>
      </x:c>
      <x:c r="I64" s="11" t="str">
        <x:f>IF(A64="","",SUMIFS('Orders'!$J$8:$J$207,'Orders'!$D$8:$D$207,A64))</x:f>
      </x:c>
      <x:c r="J64" s="11" t="str">
        <x:f>IF(A64="","",MAX(0,F64-G64))</x:f>
      </x:c>
      <x:c r="K64" s="11" t="str">
        <x:f>IF(A64="","",MAX(0,F64-G64-H64))</x:f>
      </x:c>
      <x:c r="L64" s="11" t="str">
        <x:f>IF(A64="","",'Definitions'!H64)</x:f>
      </x:c>
      <x:c r="M64" s="11" t="str">
        <x:f>IF(A64="","",IF(AND(ISNUMBER(L64),L64&gt;0),ROUNDUP(K64/L64,0),"Set pack size"))</x:f>
      </x:c>
      <x:c r="N64" s="11" t="str">
        <x:f>IF(A64="","",SUMIFS('Shipments'!$H$8:$H$207,'Shipments'!$F$8:$F$207,A64,'Shipments'!$C$8:$C$207,"Outbound"))</x:f>
      </x:c>
      <x:c r="O64" s="11" t="str">
        <x:f>IF(A64="","",MAX(0,F64-N64))</x:f>
      </x:c>
    </x:row>
    <x:row r="65" ht="22" customHeight="1">
      <x:c r="A65" s="9" t="str">
        <x:f>IF(AND('Definitions'!A65&lt;&gt;"",'Definitions'!C65="Part"),'Definitions'!A65,"")</x:f>
      </x:c>
      <x:c r="B65" s="9" t="str">
        <x:f>IF(A65="","",'Definitions'!B65)</x:f>
      </x:c>
      <x:c r="C65" s="9" t="str">
        <x:f>IF(A65="","",'Definitions'!F65)</x:f>
      </x:c>
      <x:c r="D65" s="11" t="str">
        <x:f>IF(A65="","",SUMIFS('Layout'!$K$8:$K$207,'Layout'!$G$8:$G$207,A65,'Layout'!$L$8:$L$207,"Build"))</x:f>
      </x:c>
      <x:c r="E65" s="11" t="str">
        <x:f>IF(A65="","",SUMIFS('Layout'!$K$8:$K$207,'Layout'!$G$8:$G$207,A65,'Layout'!$L$8:$L$207,"Spares"))</x:f>
      </x:c>
      <x:c r="F65" s="11" t="str">
        <x:f>IF(A65="","",SUM(D65:E65))</x:f>
      </x:c>
      <x:c r="G65" s="11" t="str">
        <x:f>IF(A65="","",'Definitions'!I65+SUMIFS('Assets'!$J$8:$J$207,'Assets'!$B$8:$B$207,A65))</x:f>
      </x:c>
      <x:c r="H65" s="11" t="str">
        <x:f>IF(A65="","",SUMIFS('Orders'!$I$8:$I$207,'Orders'!$D$8:$D$207,A65))</x:f>
      </x:c>
      <x:c r="I65" s="11" t="str">
        <x:f>IF(A65="","",SUMIFS('Orders'!$J$8:$J$207,'Orders'!$D$8:$D$207,A65))</x:f>
      </x:c>
      <x:c r="J65" s="11" t="str">
        <x:f>IF(A65="","",MAX(0,F65-G65))</x:f>
      </x:c>
      <x:c r="K65" s="11" t="str">
        <x:f>IF(A65="","",MAX(0,F65-G65-H65))</x:f>
      </x:c>
      <x:c r="L65" s="11" t="str">
        <x:f>IF(A65="","",'Definitions'!H65)</x:f>
      </x:c>
      <x:c r="M65" s="11" t="str">
        <x:f>IF(A65="","",IF(AND(ISNUMBER(L65),L65&gt;0),ROUNDUP(K65/L65,0),"Set pack size"))</x:f>
      </x:c>
      <x:c r="N65" s="11" t="str">
        <x:f>IF(A65="","",SUMIFS('Shipments'!$H$8:$H$207,'Shipments'!$F$8:$F$207,A65,'Shipments'!$C$8:$C$207,"Outbound"))</x:f>
      </x:c>
      <x:c r="O65" s="11" t="str">
        <x:f>IF(A65="","",MAX(0,F65-N65))</x:f>
      </x:c>
    </x:row>
    <x:row r="66" ht="22" customHeight="1">
      <x:c r="A66" s="9" t="str">
        <x:f>IF(AND('Definitions'!A66&lt;&gt;"",'Definitions'!C66="Part"),'Definitions'!A66,"")</x:f>
      </x:c>
      <x:c r="B66" s="9" t="str">
        <x:f>IF(A66="","",'Definitions'!B66)</x:f>
      </x:c>
      <x:c r="C66" s="9" t="str">
        <x:f>IF(A66="","",'Definitions'!F66)</x:f>
      </x:c>
      <x:c r="D66" s="11" t="str">
        <x:f>IF(A66="","",SUMIFS('Layout'!$K$8:$K$207,'Layout'!$G$8:$G$207,A66,'Layout'!$L$8:$L$207,"Build"))</x:f>
      </x:c>
      <x:c r="E66" s="11" t="str">
        <x:f>IF(A66="","",SUMIFS('Layout'!$K$8:$K$207,'Layout'!$G$8:$G$207,A66,'Layout'!$L$8:$L$207,"Spares"))</x:f>
      </x:c>
      <x:c r="F66" s="11" t="str">
        <x:f>IF(A66="","",SUM(D66:E66))</x:f>
      </x:c>
      <x:c r="G66" s="11" t="str">
        <x:f>IF(A66="","",'Definitions'!I66+SUMIFS('Assets'!$J$8:$J$207,'Assets'!$B$8:$B$207,A66))</x:f>
      </x:c>
      <x:c r="H66" s="11" t="str">
        <x:f>IF(A66="","",SUMIFS('Orders'!$I$8:$I$207,'Orders'!$D$8:$D$207,A66))</x:f>
      </x:c>
      <x:c r="I66" s="11" t="str">
        <x:f>IF(A66="","",SUMIFS('Orders'!$J$8:$J$207,'Orders'!$D$8:$D$207,A66))</x:f>
      </x:c>
      <x:c r="J66" s="11" t="str">
        <x:f>IF(A66="","",MAX(0,F66-G66))</x:f>
      </x:c>
      <x:c r="K66" s="11" t="str">
        <x:f>IF(A66="","",MAX(0,F66-G66-H66))</x:f>
      </x:c>
      <x:c r="L66" s="11" t="str">
        <x:f>IF(A66="","",'Definitions'!H66)</x:f>
      </x:c>
      <x:c r="M66" s="11" t="str">
        <x:f>IF(A66="","",IF(AND(ISNUMBER(L66),L66&gt;0),ROUNDUP(K66/L66,0),"Set pack size"))</x:f>
      </x:c>
      <x:c r="N66" s="11" t="str">
        <x:f>IF(A66="","",SUMIFS('Shipments'!$H$8:$H$207,'Shipments'!$F$8:$F$207,A66,'Shipments'!$C$8:$C$207,"Outbound"))</x:f>
      </x:c>
      <x:c r="O66" s="11" t="str">
        <x:f>IF(A66="","",MAX(0,F66-N66))</x:f>
      </x:c>
    </x:row>
    <x:row r="67" ht="22" customHeight="1">
      <x:c r="A67" s="9" t="str">
        <x:f>IF(AND('Definitions'!A67&lt;&gt;"",'Definitions'!C67="Part"),'Definitions'!A67,"")</x:f>
      </x:c>
      <x:c r="B67" s="9" t="str">
        <x:f>IF(A67="","",'Definitions'!B67)</x:f>
      </x:c>
      <x:c r="C67" s="9" t="str">
        <x:f>IF(A67="","",'Definitions'!F67)</x:f>
      </x:c>
      <x:c r="D67" s="11" t="str">
        <x:f>IF(A67="","",SUMIFS('Layout'!$K$8:$K$207,'Layout'!$G$8:$G$207,A67,'Layout'!$L$8:$L$207,"Build"))</x:f>
      </x:c>
      <x:c r="E67" s="11" t="str">
        <x:f>IF(A67="","",SUMIFS('Layout'!$K$8:$K$207,'Layout'!$G$8:$G$207,A67,'Layout'!$L$8:$L$207,"Spares"))</x:f>
      </x:c>
      <x:c r="F67" s="11" t="str">
        <x:f>IF(A67="","",SUM(D67:E67))</x:f>
      </x:c>
      <x:c r="G67" s="11" t="str">
        <x:f>IF(A67="","",'Definitions'!I67+SUMIFS('Assets'!$J$8:$J$207,'Assets'!$B$8:$B$207,A67))</x:f>
      </x:c>
      <x:c r="H67" s="11" t="str">
        <x:f>IF(A67="","",SUMIFS('Orders'!$I$8:$I$207,'Orders'!$D$8:$D$207,A67))</x:f>
      </x:c>
      <x:c r="I67" s="11" t="str">
        <x:f>IF(A67="","",SUMIFS('Orders'!$J$8:$J$207,'Orders'!$D$8:$D$207,A67))</x:f>
      </x:c>
      <x:c r="J67" s="11" t="str">
        <x:f>IF(A67="","",MAX(0,F67-G67))</x:f>
      </x:c>
      <x:c r="K67" s="11" t="str">
        <x:f>IF(A67="","",MAX(0,F67-G67-H67))</x:f>
      </x:c>
      <x:c r="L67" s="11" t="str">
        <x:f>IF(A67="","",'Definitions'!H67)</x:f>
      </x:c>
      <x:c r="M67" s="11" t="str">
        <x:f>IF(A67="","",IF(AND(ISNUMBER(L67),L67&gt;0),ROUNDUP(K67/L67,0),"Set pack size"))</x:f>
      </x:c>
      <x:c r="N67" s="11" t="str">
        <x:f>IF(A67="","",SUMIFS('Shipments'!$H$8:$H$207,'Shipments'!$F$8:$F$207,A67,'Shipments'!$C$8:$C$207,"Outbound"))</x:f>
      </x:c>
      <x:c r="O67" s="11" t="str">
        <x:f>IF(A67="","",MAX(0,F67-N67))</x:f>
      </x:c>
    </x:row>
    <x:row r="68" ht="22" customHeight="1">
      <x:c r="A68" s="9" t="str">
        <x:f>IF(AND('Definitions'!A68&lt;&gt;"",'Definitions'!C68="Part"),'Definitions'!A68,"")</x:f>
      </x:c>
      <x:c r="B68" s="9" t="str">
        <x:f>IF(A68="","",'Definitions'!B68)</x:f>
      </x:c>
      <x:c r="C68" s="9" t="str">
        <x:f>IF(A68="","",'Definitions'!F68)</x:f>
      </x:c>
      <x:c r="D68" s="11" t="str">
        <x:f>IF(A68="","",SUMIFS('Layout'!$K$8:$K$207,'Layout'!$G$8:$G$207,A68,'Layout'!$L$8:$L$207,"Build"))</x:f>
      </x:c>
      <x:c r="E68" s="11" t="str">
        <x:f>IF(A68="","",SUMIFS('Layout'!$K$8:$K$207,'Layout'!$G$8:$G$207,A68,'Layout'!$L$8:$L$207,"Spares"))</x:f>
      </x:c>
      <x:c r="F68" s="11" t="str">
        <x:f>IF(A68="","",SUM(D68:E68))</x:f>
      </x:c>
      <x:c r="G68" s="11" t="str">
        <x:f>IF(A68="","",'Definitions'!I68+SUMIFS('Assets'!$J$8:$J$207,'Assets'!$B$8:$B$207,A68))</x:f>
      </x:c>
      <x:c r="H68" s="11" t="str">
        <x:f>IF(A68="","",SUMIFS('Orders'!$I$8:$I$207,'Orders'!$D$8:$D$207,A68))</x:f>
      </x:c>
      <x:c r="I68" s="11" t="str">
        <x:f>IF(A68="","",SUMIFS('Orders'!$J$8:$J$207,'Orders'!$D$8:$D$207,A68))</x:f>
      </x:c>
      <x:c r="J68" s="11" t="str">
        <x:f>IF(A68="","",MAX(0,F68-G68))</x:f>
      </x:c>
      <x:c r="K68" s="11" t="str">
        <x:f>IF(A68="","",MAX(0,F68-G68-H68))</x:f>
      </x:c>
      <x:c r="L68" s="11" t="str">
        <x:f>IF(A68="","",'Definitions'!H68)</x:f>
      </x:c>
      <x:c r="M68" s="11" t="str">
        <x:f>IF(A68="","",IF(AND(ISNUMBER(L68),L68&gt;0),ROUNDUP(K68/L68,0),"Set pack size"))</x:f>
      </x:c>
      <x:c r="N68" s="11" t="str">
        <x:f>IF(A68="","",SUMIFS('Shipments'!$H$8:$H$207,'Shipments'!$F$8:$F$207,A68,'Shipments'!$C$8:$C$207,"Outbound"))</x:f>
      </x:c>
      <x:c r="O68" s="11" t="str">
        <x:f>IF(A68="","",MAX(0,F68-N68))</x:f>
      </x:c>
    </x:row>
    <x:row r="69" ht="22" customHeight="1">
      <x:c r="A69" s="9" t="str">
        <x:f>IF(AND('Definitions'!A69&lt;&gt;"",'Definitions'!C69="Part"),'Definitions'!A69,"")</x:f>
      </x:c>
      <x:c r="B69" s="9" t="str">
        <x:f>IF(A69="","",'Definitions'!B69)</x:f>
      </x:c>
      <x:c r="C69" s="9" t="str">
        <x:f>IF(A69="","",'Definitions'!F69)</x:f>
      </x:c>
      <x:c r="D69" s="11" t="str">
        <x:f>IF(A69="","",SUMIFS('Layout'!$K$8:$K$207,'Layout'!$G$8:$G$207,A69,'Layout'!$L$8:$L$207,"Build"))</x:f>
      </x:c>
      <x:c r="E69" s="11" t="str">
        <x:f>IF(A69="","",SUMIFS('Layout'!$K$8:$K$207,'Layout'!$G$8:$G$207,A69,'Layout'!$L$8:$L$207,"Spares"))</x:f>
      </x:c>
      <x:c r="F69" s="11" t="str">
        <x:f>IF(A69="","",SUM(D69:E69))</x:f>
      </x:c>
      <x:c r="G69" s="11" t="str">
        <x:f>IF(A69="","",'Definitions'!I69+SUMIFS('Assets'!$J$8:$J$207,'Assets'!$B$8:$B$207,A69))</x:f>
      </x:c>
      <x:c r="H69" s="11" t="str">
        <x:f>IF(A69="","",SUMIFS('Orders'!$I$8:$I$207,'Orders'!$D$8:$D$207,A69))</x:f>
      </x:c>
      <x:c r="I69" s="11" t="str">
        <x:f>IF(A69="","",SUMIFS('Orders'!$J$8:$J$207,'Orders'!$D$8:$D$207,A69))</x:f>
      </x:c>
      <x:c r="J69" s="11" t="str">
        <x:f>IF(A69="","",MAX(0,F69-G69))</x:f>
      </x:c>
      <x:c r="K69" s="11" t="str">
        <x:f>IF(A69="","",MAX(0,F69-G69-H69))</x:f>
      </x:c>
      <x:c r="L69" s="11" t="str">
        <x:f>IF(A69="","",'Definitions'!H69)</x:f>
      </x:c>
      <x:c r="M69" s="11" t="str">
        <x:f>IF(A69="","",IF(AND(ISNUMBER(L69),L69&gt;0),ROUNDUP(K69/L69,0),"Set pack size"))</x:f>
      </x:c>
      <x:c r="N69" s="11" t="str">
        <x:f>IF(A69="","",SUMIFS('Shipments'!$H$8:$H$207,'Shipments'!$F$8:$F$207,A69,'Shipments'!$C$8:$C$207,"Outbound"))</x:f>
      </x:c>
      <x:c r="O69" s="11" t="str">
        <x:f>IF(A69="","",MAX(0,F69-N69))</x:f>
      </x:c>
    </x:row>
    <x:row r="70" ht="22" customHeight="1">
      <x:c r="A70" s="9" t="str">
        <x:f>IF(AND('Definitions'!A70&lt;&gt;"",'Definitions'!C70="Part"),'Definitions'!A70,"")</x:f>
      </x:c>
      <x:c r="B70" s="9" t="str">
        <x:f>IF(A70="","",'Definitions'!B70)</x:f>
      </x:c>
      <x:c r="C70" s="9" t="str">
        <x:f>IF(A70="","",'Definitions'!F70)</x:f>
      </x:c>
      <x:c r="D70" s="11" t="str">
        <x:f>IF(A70="","",SUMIFS('Layout'!$K$8:$K$207,'Layout'!$G$8:$G$207,A70,'Layout'!$L$8:$L$207,"Build"))</x:f>
      </x:c>
      <x:c r="E70" s="11" t="str">
        <x:f>IF(A70="","",SUMIFS('Layout'!$K$8:$K$207,'Layout'!$G$8:$G$207,A70,'Layout'!$L$8:$L$207,"Spares"))</x:f>
      </x:c>
      <x:c r="F70" s="11" t="str">
        <x:f>IF(A70="","",SUM(D70:E70))</x:f>
      </x:c>
      <x:c r="G70" s="11" t="str">
        <x:f>IF(A70="","",'Definitions'!I70+SUMIFS('Assets'!$J$8:$J$207,'Assets'!$B$8:$B$207,A70))</x:f>
      </x:c>
      <x:c r="H70" s="11" t="str">
        <x:f>IF(A70="","",SUMIFS('Orders'!$I$8:$I$207,'Orders'!$D$8:$D$207,A70))</x:f>
      </x:c>
      <x:c r="I70" s="11" t="str">
        <x:f>IF(A70="","",SUMIFS('Orders'!$J$8:$J$207,'Orders'!$D$8:$D$207,A70))</x:f>
      </x:c>
      <x:c r="J70" s="11" t="str">
        <x:f>IF(A70="","",MAX(0,F70-G70))</x:f>
      </x:c>
      <x:c r="K70" s="11" t="str">
        <x:f>IF(A70="","",MAX(0,F70-G70-H70))</x:f>
      </x:c>
      <x:c r="L70" s="11" t="str">
        <x:f>IF(A70="","",'Definitions'!H70)</x:f>
      </x:c>
      <x:c r="M70" s="11" t="str">
        <x:f>IF(A70="","",IF(AND(ISNUMBER(L70),L70&gt;0),ROUNDUP(K70/L70,0),"Set pack size"))</x:f>
      </x:c>
      <x:c r="N70" s="11" t="str">
        <x:f>IF(A70="","",SUMIFS('Shipments'!$H$8:$H$207,'Shipments'!$F$8:$F$207,A70,'Shipments'!$C$8:$C$207,"Outbound"))</x:f>
      </x:c>
      <x:c r="O70" s="11" t="str">
        <x:f>IF(A70="","",MAX(0,F70-N70))</x:f>
      </x:c>
    </x:row>
    <x:row r="71" ht="22" customHeight="1">
      <x:c r="A71" s="9" t="str">
        <x:f>IF(AND('Definitions'!A71&lt;&gt;"",'Definitions'!C71="Part"),'Definitions'!A71,"")</x:f>
      </x:c>
      <x:c r="B71" s="9" t="str">
        <x:f>IF(A71="","",'Definitions'!B71)</x:f>
      </x:c>
      <x:c r="C71" s="9" t="str">
        <x:f>IF(A71="","",'Definitions'!F71)</x:f>
      </x:c>
      <x:c r="D71" s="11" t="str">
        <x:f>IF(A71="","",SUMIFS('Layout'!$K$8:$K$207,'Layout'!$G$8:$G$207,A71,'Layout'!$L$8:$L$207,"Build"))</x:f>
      </x:c>
      <x:c r="E71" s="11" t="str">
        <x:f>IF(A71="","",SUMIFS('Layout'!$K$8:$K$207,'Layout'!$G$8:$G$207,A71,'Layout'!$L$8:$L$207,"Spares"))</x:f>
      </x:c>
      <x:c r="F71" s="11" t="str">
        <x:f>IF(A71="","",SUM(D71:E71))</x:f>
      </x:c>
      <x:c r="G71" s="11" t="str">
        <x:f>IF(A71="","",'Definitions'!I71+SUMIFS('Assets'!$J$8:$J$207,'Assets'!$B$8:$B$207,A71))</x:f>
      </x:c>
      <x:c r="H71" s="11" t="str">
        <x:f>IF(A71="","",SUMIFS('Orders'!$I$8:$I$207,'Orders'!$D$8:$D$207,A71))</x:f>
      </x:c>
      <x:c r="I71" s="11" t="str">
        <x:f>IF(A71="","",SUMIFS('Orders'!$J$8:$J$207,'Orders'!$D$8:$D$207,A71))</x:f>
      </x:c>
      <x:c r="J71" s="11" t="str">
        <x:f>IF(A71="","",MAX(0,F71-G71))</x:f>
      </x:c>
      <x:c r="K71" s="11" t="str">
        <x:f>IF(A71="","",MAX(0,F71-G71-H71))</x:f>
      </x:c>
      <x:c r="L71" s="11" t="str">
        <x:f>IF(A71="","",'Definitions'!H71)</x:f>
      </x:c>
      <x:c r="M71" s="11" t="str">
        <x:f>IF(A71="","",IF(AND(ISNUMBER(L71),L71&gt;0),ROUNDUP(K71/L71,0),"Set pack size"))</x:f>
      </x:c>
      <x:c r="N71" s="11" t="str">
        <x:f>IF(A71="","",SUMIFS('Shipments'!$H$8:$H$207,'Shipments'!$F$8:$F$207,A71,'Shipments'!$C$8:$C$207,"Outbound"))</x:f>
      </x:c>
      <x:c r="O71" s="11" t="str">
        <x:f>IF(A71="","",MAX(0,F71-N71))</x:f>
      </x:c>
    </x:row>
    <x:row r="72" ht="22" customHeight="1">
      <x:c r="A72" s="9" t="str">
        <x:f>IF(AND('Definitions'!A72&lt;&gt;"",'Definitions'!C72="Part"),'Definitions'!A72,"")</x:f>
      </x:c>
      <x:c r="B72" s="9" t="str">
        <x:f>IF(A72="","",'Definitions'!B72)</x:f>
      </x:c>
      <x:c r="C72" s="9" t="str">
        <x:f>IF(A72="","",'Definitions'!F72)</x:f>
      </x:c>
      <x:c r="D72" s="11" t="str">
        <x:f>IF(A72="","",SUMIFS('Layout'!$K$8:$K$207,'Layout'!$G$8:$G$207,A72,'Layout'!$L$8:$L$207,"Build"))</x:f>
      </x:c>
      <x:c r="E72" s="11" t="str">
        <x:f>IF(A72="","",SUMIFS('Layout'!$K$8:$K$207,'Layout'!$G$8:$G$207,A72,'Layout'!$L$8:$L$207,"Spares"))</x:f>
      </x:c>
      <x:c r="F72" s="11" t="str">
        <x:f>IF(A72="","",SUM(D72:E72))</x:f>
      </x:c>
      <x:c r="G72" s="11" t="str">
        <x:f>IF(A72="","",'Definitions'!I72+SUMIFS('Assets'!$J$8:$J$207,'Assets'!$B$8:$B$207,A72))</x:f>
      </x:c>
      <x:c r="H72" s="11" t="str">
        <x:f>IF(A72="","",SUMIFS('Orders'!$I$8:$I$207,'Orders'!$D$8:$D$207,A72))</x:f>
      </x:c>
      <x:c r="I72" s="11" t="str">
        <x:f>IF(A72="","",SUMIFS('Orders'!$J$8:$J$207,'Orders'!$D$8:$D$207,A72))</x:f>
      </x:c>
      <x:c r="J72" s="11" t="str">
        <x:f>IF(A72="","",MAX(0,F72-G72))</x:f>
      </x:c>
      <x:c r="K72" s="11" t="str">
        <x:f>IF(A72="","",MAX(0,F72-G72-H72))</x:f>
      </x:c>
      <x:c r="L72" s="11" t="str">
        <x:f>IF(A72="","",'Definitions'!H72)</x:f>
      </x:c>
      <x:c r="M72" s="11" t="str">
        <x:f>IF(A72="","",IF(AND(ISNUMBER(L72),L72&gt;0),ROUNDUP(K72/L72,0),"Set pack size"))</x:f>
      </x:c>
      <x:c r="N72" s="11" t="str">
        <x:f>IF(A72="","",SUMIFS('Shipments'!$H$8:$H$207,'Shipments'!$F$8:$F$207,A72,'Shipments'!$C$8:$C$207,"Outbound"))</x:f>
      </x:c>
      <x:c r="O72" s="11" t="str">
        <x:f>IF(A72="","",MAX(0,F72-N72))</x:f>
      </x:c>
    </x:row>
    <x:row r="73" ht="22" customHeight="1">
      <x:c r="A73" s="9" t="str">
        <x:f>IF(AND('Definitions'!A73&lt;&gt;"",'Definitions'!C73="Part"),'Definitions'!A73,"")</x:f>
      </x:c>
      <x:c r="B73" s="9" t="str">
        <x:f>IF(A73="","",'Definitions'!B73)</x:f>
      </x:c>
      <x:c r="C73" s="9" t="str">
        <x:f>IF(A73="","",'Definitions'!F73)</x:f>
      </x:c>
      <x:c r="D73" s="11" t="str">
        <x:f>IF(A73="","",SUMIFS('Layout'!$K$8:$K$207,'Layout'!$G$8:$G$207,A73,'Layout'!$L$8:$L$207,"Build"))</x:f>
      </x:c>
      <x:c r="E73" s="11" t="str">
        <x:f>IF(A73="","",SUMIFS('Layout'!$K$8:$K$207,'Layout'!$G$8:$G$207,A73,'Layout'!$L$8:$L$207,"Spares"))</x:f>
      </x:c>
      <x:c r="F73" s="11" t="str">
        <x:f>IF(A73="","",SUM(D73:E73))</x:f>
      </x:c>
      <x:c r="G73" s="11" t="str">
        <x:f>IF(A73="","",'Definitions'!I73+SUMIFS('Assets'!$J$8:$J$207,'Assets'!$B$8:$B$207,A73))</x:f>
      </x:c>
      <x:c r="H73" s="11" t="str">
        <x:f>IF(A73="","",SUMIFS('Orders'!$I$8:$I$207,'Orders'!$D$8:$D$207,A73))</x:f>
      </x:c>
      <x:c r="I73" s="11" t="str">
        <x:f>IF(A73="","",SUMIFS('Orders'!$J$8:$J$207,'Orders'!$D$8:$D$207,A73))</x:f>
      </x:c>
      <x:c r="J73" s="11" t="str">
        <x:f>IF(A73="","",MAX(0,F73-G73))</x:f>
      </x:c>
      <x:c r="K73" s="11" t="str">
        <x:f>IF(A73="","",MAX(0,F73-G73-H73))</x:f>
      </x:c>
      <x:c r="L73" s="11" t="str">
        <x:f>IF(A73="","",'Definitions'!H73)</x:f>
      </x:c>
      <x:c r="M73" s="11" t="str">
        <x:f>IF(A73="","",IF(AND(ISNUMBER(L73),L73&gt;0),ROUNDUP(K73/L73,0),"Set pack size"))</x:f>
      </x:c>
      <x:c r="N73" s="11" t="str">
        <x:f>IF(A73="","",SUMIFS('Shipments'!$H$8:$H$207,'Shipments'!$F$8:$F$207,A73,'Shipments'!$C$8:$C$207,"Outbound"))</x:f>
      </x:c>
      <x:c r="O73" s="11" t="str">
        <x:f>IF(A73="","",MAX(0,F73-N73))</x:f>
      </x:c>
    </x:row>
    <x:row r="74" ht="22" customHeight="1">
      <x:c r="A74" s="9" t="str">
        <x:f>IF(AND('Definitions'!A74&lt;&gt;"",'Definitions'!C74="Part"),'Definitions'!A74,"")</x:f>
      </x:c>
      <x:c r="B74" s="9" t="str">
        <x:f>IF(A74="","",'Definitions'!B74)</x:f>
      </x:c>
      <x:c r="C74" s="9" t="str">
        <x:f>IF(A74="","",'Definitions'!F74)</x:f>
      </x:c>
      <x:c r="D74" s="11" t="str">
        <x:f>IF(A74="","",SUMIFS('Layout'!$K$8:$K$207,'Layout'!$G$8:$G$207,A74,'Layout'!$L$8:$L$207,"Build"))</x:f>
      </x:c>
      <x:c r="E74" s="11" t="str">
        <x:f>IF(A74="","",SUMIFS('Layout'!$K$8:$K$207,'Layout'!$G$8:$G$207,A74,'Layout'!$L$8:$L$207,"Spares"))</x:f>
      </x:c>
      <x:c r="F74" s="11" t="str">
        <x:f>IF(A74="","",SUM(D74:E74))</x:f>
      </x:c>
      <x:c r="G74" s="11" t="str">
        <x:f>IF(A74="","",'Definitions'!I74+SUMIFS('Assets'!$J$8:$J$207,'Assets'!$B$8:$B$207,A74))</x:f>
      </x:c>
      <x:c r="H74" s="11" t="str">
        <x:f>IF(A74="","",SUMIFS('Orders'!$I$8:$I$207,'Orders'!$D$8:$D$207,A74))</x:f>
      </x:c>
      <x:c r="I74" s="11" t="str">
        <x:f>IF(A74="","",SUMIFS('Orders'!$J$8:$J$207,'Orders'!$D$8:$D$207,A74))</x:f>
      </x:c>
      <x:c r="J74" s="11" t="str">
        <x:f>IF(A74="","",MAX(0,F74-G74))</x:f>
      </x:c>
      <x:c r="K74" s="11" t="str">
        <x:f>IF(A74="","",MAX(0,F74-G74-H74))</x:f>
      </x:c>
      <x:c r="L74" s="11" t="str">
        <x:f>IF(A74="","",'Definitions'!H74)</x:f>
      </x:c>
      <x:c r="M74" s="11" t="str">
        <x:f>IF(A74="","",IF(AND(ISNUMBER(L74),L74&gt;0),ROUNDUP(K74/L74,0),"Set pack size"))</x:f>
      </x:c>
      <x:c r="N74" s="11" t="str">
        <x:f>IF(A74="","",SUMIFS('Shipments'!$H$8:$H$207,'Shipments'!$F$8:$F$207,A74,'Shipments'!$C$8:$C$207,"Outbound"))</x:f>
      </x:c>
      <x:c r="O74" s="11" t="str">
        <x:f>IF(A74="","",MAX(0,F74-N74))</x:f>
      </x:c>
    </x:row>
    <x:row r="75" ht="22" customHeight="1">
      <x:c r="A75" s="9" t="str">
        <x:f>IF(AND('Definitions'!A75&lt;&gt;"",'Definitions'!C75="Part"),'Definitions'!A75,"")</x:f>
      </x:c>
      <x:c r="B75" s="9" t="str">
        <x:f>IF(A75="","",'Definitions'!B75)</x:f>
      </x:c>
      <x:c r="C75" s="9" t="str">
        <x:f>IF(A75="","",'Definitions'!F75)</x:f>
      </x:c>
      <x:c r="D75" s="11" t="str">
        <x:f>IF(A75="","",SUMIFS('Layout'!$K$8:$K$207,'Layout'!$G$8:$G$207,A75,'Layout'!$L$8:$L$207,"Build"))</x:f>
      </x:c>
      <x:c r="E75" s="11" t="str">
        <x:f>IF(A75="","",SUMIFS('Layout'!$K$8:$K$207,'Layout'!$G$8:$G$207,A75,'Layout'!$L$8:$L$207,"Spares"))</x:f>
      </x:c>
      <x:c r="F75" s="11" t="str">
        <x:f>IF(A75="","",SUM(D75:E75))</x:f>
      </x:c>
      <x:c r="G75" s="11" t="str">
        <x:f>IF(A75="","",'Definitions'!I75+SUMIFS('Assets'!$J$8:$J$207,'Assets'!$B$8:$B$207,A75))</x:f>
      </x:c>
      <x:c r="H75" s="11" t="str">
        <x:f>IF(A75="","",SUMIFS('Orders'!$I$8:$I$207,'Orders'!$D$8:$D$207,A75))</x:f>
      </x:c>
      <x:c r="I75" s="11" t="str">
        <x:f>IF(A75="","",SUMIFS('Orders'!$J$8:$J$207,'Orders'!$D$8:$D$207,A75))</x:f>
      </x:c>
      <x:c r="J75" s="11" t="str">
        <x:f>IF(A75="","",MAX(0,F75-G75))</x:f>
      </x:c>
      <x:c r="K75" s="11" t="str">
        <x:f>IF(A75="","",MAX(0,F75-G75-H75))</x:f>
      </x:c>
      <x:c r="L75" s="11" t="str">
        <x:f>IF(A75="","",'Definitions'!H75)</x:f>
      </x:c>
      <x:c r="M75" s="11" t="str">
        <x:f>IF(A75="","",IF(AND(ISNUMBER(L75),L75&gt;0),ROUNDUP(K75/L75,0),"Set pack size"))</x:f>
      </x:c>
      <x:c r="N75" s="11" t="str">
        <x:f>IF(A75="","",SUMIFS('Shipments'!$H$8:$H$207,'Shipments'!$F$8:$F$207,A75,'Shipments'!$C$8:$C$207,"Outbound"))</x:f>
      </x:c>
      <x:c r="O75" s="11" t="str">
        <x:f>IF(A75="","",MAX(0,F75-N75))</x:f>
      </x:c>
    </x:row>
    <x:row r="76" ht="22" customHeight="1">
      <x:c r="A76" s="9" t="str">
        <x:f>IF(AND('Definitions'!A76&lt;&gt;"",'Definitions'!C76="Part"),'Definitions'!A76,"")</x:f>
      </x:c>
      <x:c r="B76" s="9" t="str">
        <x:f>IF(A76="","",'Definitions'!B76)</x:f>
      </x:c>
      <x:c r="C76" s="9" t="str">
        <x:f>IF(A76="","",'Definitions'!F76)</x:f>
      </x:c>
      <x:c r="D76" s="11" t="str">
        <x:f>IF(A76="","",SUMIFS('Layout'!$K$8:$K$207,'Layout'!$G$8:$G$207,A76,'Layout'!$L$8:$L$207,"Build"))</x:f>
      </x:c>
      <x:c r="E76" s="11" t="str">
        <x:f>IF(A76="","",SUMIFS('Layout'!$K$8:$K$207,'Layout'!$G$8:$G$207,A76,'Layout'!$L$8:$L$207,"Spares"))</x:f>
      </x:c>
      <x:c r="F76" s="11" t="str">
        <x:f>IF(A76="","",SUM(D76:E76))</x:f>
      </x:c>
      <x:c r="G76" s="11" t="str">
        <x:f>IF(A76="","",'Definitions'!I76+SUMIFS('Assets'!$J$8:$J$207,'Assets'!$B$8:$B$207,A76))</x:f>
      </x:c>
      <x:c r="H76" s="11" t="str">
        <x:f>IF(A76="","",SUMIFS('Orders'!$I$8:$I$207,'Orders'!$D$8:$D$207,A76))</x:f>
      </x:c>
      <x:c r="I76" s="11" t="str">
        <x:f>IF(A76="","",SUMIFS('Orders'!$J$8:$J$207,'Orders'!$D$8:$D$207,A76))</x:f>
      </x:c>
      <x:c r="J76" s="11" t="str">
        <x:f>IF(A76="","",MAX(0,F76-G76))</x:f>
      </x:c>
      <x:c r="K76" s="11" t="str">
        <x:f>IF(A76="","",MAX(0,F76-G76-H76))</x:f>
      </x:c>
      <x:c r="L76" s="11" t="str">
        <x:f>IF(A76="","",'Definitions'!H76)</x:f>
      </x:c>
      <x:c r="M76" s="11" t="str">
        <x:f>IF(A76="","",IF(AND(ISNUMBER(L76),L76&gt;0),ROUNDUP(K76/L76,0),"Set pack size"))</x:f>
      </x:c>
      <x:c r="N76" s="11" t="str">
        <x:f>IF(A76="","",SUMIFS('Shipments'!$H$8:$H$207,'Shipments'!$F$8:$F$207,A76,'Shipments'!$C$8:$C$207,"Outbound"))</x:f>
      </x:c>
      <x:c r="O76" s="11" t="str">
        <x:f>IF(A76="","",MAX(0,F76-N76))</x:f>
      </x:c>
    </x:row>
    <x:row r="77" ht="22" customHeight="1">
      <x:c r="A77" s="9" t="str">
        <x:f>IF(AND('Definitions'!A77&lt;&gt;"",'Definitions'!C77="Part"),'Definitions'!A77,"")</x:f>
      </x:c>
      <x:c r="B77" s="9" t="str">
        <x:f>IF(A77="","",'Definitions'!B77)</x:f>
      </x:c>
      <x:c r="C77" s="9" t="str">
        <x:f>IF(A77="","",'Definitions'!F77)</x:f>
      </x:c>
      <x:c r="D77" s="11" t="str">
        <x:f>IF(A77="","",SUMIFS('Layout'!$K$8:$K$207,'Layout'!$G$8:$G$207,A77,'Layout'!$L$8:$L$207,"Build"))</x:f>
      </x:c>
      <x:c r="E77" s="11" t="str">
        <x:f>IF(A77="","",SUMIFS('Layout'!$K$8:$K$207,'Layout'!$G$8:$G$207,A77,'Layout'!$L$8:$L$207,"Spares"))</x:f>
      </x:c>
      <x:c r="F77" s="11" t="str">
        <x:f>IF(A77="","",SUM(D77:E77))</x:f>
      </x:c>
      <x:c r="G77" s="11" t="str">
        <x:f>IF(A77="","",'Definitions'!I77+SUMIFS('Assets'!$J$8:$J$207,'Assets'!$B$8:$B$207,A77))</x:f>
      </x:c>
      <x:c r="H77" s="11" t="str">
        <x:f>IF(A77="","",SUMIFS('Orders'!$I$8:$I$207,'Orders'!$D$8:$D$207,A77))</x:f>
      </x:c>
      <x:c r="I77" s="11" t="str">
        <x:f>IF(A77="","",SUMIFS('Orders'!$J$8:$J$207,'Orders'!$D$8:$D$207,A77))</x:f>
      </x:c>
      <x:c r="J77" s="11" t="str">
        <x:f>IF(A77="","",MAX(0,F77-G77))</x:f>
      </x:c>
      <x:c r="K77" s="11" t="str">
        <x:f>IF(A77="","",MAX(0,F77-G77-H77))</x:f>
      </x:c>
      <x:c r="L77" s="11" t="str">
        <x:f>IF(A77="","",'Definitions'!H77)</x:f>
      </x:c>
      <x:c r="M77" s="11" t="str">
        <x:f>IF(A77="","",IF(AND(ISNUMBER(L77),L77&gt;0),ROUNDUP(K77/L77,0),"Set pack size"))</x:f>
      </x:c>
      <x:c r="N77" s="11" t="str">
        <x:f>IF(A77="","",SUMIFS('Shipments'!$H$8:$H$207,'Shipments'!$F$8:$F$207,A77,'Shipments'!$C$8:$C$207,"Outbound"))</x:f>
      </x:c>
      <x:c r="O77" s="11" t="str">
        <x:f>IF(A77="","",MAX(0,F77-N77))</x:f>
      </x:c>
    </x:row>
    <x:row r="78" ht="22" customHeight="1">
      <x:c r="A78" s="9" t="str">
        <x:f>IF(AND('Definitions'!A78&lt;&gt;"",'Definitions'!C78="Part"),'Definitions'!A78,"")</x:f>
      </x:c>
      <x:c r="B78" s="9" t="str">
        <x:f>IF(A78="","",'Definitions'!B78)</x:f>
      </x:c>
      <x:c r="C78" s="9" t="str">
        <x:f>IF(A78="","",'Definitions'!F78)</x:f>
      </x:c>
      <x:c r="D78" s="11" t="str">
        <x:f>IF(A78="","",SUMIFS('Layout'!$K$8:$K$207,'Layout'!$G$8:$G$207,A78,'Layout'!$L$8:$L$207,"Build"))</x:f>
      </x:c>
      <x:c r="E78" s="11" t="str">
        <x:f>IF(A78="","",SUMIFS('Layout'!$K$8:$K$207,'Layout'!$G$8:$G$207,A78,'Layout'!$L$8:$L$207,"Spares"))</x:f>
      </x:c>
      <x:c r="F78" s="11" t="str">
        <x:f>IF(A78="","",SUM(D78:E78))</x:f>
      </x:c>
      <x:c r="G78" s="11" t="str">
        <x:f>IF(A78="","",'Definitions'!I78+SUMIFS('Assets'!$J$8:$J$207,'Assets'!$B$8:$B$207,A78))</x:f>
      </x:c>
      <x:c r="H78" s="11" t="str">
        <x:f>IF(A78="","",SUMIFS('Orders'!$I$8:$I$207,'Orders'!$D$8:$D$207,A78))</x:f>
      </x:c>
      <x:c r="I78" s="11" t="str">
        <x:f>IF(A78="","",SUMIFS('Orders'!$J$8:$J$207,'Orders'!$D$8:$D$207,A78))</x:f>
      </x:c>
      <x:c r="J78" s="11" t="str">
        <x:f>IF(A78="","",MAX(0,F78-G78))</x:f>
      </x:c>
      <x:c r="K78" s="11" t="str">
        <x:f>IF(A78="","",MAX(0,F78-G78-H78))</x:f>
      </x:c>
      <x:c r="L78" s="11" t="str">
        <x:f>IF(A78="","",'Definitions'!H78)</x:f>
      </x:c>
      <x:c r="M78" s="11" t="str">
        <x:f>IF(A78="","",IF(AND(ISNUMBER(L78),L78&gt;0),ROUNDUP(K78/L78,0),"Set pack size"))</x:f>
      </x:c>
      <x:c r="N78" s="11" t="str">
        <x:f>IF(A78="","",SUMIFS('Shipments'!$H$8:$H$207,'Shipments'!$F$8:$F$207,A78,'Shipments'!$C$8:$C$207,"Outbound"))</x:f>
      </x:c>
      <x:c r="O78" s="11" t="str">
        <x:f>IF(A78="","",MAX(0,F78-N78))</x:f>
      </x:c>
    </x:row>
    <x:row r="79" ht="22" customHeight="1">
      <x:c r="A79" s="9" t="str">
        <x:f>IF(AND('Definitions'!A79&lt;&gt;"",'Definitions'!C79="Part"),'Definitions'!A79,"")</x:f>
      </x:c>
      <x:c r="B79" s="9" t="str">
        <x:f>IF(A79="","",'Definitions'!B79)</x:f>
      </x:c>
      <x:c r="C79" s="9" t="str">
        <x:f>IF(A79="","",'Definitions'!F79)</x:f>
      </x:c>
      <x:c r="D79" s="11" t="str">
        <x:f>IF(A79="","",SUMIFS('Layout'!$K$8:$K$207,'Layout'!$G$8:$G$207,A79,'Layout'!$L$8:$L$207,"Build"))</x:f>
      </x:c>
      <x:c r="E79" s="11" t="str">
        <x:f>IF(A79="","",SUMIFS('Layout'!$K$8:$K$207,'Layout'!$G$8:$G$207,A79,'Layout'!$L$8:$L$207,"Spares"))</x:f>
      </x:c>
      <x:c r="F79" s="11" t="str">
        <x:f>IF(A79="","",SUM(D79:E79))</x:f>
      </x:c>
      <x:c r="G79" s="11" t="str">
        <x:f>IF(A79="","",'Definitions'!I79+SUMIFS('Assets'!$J$8:$J$207,'Assets'!$B$8:$B$207,A79))</x:f>
      </x:c>
      <x:c r="H79" s="11" t="str">
        <x:f>IF(A79="","",SUMIFS('Orders'!$I$8:$I$207,'Orders'!$D$8:$D$207,A79))</x:f>
      </x:c>
      <x:c r="I79" s="11" t="str">
        <x:f>IF(A79="","",SUMIFS('Orders'!$J$8:$J$207,'Orders'!$D$8:$D$207,A79))</x:f>
      </x:c>
      <x:c r="J79" s="11" t="str">
        <x:f>IF(A79="","",MAX(0,F79-G79))</x:f>
      </x:c>
      <x:c r="K79" s="11" t="str">
        <x:f>IF(A79="","",MAX(0,F79-G79-H79))</x:f>
      </x:c>
      <x:c r="L79" s="11" t="str">
        <x:f>IF(A79="","",'Definitions'!H79)</x:f>
      </x:c>
      <x:c r="M79" s="11" t="str">
        <x:f>IF(A79="","",IF(AND(ISNUMBER(L79),L79&gt;0),ROUNDUP(K79/L79,0),"Set pack size"))</x:f>
      </x:c>
      <x:c r="N79" s="11" t="str">
        <x:f>IF(A79="","",SUMIFS('Shipments'!$H$8:$H$207,'Shipments'!$F$8:$F$207,A79,'Shipments'!$C$8:$C$207,"Outbound"))</x:f>
      </x:c>
      <x:c r="O79" s="11" t="str">
        <x:f>IF(A79="","",MAX(0,F79-N79))</x:f>
      </x:c>
    </x:row>
    <x:row r="80" ht="22" customHeight="1">
      <x:c r="A80" s="9" t="str">
        <x:f>IF(AND('Definitions'!A80&lt;&gt;"",'Definitions'!C80="Part"),'Definitions'!A80,"")</x:f>
      </x:c>
      <x:c r="B80" s="9" t="str">
        <x:f>IF(A80="","",'Definitions'!B80)</x:f>
      </x:c>
      <x:c r="C80" s="9" t="str">
        <x:f>IF(A80="","",'Definitions'!F80)</x:f>
      </x:c>
      <x:c r="D80" s="11" t="str">
        <x:f>IF(A80="","",SUMIFS('Layout'!$K$8:$K$207,'Layout'!$G$8:$G$207,A80,'Layout'!$L$8:$L$207,"Build"))</x:f>
      </x:c>
      <x:c r="E80" s="11" t="str">
        <x:f>IF(A80="","",SUMIFS('Layout'!$K$8:$K$207,'Layout'!$G$8:$G$207,A80,'Layout'!$L$8:$L$207,"Spares"))</x:f>
      </x:c>
      <x:c r="F80" s="11" t="str">
        <x:f>IF(A80="","",SUM(D80:E80))</x:f>
      </x:c>
      <x:c r="G80" s="11" t="str">
        <x:f>IF(A80="","",'Definitions'!I80+SUMIFS('Assets'!$J$8:$J$207,'Assets'!$B$8:$B$207,A80))</x:f>
      </x:c>
      <x:c r="H80" s="11" t="str">
        <x:f>IF(A80="","",SUMIFS('Orders'!$I$8:$I$207,'Orders'!$D$8:$D$207,A80))</x:f>
      </x:c>
      <x:c r="I80" s="11" t="str">
        <x:f>IF(A80="","",SUMIFS('Orders'!$J$8:$J$207,'Orders'!$D$8:$D$207,A80))</x:f>
      </x:c>
      <x:c r="J80" s="11" t="str">
        <x:f>IF(A80="","",MAX(0,F80-G80))</x:f>
      </x:c>
      <x:c r="K80" s="11" t="str">
        <x:f>IF(A80="","",MAX(0,F80-G80-H80))</x:f>
      </x:c>
      <x:c r="L80" s="11" t="str">
        <x:f>IF(A80="","",'Definitions'!H80)</x:f>
      </x:c>
      <x:c r="M80" s="11" t="str">
        <x:f>IF(A80="","",IF(AND(ISNUMBER(L80),L80&gt;0),ROUNDUP(K80/L80,0),"Set pack size"))</x:f>
      </x:c>
      <x:c r="N80" s="11" t="str">
        <x:f>IF(A80="","",SUMIFS('Shipments'!$H$8:$H$207,'Shipments'!$F$8:$F$207,A80,'Shipments'!$C$8:$C$207,"Outbound"))</x:f>
      </x:c>
      <x:c r="O80" s="11" t="str">
        <x:f>IF(A80="","",MAX(0,F80-N80))</x:f>
      </x:c>
    </x:row>
    <x:row r="81" ht="22" customHeight="1">
      <x:c r="A81" s="9" t="str">
        <x:f>IF(AND('Definitions'!A81&lt;&gt;"",'Definitions'!C81="Part"),'Definitions'!A81,"")</x:f>
      </x:c>
      <x:c r="B81" s="9" t="str">
        <x:f>IF(A81="","",'Definitions'!B81)</x:f>
      </x:c>
      <x:c r="C81" s="9" t="str">
        <x:f>IF(A81="","",'Definitions'!F81)</x:f>
      </x:c>
      <x:c r="D81" s="11" t="str">
        <x:f>IF(A81="","",SUMIFS('Layout'!$K$8:$K$207,'Layout'!$G$8:$G$207,A81,'Layout'!$L$8:$L$207,"Build"))</x:f>
      </x:c>
      <x:c r="E81" s="11" t="str">
        <x:f>IF(A81="","",SUMIFS('Layout'!$K$8:$K$207,'Layout'!$G$8:$G$207,A81,'Layout'!$L$8:$L$207,"Spares"))</x:f>
      </x:c>
      <x:c r="F81" s="11" t="str">
        <x:f>IF(A81="","",SUM(D81:E81))</x:f>
      </x:c>
      <x:c r="G81" s="11" t="str">
        <x:f>IF(A81="","",'Definitions'!I81+SUMIFS('Assets'!$J$8:$J$207,'Assets'!$B$8:$B$207,A81))</x:f>
      </x:c>
      <x:c r="H81" s="11" t="str">
        <x:f>IF(A81="","",SUMIFS('Orders'!$I$8:$I$207,'Orders'!$D$8:$D$207,A81))</x:f>
      </x:c>
      <x:c r="I81" s="11" t="str">
        <x:f>IF(A81="","",SUMIFS('Orders'!$J$8:$J$207,'Orders'!$D$8:$D$207,A81))</x:f>
      </x:c>
      <x:c r="J81" s="11" t="str">
        <x:f>IF(A81="","",MAX(0,F81-G81))</x:f>
      </x:c>
      <x:c r="K81" s="11" t="str">
        <x:f>IF(A81="","",MAX(0,F81-G81-H81))</x:f>
      </x:c>
      <x:c r="L81" s="11" t="str">
        <x:f>IF(A81="","",'Definitions'!H81)</x:f>
      </x:c>
      <x:c r="M81" s="11" t="str">
        <x:f>IF(A81="","",IF(AND(ISNUMBER(L81),L81&gt;0),ROUNDUP(K81/L81,0),"Set pack size"))</x:f>
      </x:c>
      <x:c r="N81" s="11" t="str">
        <x:f>IF(A81="","",SUMIFS('Shipments'!$H$8:$H$207,'Shipments'!$F$8:$F$207,A81,'Shipments'!$C$8:$C$207,"Outbound"))</x:f>
      </x:c>
      <x:c r="O81" s="11" t="str">
        <x:f>IF(A81="","",MAX(0,F81-N81))</x:f>
      </x:c>
    </x:row>
    <x:row r="82" ht="22" customHeight="1">
      <x:c r="A82" s="9" t="str">
        <x:f>IF(AND('Definitions'!A82&lt;&gt;"",'Definitions'!C82="Part"),'Definitions'!A82,"")</x:f>
      </x:c>
      <x:c r="B82" s="9" t="str">
        <x:f>IF(A82="","",'Definitions'!B82)</x:f>
      </x:c>
      <x:c r="C82" s="9" t="str">
        <x:f>IF(A82="","",'Definitions'!F82)</x:f>
      </x:c>
      <x:c r="D82" s="11" t="str">
        <x:f>IF(A82="","",SUMIFS('Layout'!$K$8:$K$207,'Layout'!$G$8:$G$207,A82,'Layout'!$L$8:$L$207,"Build"))</x:f>
      </x:c>
      <x:c r="E82" s="11" t="str">
        <x:f>IF(A82="","",SUMIFS('Layout'!$K$8:$K$207,'Layout'!$G$8:$G$207,A82,'Layout'!$L$8:$L$207,"Spares"))</x:f>
      </x:c>
      <x:c r="F82" s="11" t="str">
        <x:f>IF(A82="","",SUM(D82:E82))</x:f>
      </x:c>
      <x:c r="G82" s="11" t="str">
        <x:f>IF(A82="","",'Definitions'!I82+SUMIFS('Assets'!$J$8:$J$207,'Assets'!$B$8:$B$207,A82))</x:f>
      </x:c>
      <x:c r="H82" s="11" t="str">
        <x:f>IF(A82="","",SUMIFS('Orders'!$I$8:$I$207,'Orders'!$D$8:$D$207,A82))</x:f>
      </x:c>
      <x:c r="I82" s="11" t="str">
        <x:f>IF(A82="","",SUMIFS('Orders'!$J$8:$J$207,'Orders'!$D$8:$D$207,A82))</x:f>
      </x:c>
      <x:c r="J82" s="11" t="str">
        <x:f>IF(A82="","",MAX(0,F82-G82))</x:f>
      </x:c>
      <x:c r="K82" s="11" t="str">
        <x:f>IF(A82="","",MAX(0,F82-G82-H82))</x:f>
      </x:c>
      <x:c r="L82" s="11" t="str">
        <x:f>IF(A82="","",'Definitions'!H82)</x:f>
      </x:c>
      <x:c r="M82" s="11" t="str">
        <x:f>IF(A82="","",IF(AND(ISNUMBER(L82),L82&gt;0),ROUNDUP(K82/L82,0),"Set pack size"))</x:f>
      </x:c>
      <x:c r="N82" s="11" t="str">
        <x:f>IF(A82="","",SUMIFS('Shipments'!$H$8:$H$207,'Shipments'!$F$8:$F$207,A82,'Shipments'!$C$8:$C$207,"Outbound"))</x:f>
      </x:c>
      <x:c r="O82" s="11" t="str">
        <x:f>IF(A82="","",MAX(0,F82-N82))</x:f>
      </x:c>
    </x:row>
    <x:row r="83" ht="22" customHeight="1">
      <x:c r="A83" s="9" t="str">
        <x:f>IF(AND('Definitions'!A83&lt;&gt;"",'Definitions'!C83="Part"),'Definitions'!A83,"")</x:f>
      </x:c>
      <x:c r="B83" s="9" t="str">
        <x:f>IF(A83="","",'Definitions'!B83)</x:f>
      </x:c>
      <x:c r="C83" s="9" t="str">
        <x:f>IF(A83="","",'Definitions'!F83)</x:f>
      </x:c>
      <x:c r="D83" s="11" t="str">
        <x:f>IF(A83="","",SUMIFS('Layout'!$K$8:$K$207,'Layout'!$G$8:$G$207,A83,'Layout'!$L$8:$L$207,"Build"))</x:f>
      </x:c>
      <x:c r="E83" s="11" t="str">
        <x:f>IF(A83="","",SUMIFS('Layout'!$K$8:$K$207,'Layout'!$G$8:$G$207,A83,'Layout'!$L$8:$L$207,"Spares"))</x:f>
      </x:c>
      <x:c r="F83" s="11" t="str">
        <x:f>IF(A83="","",SUM(D83:E83))</x:f>
      </x:c>
      <x:c r="G83" s="11" t="str">
        <x:f>IF(A83="","",'Definitions'!I83+SUMIFS('Assets'!$J$8:$J$207,'Assets'!$B$8:$B$207,A83))</x:f>
      </x:c>
      <x:c r="H83" s="11" t="str">
        <x:f>IF(A83="","",SUMIFS('Orders'!$I$8:$I$207,'Orders'!$D$8:$D$207,A83))</x:f>
      </x:c>
      <x:c r="I83" s="11" t="str">
        <x:f>IF(A83="","",SUMIFS('Orders'!$J$8:$J$207,'Orders'!$D$8:$D$207,A83))</x:f>
      </x:c>
      <x:c r="J83" s="11" t="str">
        <x:f>IF(A83="","",MAX(0,F83-G83))</x:f>
      </x:c>
      <x:c r="K83" s="11" t="str">
        <x:f>IF(A83="","",MAX(0,F83-G83-H83))</x:f>
      </x:c>
      <x:c r="L83" s="11" t="str">
        <x:f>IF(A83="","",'Definitions'!H83)</x:f>
      </x:c>
      <x:c r="M83" s="11" t="str">
        <x:f>IF(A83="","",IF(AND(ISNUMBER(L83),L83&gt;0),ROUNDUP(K83/L83,0),"Set pack size"))</x:f>
      </x:c>
      <x:c r="N83" s="11" t="str">
        <x:f>IF(A83="","",SUMIFS('Shipments'!$H$8:$H$207,'Shipments'!$F$8:$F$207,A83,'Shipments'!$C$8:$C$207,"Outbound"))</x:f>
      </x:c>
      <x:c r="O83" s="11" t="str">
        <x:f>IF(A83="","",MAX(0,F83-N83))</x:f>
      </x:c>
    </x:row>
    <x:row r="84" ht="22" customHeight="1">
      <x:c r="A84" s="9" t="str">
        <x:f>IF(AND('Definitions'!A84&lt;&gt;"",'Definitions'!C84="Part"),'Definitions'!A84,"")</x:f>
      </x:c>
      <x:c r="B84" s="9" t="str">
        <x:f>IF(A84="","",'Definitions'!B84)</x:f>
      </x:c>
      <x:c r="C84" s="9" t="str">
        <x:f>IF(A84="","",'Definitions'!F84)</x:f>
      </x:c>
      <x:c r="D84" s="11" t="str">
        <x:f>IF(A84="","",SUMIFS('Layout'!$K$8:$K$207,'Layout'!$G$8:$G$207,A84,'Layout'!$L$8:$L$207,"Build"))</x:f>
      </x:c>
      <x:c r="E84" s="11" t="str">
        <x:f>IF(A84="","",SUMIFS('Layout'!$K$8:$K$207,'Layout'!$G$8:$G$207,A84,'Layout'!$L$8:$L$207,"Spares"))</x:f>
      </x:c>
      <x:c r="F84" s="11" t="str">
        <x:f>IF(A84="","",SUM(D84:E84))</x:f>
      </x:c>
      <x:c r="G84" s="11" t="str">
        <x:f>IF(A84="","",'Definitions'!I84+SUMIFS('Assets'!$J$8:$J$207,'Assets'!$B$8:$B$207,A84))</x:f>
      </x:c>
      <x:c r="H84" s="11" t="str">
        <x:f>IF(A84="","",SUMIFS('Orders'!$I$8:$I$207,'Orders'!$D$8:$D$207,A84))</x:f>
      </x:c>
      <x:c r="I84" s="11" t="str">
        <x:f>IF(A84="","",SUMIFS('Orders'!$J$8:$J$207,'Orders'!$D$8:$D$207,A84))</x:f>
      </x:c>
      <x:c r="J84" s="11" t="str">
        <x:f>IF(A84="","",MAX(0,F84-G84))</x:f>
      </x:c>
      <x:c r="K84" s="11" t="str">
        <x:f>IF(A84="","",MAX(0,F84-G84-H84))</x:f>
      </x:c>
      <x:c r="L84" s="11" t="str">
        <x:f>IF(A84="","",'Definitions'!H84)</x:f>
      </x:c>
      <x:c r="M84" s="11" t="str">
        <x:f>IF(A84="","",IF(AND(ISNUMBER(L84),L84&gt;0),ROUNDUP(K84/L84,0),"Set pack size"))</x:f>
      </x:c>
      <x:c r="N84" s="11" t="str">
        <x:f>IF(A84="","",SUMIFS('Shipments'!$H$8:$H$207,'Shipments'!$F$8:$F$207,A84,'Shipments'!$C$8:$C$207,"Outbound"))</x:f>
      </x:c>
      <x:c r="O84" s="11" t="str">
        <x:f>IF(A84="","",MAX(0,F84-N84))</x:f>
      </x:c>
    </x:row>
    <x:row r="85" ht="22" customHeight="1">
      <x:c r="A85" s="9" t="str">
        <x:f>IF(AND('Definitions'!A85&lt;&gt;"",'Definitions'!C85="Part"),'Definitions'!A85,"")</x:f>
      </x:c>
      <x:c r="B85" s="9" t="str">
        <x:f>IF(A85="","",'Definitions'!B85)</x:f>
      </x:c>
      <x:c r="C85" s="9" t="str">
        <x:f>IF(A85="","",'Definitions'!F85)</x:f>
      </x:c>
      <x:c r="D85" s="11" t="str">
        <x:f>IF(A85="","",SUMIFS('Layout'!$K$8:$K$207,'Layout'!$G$8:$G$207,A85,'Layout'!$L$8:$L$207,"Build"))</x:f>
      </x:c>
      <x:c r="E85" s="11" t="str">
        <x:f>IF(A85="","",SUMIFS('Layout'!$K$8:$K$207,'Layout'!$G$8:$G$207,A85,'Layout'!$L$8:$L$207,"Spares"))</x:f>
      </x:c>
      <x:c r="F85" s="11" t="str">
        <x:f>IF(A85="","",SUM(D85:E85))</x:f>
      </x:c>
      <x:c r="G85" s="11" t="str">
        <x:f>IF(A85="","",'Definitions'!I85+SUMIFS('Assets'!$J$8:$J$207,'Assets'!$B$8:$B$207,A85))</x:f>
      </x:c>
      <x:c r="H85" s="11" t="str">
        <x:f>IF(A85="","",SUMIFS('Orders'!$I$8:$I$207,'Orders'!$D$8:$D$207,A85))</x:f>
      </x:c>
      <x:c r="I85" s="11" t="str">
        <x:f>IF(A85="","",SUMIFS('Orders'!$J$8:$J$207,'Orders'!$D$8:$D$207,A85))</x:f>
      </x:c>
      <x:c r="J85" s="11" t="str">
        <x:f>IF(A85="","",MAX(0,F85-G85))</x:f>
      </x:c>
      <x:c r="K85" s="11" t="str">
        <x:f>IF(A85="","",MAX(0,F85-G85-H85))</x:f>
      </x:c>
      <x:c r="L85" s="11" t="str">
        <x:f>IF(A85="","",'Definitions'!H85)</x:f>
      </x:c>
      <x:c r="M85" s="11" t="str">
        <x:f>IF(A85="","",IF(AND(ISNUMBER(L85),L85&gt;0),ROUNDUP(K85/L85,0),"Set pack size"))</x:f>
      </x:c>
      <x:c r="N85" s="11" t="str">
        <x:f>IF(A85="","",SUMIFS('Shipments'!$H$8:$H$207,'Shipments'!$F$8:$F$207,A85,'Shipments'!$C$8:$C$207,"Outbound"))</x:f>
      </x:c>
      <x:c r="O85" s="11" t="str">
        <x:f>IF(A85="","",MAX(0,F85-N85))</x:f>
      </x:c>
    </x:row>
    <x:row r="86" ht="22" customHeight="1">
      <x:c r="A86" s="9" t="str">
        <x:f>IF(AND('Definitions'!A86&lt;&gt;"",'Definitions'!C86="Part"),'Definitions'!A86,"")</x:f>
      </x:c>
      <x:c r="B86" s="9" t="str">
        <x:f>IF(A86="","",'Definitions'!B86)</x:f>
      </x:c>
      <x:c r="C86" s="9" t="str">
        <x:f>IF(A86="","",'Definitions'!F86)</x:f>
      </x:c>
      <x:c r="D86" s="11" t="str">
        <x:f>IF(A86="","",SUMIFS('Layout'!$K$8:$K$207,'Layout'!$G$8:$G$207,A86,'Layout'!$L$8:$L$207,"Build"))</x:f>
      </x:c>
      <x:c r="E86" s="11" t="str">
        <x:f>IF(A86="","",SUMIFS('Layout'!$K$8:$K$207,'Layout'!$G$8:$G$207,A86,'Layout'!$L$8:$L$207,"Spares"))</x:f>
      </x:c>
      <x:c r="F86" s="11" t="str">
        <x:f>IF(A86="","",SUM(D86:E86))</x:f>
      </x:c>
      <x:c r="G86" s="11" t="str">
        <x:f>IF(A86="","",'Definitions'!I86+SUMIFS('Assets'!$J$8:$J$207,'Assets'!$B$8:$B$207,A86))</x:f>
      </x:c>
      <x:c r="H86" s="11" t="str">
        <x:f>IF(A86="","",SUMIFS('Orders'!$I$8:$I$207,'Orders'!$D$8:$D$207,A86))</x:f>
      </x:c>
      <x:c r="I86" s="11" t="str">
        <x:f>IF(A86="","",SUMIFS('Orders'!$J$8:$J$207,'Orders'!$D$8:$D$207,A86))</x:f>
      </x:c>
      <x:c r="J86" s="11" t="str">
        <x:f>IF(A86="","",MAX(0,F86-G86))</x:f>
      </x:c>
      <x:c r="K86" s="11" t="str">
        <x:f>IF(A86="","",MAX(0,F86-G86-H86))</x:f>
      </x:c>
      <x:c r="L86" s="11" t="str">
        <x:f>IF(A86="","",'Definitions'!H86)</x:f>
      </x:c>
      <x:c r="M86" s="11" t="str">
        <x:f>IF(A86="","",IF(AND(ISNUMBER(L86),L86&gt;0),ROUNDUP(K86/L86,0),"Set pack size"))</x:f>
      </x:c>
      <x:c r="N86" s="11" t="str">
        <x:f>IF(A86="","",SUMIFS('Shipments'!$H$8:$H$207,'Shipments'!$F$8:$F$207,A86,'Shipments'!$C$8:$C$207,"Outbound"))</x:f>
      </x:c>
      <x:c r="O86" s="11" t="str">
        <x:f>IF(A86="","",MAX(0,F86-N86))</x:f>
      </x:c>
    </x:row>
    <x:row r="87" ht="22" customHeight="1">
      <x:c r="A87" s="9" t="str">
        <x:f>IF(AND('Definitions'!A87&lt;&gt;"",'Definitions'!C87="Part"),'Definitions'!A87,"")</x:f>
      </x:c>
      <x:c r="B87" s="9" t="str">
        <x:f>IF(A87="","",'Definitions'!B87)</x:f>
      </x:c>
      <x:c r="C87" s="9" t="str">
        <x:f>IF(A87="","",'Definitions'!F87)</x:f>
      </x:c>
      <x:c r="D87" s="11" t="str">
        <x:f>IF(A87="","",SUMIFS('Layout'!$K$8:$K$207,'Layout'!$G$8:$G$207,A87,'Layout'!$L$8:$L$207,"Build"))</x:f>
      </x:c>
      <x:c r="E87" s="11" t="str">
        <x:f>IF(A87="","",SUMIFS('Layout'!$K$8:$K$207,'Layout'!$G$8:$G$207,A87,'Layout'!$L$8:$L$207,"Spares"))</x:f>
      </x:c>
      <x:c r="F87" s="11" t="str">
        <x:f>IF(A87="","",SUM(D87:E87))</x:f>
      </x:c>
      <x:c r="G87" s="11" t="str">
        <x:f>IF(A87="","",'Definitions'!I87+SUMIFS('Assets'!$J$8:$J$207,'Assets'!$B$8:$B$207,A87))</x:f>
      </x:c>
      <x:c r="H87" s="11" t="str">
        <x:f>IF(A87="","",SUMIFS('Orders'!$I$8:$I$207,'Orders'!$D$8:$D$207,A87))</x:f>
      </x:c>
      <x:c r="I87" s="11" t="str">
        <x:f>IF(A87="","",SUMIFS('Orders'!$J$8:$J$207,'Orders'!$D$8:$D$207,A87))</x:f>
      </x:c>
      <x:c r="J87" s="11" t="str">
        <x:f>IF(A87="","",MAX(0,F87-G87))</x:f>
      </x:c>
      <x:c r="K87" s="11" t="str">
        <x:f>IF(A87="","",MAX(0,F87-G87-H87))</x:f>
      </x:c>
      <x:c r="L87" s="11" t="str">
        <x:f>IF(A87="","",'Definitions'!H87)</x:f>
      </x:c>
      <x:c r="M87" s="11" t="str">
        <x:f>IF(A87="","",IF(AND(ISNUMBER(L87),L87&gt;0),ROUNDUP(K87/L87,0),"Set pack size"))</x:f>
      </x:c>
      <x:c r="N87" s="11" t="str">
        <x:f>IF(A87="","",SUMIFS('Shipments'!$H$8:$H$207,'Shipments'!$F$8:$F$207,A87,'Shipments'!$C$8:$C$207,"Outbound"))</x:f>
      </x:c>
      <x:c r="O87" s="11" t="str">
        <x:f>IF(A87="","",MAX(0,F87-N87))</x:f>
      </x:c>
    </x:row>
    <x:row r="88" ht="22" customHeight="1">
      <x:c r="A88" s="9" t="str">
        <x:f>IF(AND('Definitions'!A88&lt;&gt;"",'Definitions'!C88="Part"),'Definitions'!A88,"")</x:f>
      </x:c>
      <x:c r="B88" s="9" t="str">
        <x:f>IF(A88="","",'Definitions'!B88)</x:f>
      </x:c>
      <x:c r="C88" s="9" t="str">
        <x:f>IF(A88="","",'Definitions'!F88)</x:f>
      </x:c>
      <x:c r="D88" s="11" t="str">
        <x:f>IF(A88="","",SUMIFS('Layout'!$K$8:$K$207,'Layout'!$G$8:$G$207,A88,'Layout'!$L$8:$L$207,"Build"))</x:f>
      </x:c>
      <x:c r="E88" s="11" t="str">
        <x:f>IF(A88="","",SUMIFS('Layout'!$K$8:$K$207,'Layout'!$G$8:$G$207,A88,'Layout'!$L$8:$L$207,"Spares"))</x:f>
      </x:c>
      <x:c r="F88" s="11" t="str">
        <x:f>IF(A88="","",SUM(D88:E88))</x:f>
      </x:c>
      <x:c r="G88" s="11" t="str">
        <x:f>IF(A88="","",'Definitions'!I88+SUMIFS('Assets'!$J$8:$J$207,'Assets'!$B$8:$B$207,A88))</x:f>
      </x:c>
      <x:c r="H88" s="11" t="str">
        <x:f>IF(A88="","",SUMIFS('Orders'!$I$8:$I$207,'Orders'!$D$8:$D$207,A88))</x:f>
      </x:c>
      <x:c r="I88" s="11" t="str">
        <x:f>IF(A88="","",SUMIFS('Orders'!$J$8:$J$207,'Orders'!$D$8:$D$207,A88))</x:f>
      </x:c>
      <x:c r="J88" s="11" t="str">
        <x:f>IF(A88="","",MAX(0,F88-G88))</x:f>
      </x:c>
      <x:c r="K88" s="11" t="str">
        <x:f>IF(A88="","",MAX(0,F88-G88-H88))</x:f>
      </x:c>
      <x:c r="L88" s="11" t="str">
        <x:f>IF(A88="","",'Definitions'!H88)</x:f>
      </x:c>
      <x:c r="M88" s="11" t="str">
        <x:f>IF(A88="","",IF(AND(ISNUMBER(L88),L88&gt;0),ROUNDUP(K88/L88,0),"Set pack size"))</x:f>
      </x:c>
      <x:c r="N88" s="11" t="str">
        <x:f>IF(A88="","",SUMIFS('Shipments'!$H$8:$H$207,'Shipments'!$F$8:$F$207,A88,'Shipments'!$C$8:$C$207,"Outbound"))</x:f>
      </x:c>
      <x:c r="O88" s="11" t="str">
        <x:f>IF(A88="","",MAX(0,F88-N88))</x:f>
      </x:c>
    </x:row>
    <x:row r="89" ht="22" customHeight="1">
      <x:c r="A89" s="9" t="str">
        <x:f>IF(AND('Definitions'!A89&lt;&gt;"",'Definitions'!C89="Part"),'Definitions'!A89,"")</x:f>
      </x:c>
      <x:c r="B89" s="9" t="str">
        <x:f>IF(A89="","",'Definitions'!B89)</x:f>
      </x:c>
      <x:c r="C89" s="9" t="str">
        <x:f>IF(A89="","",'Definitions'!F89)</x:f>
      </x:c>
      <x:c r="D89" s="11" t="str">
        <x:f>IF(A89="","",SUMIFS('Layout'!$K$8:$K$207,'Layout'!$G$8:$G$207,A89,'Layout'!$L$8:$L$207,"Build"))</x:f>
      </x:c>
      <x:c r="E89" s="11" t="str">
        <x:f>IF(A89="","",SUMIFS('Layout'!$K$8:$K$207,'Layout'!$G$8:$G$207,A89,'Layout'!$L$8:$L$207,"Spares"))</x:f>
      </x:c>
      <x:c r="F89" s="11" t="str">
        <x:f>IF(A89="","",SUM(D89:E89))</x:f>
      </x:c>
      <x:c r="G89" s="11" t="str">
        <x:f>IF(A89="","",'Definitions'!I89+SUMIFS('Assets'!$J$8:$J$207,'Assets'!$B$8:$B$207,A89))</x:f>
      </x:c>
      <x:c r="H89" s="11" t="str">
        <x:f>IF(A89="","",SUMIFS('Orders'!$I$8:$I$207,'Orders'!$D$8:$D$207,A89))</x:f>
      </x:c>
      <x:c r="I89" s="11" t="str">
        <x:f>IF(A89="","",SUMIFS('Orders'!$J$8:$J$207,'Orders'!$D$8:$D$207,A89))</x:f>
      </x:c>
      <x:c r="J89" s="11" t="str">
        <x:f>IF(A89="","",MAX(0,F89-G89))</x:f>
      </x:c>
      <x:c r="K89" s="11" t="str">
        <x:f>IF(A89="","",MAX(0,F89-G89-H89))</x:f>
      </x:c>
      <x:c r="L89" s="11" t="str">
        <x:f>IF(A89="","",'Definitions'!H89)</x:f>
      </x:c>
      <x:c r="M89" s="11" t="str">
        <x:f>IF(A89="","",IF(AND(ISNUMBER(L89),L89&gt;0),ROUNDUP(K89/L89,0),"Set pack size"))</x:f>
      </x:c>
      <x:c r="N89" s="11" t="str">
        <x:f>IF(A89="","",SUMIFS('Shipments'!$H$8:$H$207,'Shipments'!$F$8:$F$207,A89,'Shipments'!$C$8:$C$207,"Outbound"))</x:f>
      </x:c>
      <x:c r="O89" s="11" t="str">
        <x:f>IF(A89="","",MAX(0,F89-N89))</x:f>
      </x:c>
    </x:row>
    <x:row r="90" ht="22" customHeight="1">
      <x:c r="A90" s="9" t="str">
        <x:f>IF(AND('Definitions'!A90&lt;&gt;"",'Definitions'!C90="Part"),'Definitions'!A90,"")</x:f>
      </x:c>
      <x:c r="B90" s="9" t="str">
        <x:f>IF(A90="","",'Definitions'!B90)</x:f>
      </x:c>
      <x:c r="C90" s="9" t="str">
        <x:f>IF(A90="","",'Definitions'!F90)</x:f>
      </x:c>
      <x:c r="D90" s="11" t="str">
        <x:f>IF(A90="","",SUMIFS('Layout'!$K$8:$K$207,'Layout'!$G$8:$G$207,A90,'Layout'!$L$8:$L$207,"Build"))</x:f>
      </x:c>
      <x:c r="E90" s="11" t="str">
        <x:f>IF(A90="","",SUMIFS('Layout'!$K$8:$K$207,'Layout'!$G$8:$G$207,A90,'Layout'!$L$8:$L$207,"Spares"))</x:f>
      </x:c>
      <x:c r="F90" s="11" t="str">
        <x:f>IF(A90="","",SUM(D90:E90))</x:f>
      </x:c>
      <x:c r="G90" s="11" t="str">
        <x:f>IF(A90="","",'Definitions'!I90+SUMIFS('Assets'!$J$8:$J$207,'Assets'!$B$8:$B$207,A90))</x:f>
      </x:c>
      <x:c r="H90" s="11" t="str">
        <x:f>IF(A90="","",SUMIFS('Orders'!$I$8:$I$207,'Orders'!$D$8:$D$207,A90))</x:f>
      </x:c>
      <x:c r="I90" s="11" t="str">
        <x:f>IF(A90="","",SUMIFS('Orders'!$J$8:$J$207,'Orders'!$D$8:$D$207,A90))</x:f>
      </x:c>
      <x:c r="J90" s="11" t="str">
        <x:f>IF(A90="","",MAX(0,F90-G90))</x:f>
      </x:c>
      <x:c r="K90" s="11" t="str">
        <x:f>IF(A90="","",MAX(0,F90-G90-H90))</x:f>
      </x:c>
      <x:c r="L90" s="11" t="str">
        <x:f>IF(A90="","",'Definitions'!H90)</x:f>
      </x:c>
      <x:c r="M90" s="11" t="str">
        <x:f>IF(A90="","",IF(AND(ISNUMBER(L90),L90&gt;0),ROUNDUP(K90/L90,0),"Set pack size"))</x:f>
      </x:c>
      <x:c r="N90" s="11" t="str">
        <x:f>IF(A90="","",SUMIFS('Shipments'!$H$8:$H$207,'Shipments'!$F$8:$F$207,A90,'Shipments'!$C$8:$C$207,"Outbound"))</x:f>
      </x:c>
      <x:c r="O90" s="11" t="str">
        <x:f>IF(A90="","",MAX(0,F90-N90))</x:f>
      </x:c>
    </x:row>
    <x:row r="91" ht="22" customHeight="1">
      <x:c r="A91" s="9" t="str">
        <x:f>IF(AND('Definitions'!A91&lt;&gt;"",'Definitions'!C91="Part"),'Definitions'!A91,"")</x:f>
      </x:c>
      <x:c r="B91" s="9" t="str">
        <x:f>IF(A91="","",'Definitions'!B91)</x:f>
      </x:c>
      <x:c r="C91" s="9" t="str">
        <x:f>IF(A91="","",'Definitions'!F91)</x:f>
      </x:c>
      <x:c r="D91" s="11" t="str">
        <x:f>IF(A91="","",SUMIFS('Layout'!$K$8:$K$207,'Layout'!$G$8:$G$207,A91,'Layout'!$L$8:$L$207,"Build"))</x:f>
      </x:c>
      <x:c r="E91" s="11" t="str">
        <x:f>IF(A91="","",SUMIFS('Layout'!$K$8:$K$207,'Layout'!$G$8:$G$207,A91,'Layout'!$L$8:$L$207,"Spares"))</x:f>
      </x:c>
      <x:c r="F91" s="11" t="str">
        <x:f>IF(A91="","",SUM(D91:E91))</x:f>
      </x:c>
      <x:c r="G91" s="11" t="str">
        <x:f>IF(A91="","",'Definitions'!I91+SUMIFS('Assets'!$J$8:$J$207,'Assets'!$B$8:$B$207,A91))</x:f>
      </x:c>
      <x:c r="H91" s="11" t="str">
        <x:f>IF(A91="","",SUMIFS('Orders'!$I$8:$I$207,'Orders'!$D$8:$D$207,A91))</x:f>
      </x:c>
      <x:c r="I91" s="11" t="str">
        <x:f>IF(A91="","",SUMIFS('Orders'!$J$8:$J$207,'Orders'!$D$8:$D$207,A91))</x:f>
      </x:c>
      <x:c r="J91" s="11" t="str">
        <x:f>IF(A91="","",MAX(0,F91-G91))</x:f>
      </x:c>
      <x:c r="K91" s="11" t="str">
        <x:f>IF(A91="","",MAX(0,F91-G91-H91))</x:f>
      </x:c>
      <x:c r="L91" s="11" t="str">
        <x:f>IF(A91="","",'Definitions'!H91)</x:f>
      </x:c>
      <x:c r="M91" s="11" t="str">
        <x:f>IF(A91="","",IF(AND(ISNUMBER(L91),L91&gt;0),ROUNDUP(K91/L91,0),"Set pack size"))</x:f>
      </x:c>
      <x:c r="N91" s="11" t="str">
        <x:f>IF(A91="","",SUMIFS('Shipments'!$H$8:$H$207,'Shipments'!$F$8:$F$207,A91,'Shipments'!$C$8:$C$207,"Outbound"))</x:f>
      </x:c>
      <x:c r="O91" s="11" t="str">
        <x:f>IF(A91="","",MAX(0,F91-N91))</x:f>
      </x:c>
    </x:row>
    <x:row r="92" ht="22" customHeight="1">
      <x:c r="A92" s="9" t="str">
        <x:f>IF(AND('Definitions'!A92&lt;&gt;"",'Definitions'!C92="Part"),'Definitions'!A92,"")</x:f>
      </x:c>
      <x:c r="B92" s="9" t="str">
        <x:f>IF(A92="","",'Definitions'!B92)</x:f>
      </x:c>
      <x:c r="C92" s="9" t="str">
        <x:f>IF(A92="","",'Definitions'!F92)</x:f>
      </x:c>
      <x:c r="D92" s="11" t="str">
        <x:f>IF(A92="","",SUMIFS('Layout'!$K$8:$K$207,'Layout'!$G$8:$G$207,A92,'Layout'!$L$8:$L$207,"Build"))</x:f>
      </x:c>
      <x:c r="E92" s="11" t="str">
        <x:f>IF(A92="","",SUMIFS('Layout'!$K$8:$K$207,'Layout'!$G$8:$G$207,A92,'Layout'!$L$8:$L$207,"Spares"))</x:f>
      </x:c>
      <x:c r="F92" s="11" t="str">
        <x:f>IF(A92="","",SUM(D92:E92))</x:f>
      </x:c>
      <x:c r="G92" s="11" t="str">
        <x:f>IF(A92="","",'Definitions'!I92+SUMIFS('Assets'!$J$8:$J$207,'Assets'!$B$8:$B$207,A92))</x:f>
      </x:c>
      <x:c r="H92" s="11" t="str">
        <x:f>IF(A92="","",SUMIFS('Orders'!$I$8:$I$207,'Orders'!$D$8:$D$207,A92))</x:f>
      </x:c>
      <x:c r="I92" s="11" t="str">
        <x:f>IF(A92="","",SUMIFS('Orders'!$J$8:$J$207,'Orders'!$D$8:$D$207,A92))</x:f>
      </x:c>
      <x:c r="J92" s="11" t="str">
        <x:f>IF(A92="","",MAX(0,F92-G92))</x:f>
      </x:c>
      <x:c r="K92" s="11" t="str">
        <x:f>IF(A92="","",MAX(0,F92-G92-H92))</x:f>
      </x:c>
      <x:c r="L92" s="11" t="str">
        <x:f>IF(A92="","",'Definitions'!H92)</x:f>
      </x:c>
      <x:c r="M92" s="11" t="str">
        <x:f>IF(A92="","",IF(AND(ISNUMBER(L92),L92&gt;0),ROUNDUP(K92/L92,0),"Set pack size"))</x:f>
      </x:c>
      <x:c r="N92" s="11" t="str">
        <x:f>IF(A92="","",SUMIFS('Shipments'!$H$8:$H$207,'Shipments'!$F$8:$F$207,A92,'Shipments'!$C$8:$C$207,"Outbound"))</x:f>
      </x:c>
      <x:c r="O92" s="11" t="str">
        <x:f>IF(A92="","",MAX(0,F92-N92))</x:f>
      </x:c>
    </x:row>
    <x:row r="93" ht="22" customHeight="1">
      <x:c r="A93" s="9" t="str">
        <x:f>IF(AND('Definitions'!A93&lt;&gt;"",'Definitions'!C93="Part"),'Definitions'!A93,"")</x:f>
      </x:c>
      <x:c r="B93" s="9" t="str">
        <x:f>IF(A93="","",'Definitions'!B93)</x:f>
      </x:c>
      <x:c r="C93" s="9" t="str">
        <x:f>IF(A93="","",'Definitions'!F93)</x:f>
      </x:c>
      <x:c r="D93" s="11" t="str">
        <x:f>IF(A93="","",SUMIFS('Layout'!$K$8:$K$207,'Layout'!$G$8:$G$207,A93,'Layout'!$L$8:$L$207,"Build"))</x:f>
      </x:c>
      <x:c r="E93" s="11" t="str">
        <x:f>IF(A93="","",SUMIFS('Layout'!$K$8:$K$207,'Layout'!$G$8:$G$207,A93,'Layout'!$L$8:$L$207,"Spares"))</x:f>
      </x:c>
      <x:c r="F93" s="11" t="str">
        <x:f>IF(A93="","",SUM(D93:E93))</x:f>
      </x:c>
      <x:c r="G93" s="11" t="str">
        <x:f>IF(A93="","",'Definitions'!I93+SUMIFS('Assets'!$J$8:$J$207,'Assets'!$B$8:$B$207,A93))</x:f>
      </x:c>
      <x:c r="H93" s="11" t="str">
        <x:f>IF(A93="","",SUMIFS('Orders'!$I$8:$I$207,'Orders'!$D$8:$D$207,A93))</x:f>
      </x:c>
      <x:c r="I93" s="11" t="str">
        <x:f>IF(A93="","",SUMIFS('Orders'!$J$8:$J$207,'Orders'!$D$8:$D$207,A93))</x:f>
      </x:c>
      <x:c r="J93" s="11" t="str">
        <x:f>IF(A93="","",MAX(0,F93-G93))</x:f>
      </x:c>
      <x:c r="K93" s="11" t="str">
        <x:f>IF(A93="","",MAX(0,F93-G93-H93))</x:f>
      </x:c>
      <x:c r="L93" s="11" t="str">
        <x:f>IF(A93="","",'Definitions'!H93)</x:f>
      </x:c>
      <x:c r="M93" s="11" t="str">
        <x:f>IF(A93="","",IF(AND(ISNUMBER(L93),L93&gt;0),ROUNDUP(K93/L93,0),"Set pack size"))</x:f>
      </x:c>
      <x:c r="N93" s="11" t="str">
        <x:f>IF(A93="","",SUMIFS('Shipments'!$H$8:$H$207,'Shipments'!$F$8:$F$207,A93,'Shipments'!$C$8:$C$207,"Outbound"))</x:f>
      </x:c>
      <x:c r="O93" s="11" t="str">
        <x:f>IF(A93="","",MAX(0,F93-N93))</x:f>
      </x:c>
    </x:row>
    <x:row r="94" ht="22" customHeight="1">
      <x:c r="A94" s="9" t="str">
        <x:f>IF(AND('Definitions'!A94&lt;&gt;"",'Definitions'!C94="Part"),'Definitions'!A94,"")</x:f>
      </x:c>
      <x:c r="B94" s="9" t="str">
        <x:f>IF(A94="","",'Definitions'!B94)</x:f>
      </x:c>
      <x:c r="C94" s="9" t="str">
        <x:f>IF(A94="","",'Definitions'!F94)</x:f>
      </x:c>
      <x:c r="D94" s="11" t="str">
        <x:f>IF(A94="","",SUMIFS('Layout'!$K$8:$K$207,'Layout'!$G$8:$G$207,A94,'Layout'!$L$8:$L$207,"Build"))</x:f>
      </x:c>
      <x:c r="E94" s="11" t="str">
        <x:f>IF(A94="","",SUMIFS('Layout'!$K$8:$K$207,'Layout'!$G$8:$G$207,A94,'Layout'!$L$8:$L$207,"Spares"))</x:f>
      </x:c>
      <x:c r="F94" s="11" t="str">
        <x:f>IF(A94="","",SUM(D94:E94))</x:f>
      </x:c>
      <x:c r="G94" s="11" t="str">
        <x:f>IF(A94="","",'Definitions'!I94+SUMIFS('Assets'!$J$8:$J$207,'Assets'!$B$8:$B$207,A94))</x:f>
      </x:c>
      <x:c r="H94" s="11" t="str">
        <x:f>IF(A94="","",SUMIFS('Orders'!$I$8:$I$207,'Orders'!$D$8:$D$207,A94))</x:f>
      </x:c>
      <x:c r="I94" s="11" t="str">
        <x:f>IF(A94="","",SUMIFS('Orders'!$J$8:$J$207,'Orders'!$D$8:$D$207,A94))</x:f>
      </x:c>
      <x:c r="J94" s="11" t="str">
        <x:f>IF(A94="","",MAX(0,F94-G94))</x:f>
      </x:c>
      <x:c r="K94" s="11" t="str">
        <x:f>IF(A94="","",MAX(0,F94-G94-H94))</x:f>
      </x:c>
      <x:c r="L94" s="11" t="str">
        <x:f>IF(A94="","",'Definitions'!H94)</x:f>
      </x:c>
      <x:c r="M94" s="11" t="str">
        <x:f>IF(A94="","",IF(AND(ISNUMBER(L94),L94&gt;0),ROUNDUP(K94/L94,0),"Set pack size"))</x:f>
      </x:c>
      <x:c r="N94" s="11" t="str">
        <x:f>IF(A94="","",SUMIFS('Shipments'!$H$8:$H$207,'Shipments'!$F$8:$F$207,A94,'Shipments'!$C$8:$C$207,"Outbound"))</x:f>
      </x:c>
      <x:c r="O94" s="11" t="str">
        <x:f>IF(A94="","",MAX(0,F94-N94))</x:f>
      </x:c>
    </x:row>
    <x:row r="95" ht="22" customHeight="1">
      <x:c r="A95" s="9" t="str">
        <x:f>IF(AND('Definitions'!A95&lt;&gt;"",'Definitions'!C95="Part"),'Definitions'!A95,"")</x:f>
      </x:c>
      <x:c r="B95" s="9" t="str">
        <x:f>IF(A95="","",'Definitions'!B95)</x:f>
      </x:c>
      <x:c r="C95" s="9" t="str">
        <x:f>IF(A95="","",'Definitions'!F95)</x:f>
      </x:c>
      <x:c r="D95" s="11" t="str">
        <x:f>IF(A95="","",SUMIFS('Layout'!$K$8:$K$207,'Layout'!$G$8:$G$207,A95,'Layout'!$L$8:$L$207,"Build"))</x:f>
      </x:c>
      <x:c r="E95" s="11" t="str">
        <x:f>IF(A95="","",SUMIFS('Layout'!$K$8:$K$207,'Layout'!$G$8:$G$207,A95,'Layout'!$L$8:$L$207,"Spares"))</x:f>
      </x:c>
      <x:c r="F95" s="11" t="str">
        <x:f>IF(A95="","",SUM(D95:E95))</x:f>
      </x:c>
      <x:c r="G95" s="11" t="str">
        <x:f>IF(A95="","",'Definitions'!I95+SUMIFS('Assets'!$J$8:$J$207,'Assets'!$B$8:$B$207,A95))</x:f>
      </x:c>
      <x:c r="H95" s="11" t="str">
        <x:f>IF(A95="","",SUMIFS('Orders'!$I$8:$I$207,'Orders'!$D$8:$D$207,A95))</x:f>
      </x:c>
      <x:c r="I95" s="11" t="str">
        <x:f>IF(A95="","",SUMIFS('Orders'!$J$8:$J$207,'Orders'!$D$8:$D$207,A95))</x:f>
      </x:c>
      <x:c r="J95" s="11" t="str">
        <x:f>IF(A95="","",MAX(0,F95-G95))</x:f>
      </x:c>
      <x:c r="K95" s="11" t="str">
        <x:f>IF(A95="","",MAX(0,F95-G95-H95))</x:f>
      </x:c>
      <x:c r="L95" s="11" t="str">
        <x:f>IF(A95="","",'Definitions'!H95)</x:f>
      </x:c>
      <x:c r="M95" s="11" t="str">
        <x:f>IF(A95="","",IF(AND(ISNUMBER(L95),L95&gt;0),ROUNDUP(K95/L95,0),"Set pack size"))</x:f>
      </x:c>
      <x:c r="N95" s="11" t="str">
        <x:f>IF(A95="","",SUMIFS('Shipments'!$H$8:$H$207,'Shipments'!$F$8:$F$207,A95,'Shipments'!$C$8:$C$207,"Outbound"))</x:f>
      </x:c>
      <x:c r="O95" s="11" t="str">
        <x:f>IF(A95="","",MAX(0,F95-N95))</x:f>
      </x:c>
    </x:row>
    <x:row r="96" ht="22" customHeight="1">
      <x:c r="A96" s="9" t="str">
        <x:f>IF(AND('Definitions'!A96&lt;&gt;"",'Definitions'!C96="Part"),'Definitions'!A96,"")</x:f>
      </x:c>
      <x:c r="B96" s="9" t="str">
        <x:f>IF(A96="","",'Definitions'!B96)</x:f>
      </x:c>
      <x:c r="C96" s="9" t="str">
        <x:f>IF(A96="","",'Definitions'!F96)</x:f>
      </x:c>
      <x:c r="D96" s="11" t="str">
        <x:f>IF(A96="","",SUMIFS('Layout'!$K$8:$K$207,'Layout'!$G$8:$G$207,A96,'Layout'!$L$8:$L$207,"Build"))</x:f>
      </x:c>
      <x:c r="E96" s="11" t="str">
        <x:f>IF(A96="","",SUMIFS('Layout'!$K$8:$K$207,'Layout'!$G$8:$G$207,A96,'Layout'!$L$8:$L$207,"Spares"))</x:f>
      </x:c>
      <x:c r="F96" s="11" t="str">
        <x:f>IF(A96="","",SUM(D96:E96))</x:f>
      </x:c>
      <x:c r="G96" s="11" t="str">
        <x:f>IF(A96="","",'Definitions'!I96+SUMIFS('Assets'!$J$8:$J$207,'Assets'!$B$8:$B$207,A96))</x:f>
      </x:c>
      <x:c r="H96" s="11" t="str">
        <x:f>IF(A96="","",SUMIFS('Orders'!$I$8:$I$207,'Orders'!$D$8:$D$207,A96))</x:f>
      </x:c>
      <x:c r="I96" s="11" t="str">
        <x:f>IF(A96="","",SUMIFS('Orders'!$J$8:$J$207,'Orders'!$D$8:$D$207,A96))</x:f>
      </x:c>
      <x:c r="J96" s="11" t="str">
        <x:f>IF(A96="","",MAX(0,F96-G96))</x:f>
      </x:c>
      <x:c r="K96" s="11" t="str">
        <x:f>IF(A96="","",MAX(0,F96-G96-H96))</x:f>
      </x:c>
      <x:c r="L96" s="11" t="str">
        <x:f>IF(A96="","",'Definitions'!H96)</x:f>
      </x:c>
      <x:c r="M96" s="11" t="str">
        <x:f>IF(A96="","",IF(AND(ISNUMBER(L96),L96&gt;0),ROUNDUP(K96/L96,0),"Set pack size"))</x:f>
      </x:c>
      <x:c r="N96" s="11" t="str">
        <x:f>IF(A96="","",SUMIFS('Shipments'!$H$8:$H$207,'Shipments'!$F$8:$F$207,A96,'Shipments'!$C$8:$C$207,"Outbound"))</x:f>
      </x:c>
      <x:c r="O96" s="11" t="str">
        <x:f>IF(A96="","",MAX(0,F96-N96))</x:f>
      </x:c>
    </x:row>
    <x:row r="97" ht="22" customHeight="1">
      <x:c r="A97" s="9" t="str">
        <x:f>IF(AND('Definitions'!A97&lt;&gt;"",'Definitions'!C97="Part"),'Definitions'!A97,"")</x:f>
      </x:c>
      <x:c r="B97" s="9" t="str">
        <x:f>IF(A97="","",'Definitions'!B97)</x:f>
      </x:c>
      <x:c r="C97" s="9" t="str">
        <x:f>IF(A97="","",'Definitions'!F97)</x:f>
      </x:c>
      <x:c r="D97" s="11" t="str">
        <x:f>IF(A97="","",SUMIFS('Layout'!$K$8:$K$207,'Layout'!$G$8:$G$207,A97,'Layout'!$L$8:$L$207,"Build"))</x:f>
      </x:c>
      <x:c r="E97" s="11" t="str">
        <x:f>IF(A97="","",SUMIFS('Layout'!$K$8:$K$207,'Layout'!$G$8:$G$207,A97,'Layout'!$L$8:$L$207,"Spares"))</x:f>
      </x:c>
      <x:c r="F97" s="11" t="str">
        <x:f>IF(A97="","",SUM(D97:E97))</x:f>
      </x:c>
      <x:c r="G97" s="11" t="str">
        <x:f>IF(A97="","",'Definitions'!I97+SUMIFS('Assets'!$J$8:$J$207,'Assets'!$B$8:$B$207,A97))</x:f>
      </x:c>
      <x:c r="H97" s="11" t="str">
        <x:f>IF(A97="","",SUMIFS('Orders'!$I$8:$I$207,'Orders'!$D$8:$D$207,A97))</x:f>
      </x:c>
      <x:c r="I97" s="11" t="str">
        <x:f>IF(A97="","",SUMIFS('Orders'!$J$8:$J$207,'Orders'!$D$8:$D$207,A97))</x:f>
      </x:c>
      <x:c r="J97" s="11" t="str">
        <x:f>IF(A97="","",MAX(0,F97-G97))</x:f>
      </x:c>
      <x:c r="K97" s="11" t="str">
        <x:f>IF(A97="","",MAX(0,F97-G97-H97))</x:f>
      </x:c>
      <x:c r="L97" s="11" t="str">
        <x:f>IF(A97="","",'Definitions'!H97)</x:f>
      </x:c>
      <x:c r="M97" s="11" t="str">
        <x:f>IF(A97="","",IF(AND(ISNUMBER(L97),L97&gt;0),ROUNDUP(K97/L97,0),"Set pack size"))</x:f>
      </x:c>
      <x:c r="N97" s="11" t="str">
        <x:f>IF(A97="","",SUMIFS('Shipments'!$H$8:$H$207,'Shipments'!$F$8:$F$207,A97,'Shipments'!$C$8:$C$207,"Outbound"))</x:f>
      </x:c>
      <x:c r="O97" s="11" t="str">
        <x:f>IF(A97="","",MAX(0,F97-N97))</x:f>
      </x:c>
    </x:row>
    <x:row r="98" ht="22" customHeight="1">
      <x:c r="A98" s="9" t="str">
        <x:f>IF(AND('Definitions'!A98&lt;&gt;"",'Definitions'!C98="Part"),'Definitions'!A98,"")</x:f>
      </x:c>
      <x:c r="B98" s="9" t="str">
        <x:f>IF(A98="","",'Definitions'!B98)</x:f>
      </x:c>
      <x:c r="C98" s="9" t="str">
        <x:f>IF(A98="","",'Definitions'!F98)</x:f>
      </x:c>
      <x:c r="D98" s="11" t="str">
        <x:f>IF(A98="","",SUMIFS('Layout'!$K$8:$K$207,'Layout'!$G$8:$G$207,A98,'Layout'!$L$8:$L$207,"Build"))</x:f>
      </x:c>
      <x:c r="E98" s="11" t="str">
        <x:f>IF(A98="","",SUMIFS('Layout'!$K$8:$K$207,'Layout'!$G$8:$G$207,A98,'Layout'!$L$8:$L$207,"Spares"))</x:f>
      </x:c>
      <x:c r="F98" s="11" t="str">
        <x:f>IF(A98="","",SUM(D98:E98))</x:f>
      </x:c>
      <x:c r="G98" s="11" t="str">
        <x:f>IF(A98="","",'Definitions'!I98+SUMIFS('Assets'!$J$8:$J$207,'Assets'!$B$8:$B$207,A98))</x:f>
      </x:c>
      <x:c r="H98" s="11" t="str">
        <x:f>IF(A98="","",SUMIFS('Orders'!$I$8:$I$207,'Orders'!$D$8:$D$207,A98))</x:f>
      </x:c>
      <x:c r="I98" s="11" t="str">
        <x:f>IF(A98="","",SUMIFS('Orders'!$J$8:$J$207,'Orders'!$D$8:$D$207,A98))</x:f>
      </x:c>
      <x:c r="J98" s="11" t="str">
        <x:f>IF(A98="","",MAX(0,F98-G98))</x:f>
      </x:c>
      <x:c r="K98" s="11" t="str">
        <x:f>IF(A98="","",MAX(0,F98-G98-H98))</x:f>
      </x:c>
      <x:c r="L98" s="11" t="str">
        <x:f>IF(A98="","",'Definitions'!H98)</x:f>
      </x:c>
      <x:c r="M98" s="11" t="str">
        <x:f>IF(A98="","",IF(AND(ISNUMBER(L98),L98&gt;0),ROUNDUP(K98/L98,0),"Set pack size"))</x:f>
      </x:c>
      <x:c r="N98" s="11" t="str">
        <x:f>IF(A98="","",SUMIFS('Shipments'!$H$8:$H$207,'Shipments'!$F$8:$F$207,A98,'Shipments'!$C$8:$C$207,"Outbound"))</x:f>
      </x:c>
      <x:c r="O98" s="11" t="str">
        <x:f>IF(A98="","",MAX(0,F98-N98))</x:f>
      </x:c>
    </x:row>
    <x:row r="99" ht="22" customHeight="1">
      <x:c r="A99" s="9" t="str">
        <x:f>IF(AND('Definitions'!A99&lt;&gt;"",'Definitions'!C99="Part"),'Definitions'!A99,"")</x:f>
      </x:c>
      <x:c r="B99" s="9" t="str">
        <x:f>IF(A99="","",'Definitions'!B99)</x:f>
      </x:c>
      <x:c r="C99" s="9" t="str">
        <x:f>IF(A99="","",'Definitions'!F99)</x:f>
      </x:c>
      <x:c r="D99" s="11" t="str">
        <x:f>IF(A99="","",SUMIFS('Layout'!$K$8:$K$207,'Layout'!$G$8:$G$207,A99,'Layout'!$L$8:$L$207,"Build"))</x:f>
      </x:c>
      <x:c r="E99" s="11" t="str">
        <x:f>IF(A99="","",SUMIFS('Layout'!$K$8:$K$207,'Layout'!$G$8:$G$207,A99,'Layout'!$L$8:$L$207,"Spares"))</x:f>
      </x:c>
      <x:c r="F99" s="11" t="str">
        <x:f>IF(A99="","",SUM(D99:E99))</x:f>
      </x:c>
      <x:c r="G99" s="11" t="str">
        <x:f>IF(A99="","",'Definitions'!I99+SUMIFS('Assets'!$J$8:$J$207,'Assets'!$B$8:$B$207,A99))</x:f>
      </x:c>
      <x:c r="H99" s="11" t="str">
        <x:f>IF(A99="","",SUMIFS('Orders'!$I$8:$I$207,'Orders'!$D$8:$D$207,A99))</x:f>
      </x:c>
      <x:c r="I99" s="11" t="str">
        <x:f>IF(A99="","",SUMIFS('Orders'!$J$8:$J$207,'Orders'!$D$8:$D$207,A99))</x:f>
      </x:c>
      <x:c r="J99" s="11" t="str">
        <x:f>IF(A99="","",MAX(0,F99-G99))</x:f>
      </x:c>
      <x:c r="K99" s="11" t="str">
        <x:f>IF(A99="","",MAX(0,F99-G99-H99))</x:f>
      </x:c>
      <x:c r="L99" s="11" t="str">
        <x:f>IF(A99="","",'Definitions'!H99)</x:f>
      </x:c>
      <x:c r="M99" s="11" t="str">
        <x:f>IF(A99="","",IF(AND(ISNUMBER(L99),L99&gt;0),ROUNDUP(K99/L99,0),"Set pack size"))</x:f>
      </x:c>
      <x:c r="N99" s="11" t="str">
        <x:f>IF(A99="","",SUMIFS('Shipments'!$H$8:$H$207,'Shipments'!$F$8:$F$207,A99,'Shipments'!$C$8:$C$207,"Outbound"))</x:f>
      </x:c>
      <x:c r="O99" s="11" t="str">
        <x:f>IF(A99="","",MAX(0,F99-N99))</x:f>
      </x:c>
    </x:row>
    <x:row r="100" ht="22" customHeight="1">
      <x:c r="A100" s="9" t="str">
        <x:f>IF(AND('Definitions'!A100&lt;&gt;"",'Definitions'!C100="Part"),'Definitions'!A100,"")</x:f>
      </x:c>
      <x:c r="B100" s="9" t="str">
        <x:f>IF(A100="","",'Definitions'!B100)</x:f>
      </x:c>
      <x:c r="C100" s="9" t="str">
        <x:f>IF(A100="","",'Definitions'!F100)</x:f>
      </x:c>
      <x:c r="D100" s="11" t="str">
        <x:f>IF(A100="","",SUMIFS('Layout'!$K$8:$K$207,'Layout'!$G$8:$G$207,A100,'Layout'!$L$8:$L$207,"Build"))</x:f>
      </x:c>
      <x:c r="E100" s="11" t="str">
        <x:f>IF(A100="","",SUMIFS('Layout'!$K$8:$K$207,'Layout'!$G$8:$G$207,A100,'Layout'!$L$8:$L$207,"Spares"))</x:f>
      </x:c>
      <x:c r="F100" s="11" t="str">
        <x:f>IF(A100="","",SUM(D100:E100))</x:f>
      </x:c>
      <x:c r="G100" s="11" t="str">
        <x:f>IF(A100="","",'Definitions'!I100+SUMIFS('Assets'!$J$8:$J$207,'Assets'!$B$8:$B$207,A100))</x:f>
      </x:c>
      <x:c r="H100" s="11" t="str">
        <x:f>IF(A100="","",SUMIFS('Orders'!$I$8:$I$207,'Orders'!$D$8:$D$207,A100))</x:f>
      </x:c>
      <x:c r="I100" s="11" t="str">
        <x:f>IF(A100="","",SUMIFS('Orders'!$J$8:$J$207,'Orders'!$D$8:$D$207,A100))</x:f>
      </x:c>
      <x:c r="J100" s="11" t="str">
        <x:f>IF(A100="","",MAX(0,F100-G100))</x:f>
      </x:c>
      <x:c r="K100" s="11" t="str">
        <x:f>IF(A100="","",MAX(0,F100-G100-H100))</x:f>
      </x:c>
      <x:c r="L100" s="11" t="str">
        <x:f>IF(A100="","",'Definitions'!H100)</x:f>
      </x:c>
      <x:c r="M100" s="11" t="str">
        <x:f>IF(A100="","",IF(AND(ISNUMBER(L100),L100&gt;0),ROUNDUP(K100/L100,0),"Set pack size"))</x:f>
      </x:c>
      <x:c r="N100" s="11" t="str">
        <x:f>IF(A100="","",SUMIFS('Shipments'!$H$8:$H$207,'Shipments'!$F$8:$F$207,A100,'Shipments'!$C$8:$C$207,"Outbound"))</x:f>
      </x:c>
      <x:c r="O100" s="11" t="str">
        <x:f>IF(A100="","",MAX(0,F100-N100))</x:f>
      </x:c>
    </x:row>
    <x:row r="101" ht="22" customHeight="1">
      <x:c r="A101" s="9" t="str">
        <x:f>IF(AND('Definitions'!A101&lt;&gt;"",'Definitions'!C101="Part"),'Definitions'!A101,"")</x:f>
      </x:c>
      <x:c r="B101" s="9" t="str">
        <x:f>IF(A101="","",'Definitions'!B101)</x:f>
      </x:c>
      <x:c r="C101" s="9" t="str">
        <x:f>IF(A101="","",'Definitions'!F101)</x:f>
      </x:c>
      <x:c r="D101" s="11" t="str">
        <x:f>IF(A101="","",SUMIFS('Layout'!$K$8:$K$207,'Layout'!$G$8:$G$207,A101,'Layout'!$L$8:$L$207,"Build"))</x:f>
      </x:c>
      <x:c r="E101" s="11" t="str">
        <x:f>IF(A101="","",SUMIFS('Layout'!$K$8:$K$207,'Layout'!$G$8:$G$207,A101,'Layout'!$L$8:$L$207,"Spares"))</x:f>
      </x:c>
      <x:c r="F101" s="11" t="str">
        <x:f>IF(A101="","",SUM(D101:E101))</x:f>
      </x:c>
      <x:c r="G101" s="11" t="str">
        <x:f>IF(A101="","",'Definitions'!I101+SUMIFS('Assets'!$J$8:$J$207,'Assets'!$B$8:$B$207,A101))</x:f>
      </x:c>
      <x:c r="H101" s="11" t="str">
        <x:f>IF(A101="","",SUMIFS('Orders'!$I$8:$I$207,'Orders'!$D$8:$D$207,A101))</x:f>
      </x:c>
      <x:c r="I101" s="11" t="str">
        <x:f>IF(A101="","",SUMIFS('Orders'!$J$8:$J$207,'Orders'!$D$8:$D$207,A101))</x:f>
      </x:c>
      <x:c r="J101" s="11" t="str">
        <x:f>IF(A101="","",MAX(0,F101-G101))</x:f>
      </x:c>
      <x:c r="K101" s="11" t="str">
        <x:f>IF(A101="","",MAX(0,F101-G101-H101))</x:f>
      </x:c>
      <x:c r="L101" s="11" t="str">
        <x:f>IF(A101="","",'Definitions'!H101)</x:f>
      </x:c>
      <x:c r="M101" s="11" t="str">
        <x:f>IF(A101="","",IF(AND(ISNUMBER(L101),L101&gt;0),ROUNDUP(K101/L101,0),"Set pack size"))</x:f>
      </x:c>
      <x:c r="N101" s="11" t="str">
        <x:f>IF(A101="","",SUMIFS('Shipments'!$H$8:$H$207,'Shipments'!$F$8:$F$207,A101,'Shipments'!$C$8:$C$207,"Outbound"))</x:f>
      </x:c>
      <x:c r="O101" s="11" t="str">
        <x:f>IF(A101="","",MAX(0,F101-N101))</x:f>
      </x:c>
    </x:row>
    <x:row r="102" ht="22" customHeight="1">
      <x:c r="A102" s="9" t="str">
        <x:f>IF(AND('Definitions'!A102&lt;&gt;"",'Definitions'!C102="Part"),'Definitions'!A102,"")</x:f>
      </x:c>
      <x:c r="B102" s="9" t="str">
        <x:f>IF(A102="","",'Definitions'!B102)</x:f>
      </x:c>
      <x:c r="C102" s="9" t="str">
        <x:f>IF(A102="","",'Definitions'!F102)</x:f>
      </x:c>
      <x:c r="D102" s="11" t="str">
        <x:f>IF(A102="","",SUMIFS('Layout'!$K$8:$K$207,'Layout'!$G$8:$G$207,A102,'Layout'!$L$8:$L$207,"Build"))</x:f>
      </x:c>
      <x:c r="E102" s="11" t="str">
        <x:f>IF(A102="","",SUMIFS('Layout'!$K$8:$K$207,'Layout'!$G$8:$G$207,A102,'Layout'!$L$8:$L$207,"Spares"))</x:f>
      </x:c>
      <x:c r="F102" s="11" t="str">
        <x:f>IF(A102="","",SUM(D102:E102))</x:f>
      </x:c>
      <x:c r="G102" s="11" t="str">
        <x:f>IF(A102="","",'Definitions'!I102+SUMIFS('Assets'!$J$8:$J$207,'Assets'!$B$8:$B$207,A102))</x:f>
      </x:c>
      <x:c r="H102" s="11" t="str">
        <x:f>IF(A102="","",SUMIFS('Orders'!$I$8:$I$207,'Orders'!$D$8:$D$207,A102))</x:f>
      </x:c>
      <x:c r="I102" s="11" t="str">
        <x:f>IF(A102="","",SUMIFS('Orders'!$J$8:$J$207,'Orders'!$D$8:$D$207,A102))</x:f>
      </x:c>
      <x:c r="J102" s="11" t="str">
        <x:f>IF(A102="","",MAX(0,F102-G102))</x:f>
      </x:c>
      <x:c r="K102" s="11" t="str">
        <x:f>IF(A102="","",MAX(0,F102-G102-H102))</x:f>
      </x:c>
      <x:c r="L102" s="11" t="str">
        <x:f>IF(A102="","",'Definitions'!H102)</x:f>
      </x:c>
      <x:c r="M102" s="11" t="str">
        <x:f>IF(A102="","",IF(AND(ISNUMBER(L102),L102&gt;0),ROUNDUP(K102/L102,0),"Set pack size"))</x:f>
      </x:c>
      <x:c r="N102" s="11" t="str">
        <x:f>IF(A102="","",SUMIFS('Shipments'!$H$8:$H$207,'Shipments'!$F$8:$F$207,A102,'Shipments'!$C$8:$C$207,"Outbound"))</x:f>
      </x:c>
      <x:c r="O102" s="11" t="str">
        <x:f>IF(A102="","",MAX(0,F102-N102))</x:f>
      </x:c>
    </x:row>
    <x:row r="103" ht="22" customHeight="1">
      <x:c r="A103" s="9" t="str">
        <x:f>IF(AND('Definitions'!A103&lt;&gt;"",'Definitions'!C103="Part"),'Definitions'!A103,"")</x:f>
      </x:c>
      <x:c r="B103" s="9" t="str">
        <x:f>IF(A103="","",'Definitions'!B103)</x:f>
      </x:c>
      <x:c r="C103" s="9" t="str">
        <x:f>IF(A103="","",'Definitions'!F103)</x:f>
      </x:c>
      <x:c r="D103" s="11" t="str">
        <x:f>IF(A103="","",SUMIFS('Layout'!$K$8:$K$207,'Layout'!$G$8:$G$207,A103,'Layout'!$L$8:$L$207,"Build"))</x:f>
      </x:c>
      <x:c r="E103" s="11" t="str">
        <x:f>IF(A103="","",SUMIFS('Layout'!$K$8:$K$207,'Layout'!$G$8:$G$207,A103,'Layout'!$L$8:$L$207,"Spares"))</x:f>
      </x:c>
      <x:c r="F103" s="11" t="str">
        <x:f>IF(A103="","",SUM(D103:E103))</x:f>
      </x:c>
      <x:c r="G103" s="11" t="str">
        <x:f>IF(A103="","",'Definitions'!I103+SUMIFS('Assets'!$J$8:$J$207,'Assets'!$B$8:$B$207,A103))</x:f>
      </x:c>
      <x:c r="H103" s="11" t="str">
        <x:f>IF(A103="","",SUMIFS('Orders'!$I$8:$I$207,'Orders'!$D$8:$D$207,A103))</x:f>
      </x:c>
      <x:c r="I103" s="11" t="str">
        <x:f>IF(A103="","",SUMIFS('Orders'!$J$8:$J$207,'Orders'!$D$8:$D$207,A103))</x:f>
      </x:c>
      <x:c r="J103" s="11" t="str">
        <x:f>IF(A103="","",MAX(0,F103-G103))</x:f>
      </x:c>
      <x:c r="K103" s="11" t="str">
        <x:f>IF(A103="","",MAX(0,F103-G103-H103))</x:f>
      </x:c>
      <x:c r="L103" s="11" t="str">
        <x:f>IF(A103="","",'Definitions'!H103)</x:f>
      </x:c>
      <x:c r="M103" s="11" t="str">
        <x:f>IF(A103="","",IF(AND(ISNUMBER(L103),L103&gt;0),ROUNDUP(K103/L103,0),"Set pack size"))</x:f>
      </x:c>
      <x:c r="N103" s="11" t="str">
        <x:f>IF(A103="","",SUMIFS('Shipments'!$H$8:$H$207,'Shipments'!$F$8:$F$207,A103,'Shipments'!$C$8:$C$207,"Outbound"))</x:f>
      </x:c>
      <x:c r="O103" s="11" t="str">
        <x:f>IF(A103="","",MAX(0,F103-N103))</x:f>
      </x:c>
    </x:row>
    <x:row r="104" ht="22" customHeight="1">
      <x:c r="A104" s="9" t="str">
        <x:f>IF(AND('Definitions'!A104&lt;&gt;"",'Definitions'!C104="Part"),'Definitions'!A104,"")</x:f>
      </x:c>
      <x:c r="B104" s="9" t="str">
        <x:f>IF(A104="","",'Definitions'!B104)</x:f>
      </x:c>
      <x:c r="C104" s="9" t="str">
        <x:f>IF(A104="","",'Definitions'!F104)</x:f>
      </x:c>
      <x:c r="D104" s="11" t="str">
        <x:f>IF(A104="","",SUMIFS('Layout'!$K$8:$K$207,'Layout'!$G$8:$G$207,A104,'Layout'!$L$8:$L$207,"Build"))</x:f>
      </x:c>
      <x:c r="E104" s="11" t="str">
        <x:f>IF(A104="","",SUMIFS('Layout'!$K$8:$K$207,'Layout'!$G$8:$G$207,A104,'Layout'!$L$8:$L$207,"Spares"))</x:f>
      </x:c>
      <x:c r="F104" s="11" t="str">
        <x:f>IF(A104="","",SUM(D104:E104))</x:f>
      </x:c>
      <x:c r="G104" s="11" t="str">
        <x:f>IF(A104="","",'Definitions'!I104+SUMIFS('Assets'!$J$8:$J$207,'Assets'!$B$8:$B$207,A104))</x:f>
      </x:c>
      <x:c r="H104" s="11" t="str">
        <x:f>IF(A104="","",SUMIFS('Orders'!$I$8:$I$207,'Orders'!$D$8:$D$207,A104))</x:f>
      </x:c>
      <x:c r="I104" s="11" t="str">
        <x:f>IF(A104="","",SUMIFS('Orders'!$J$8:$J$207,'Orders'!$D$8:$D$207,A104))</x:f>
      </x:c>
      <x:c r="J104" s="11" t="str">
        <x:f>IF(A104="","",MAX(0,F104-G104))</x:f>
      </x:c>
      <x:c r="K104" s="11" t="str">
        <x:f>IF(A104="","",MAX(0,F104-G104-H104))</x:f>
      </x:c>
      <x:c r="L104" s="11" t="str">
        <x:f>IF(A104="","",'Definitions'!H104)</x:f>
      </x:c>
      <x:c r="M104" s="11" t="str">
        <x:f>IF(A104="","",IF(AND(ISNUMBER(L104),L104&gt;0),ROUNDUP(K104/L104,0),"Set pack size"))</x:f>
      </x:c>
      <x:c r="N104" s="11" t="str">
        <x:f>IF(A104="","",SUMIFS('Shipments'!$H$8:$H$207,'Shipments'!$F$8:$F$207,A104,'Shipments'!$C$8:$C$207,"Outbound"))</x:f>
      </x:c>
      <x:c r="O104" s="11" t="str">
        <x:f>IF(A104="","",MAX(0,F104-N104))</x:f>
      </x:c>
    </x:row>
    <x:row r="105" ht="22" customHeight="1">
      <x:c r="A105" s="9" t="str">
        <x:f>IF(AND('Definitions'!A105&lt;&gt;"",'Definitions'!C105="Part"),'Definitions'!A105,"")</x:f>
      </x:c>
      <x:c r="B105" s="9" t="str">
        <x:f>IF(A105="","",'Definitions'!B105)</x:f>
      </x:c>
      <x:c r="C105" s="9" t="str">
        <x:f>IF(A105="","",'Definitions'!F105)</x:f>
      </x:c>
      <x:c r="D105" s="11" t="str">
        <x:f>IF(A105="","",SUMIFS('Layout'!$K$8:$K$207,'Layout'!$G$8:$G$207,A105,'Layout'!$L$8:$L$207,"Build"))</x:f>
      </x:c>
      <x:c r="E105" s="11" t="str">
        <x:f>IF(A105="","",SUMIFS('Layout'!$K$8:$K$207,'Layout'!$G$8:$G$207,A105,'Layout'!$L$8:$L$207,"Spares"))</x:f>
      </x:c>
      <x:c r="F105" s="11" t="str">
        <x:f>IF(A105="","",SUM(D105:E105))</x:f>
      </x:c>
      <x:c r="G105" s="11" t="str">
        <x:f>IF(A105="","",'Definitions'!I105+SUMIFS('Assets'!$J$8:$J$207,'Assets'!$B$8:$B$207,A105))</x:f>
      </x:c>
      <x:c r="H105" s="11" t="str">
        <x:f>IF(A105="","",SUMIFS('Orders'!$I$8:$I$207,'Orders'!$D$8:$D$207,A105))</x:f>
      </x:c>
      <x:c r="I105" s="11" t="str">
        <x:f>IF(A105="","",SUMIFS('Orders'!$J$8:$J$207,'Orders'!$D$8:$D$207,A105))</x:f>
      </x:c>
      <x:c r="J105" s="11" t="str">
        <x:f>IF(A105="","",MAX(0,F105-G105))</x:f>
      </x:c>
      <x:c r="K105" s="11" t="str">
        <x:f>IF(A105="","",MAX(0,F105-G105-H105))</x:f>
      </x:c>
      <x:c r="L105" s="11" t="str">
        <x:f>IF(A105="","",'Definitions'!H105)</x:f>
      </x:c>
      <x:c r="M105" s="11" t="str">
        <x:f>IF(A105="","",IF(AND(ISNUMBER(L105),L105&gt;0),ROUNDUP(K105/L105,0),"Set pack size"))</x:f>
      </x:c>
      <x:c r="N105" s="11" t="str">
        <x:f>IF(A105="","",SUMIFS('Shipments'!$H$8:$H$207,'Shipments'!$F$8:$F$207,A105,'Shipments'!$C$8:$C$207,"Outbound"))</x:f>
      </x:c>
      <x:c r="O105" s="11" t="str">
        <x:f>IF(A105="","",MAX(0,F105-N105))</x:f>
      </x:c>
    </x:row>
    <x:row r="106" ht="22" customHeight="1">
      <x:c r="A106" s="9" t="str">
        <x:f>IF(AND('Definitions'!A106&lt;&gt;"",'Definitions'!C106="Part"),'Definitions'!A106,"")</x:f>
      </x:c>
      <x:c r="B106" s="9" t="str">
        <x:f>IF(A106="","",'Definitions'!B106)</x:f>
      </x:c>
      <x:c r="C106" s="9" t="str">
        <x:f>IF(A106="","",'Definitions'!F106)</x:f>
      </x:c>
      <x:c r="D106" s="11" t="str">
        <x:f>IF(A106="","",SUMIFS('Layout'!$K$8:$K$207,'Layout'!$G$8:$G$207,A106,'Layout'!$L$8:$L$207,"Build"))</x:f>
      </x:c>
      <x:c r="E106" s="11" t="str">
        <x:f>IF(A106="","",SUMIFS('Layout'!$K$8:$K$207,'Layout'!$G$8:$G$207,A106,'Layout'!$L$8:$L$207,"Spares"))</x:f>
      </x:c>
      <x:c r="F106" s="11" t="str">
        <x:f>IF(A106="","",SUM(D106:E106))</x:f>
      </x:c>
      <x:c r="G106" s="11" t="str">
        <x:f>IF(A106="","",'Definitions'!I106+SUMIFS('Assets'!$J$8:$J$207,'Assets'!$B$8:$B$207,A106))</x:f>
      </x:c>
      <x:c r="H106" s="11" t="str">
        <x:f>IF(A106="","",SUMIFS('Orders'!$I$8:$I$207,'Orders'!$D$8:$D$207,A106))</x:f>
      </x:c>
      <x:c r="I106" s="11" t="str">
        <x:f>IF(A106="","",SUMIFS('Orders'!$J$8:$J$207,'Orders'!$D$8:$D$207,A106))</x:f>
      </x:c>
      <x:c r="J106" s="11" t="str">
        <x:f>IF(A106="","",MAX(0,F106-G106))</x:f>
      </x:c>
      <x:c r="K106" s="11" t="str">
        <x:f>IF(A106="","",MAX(0,F106-G106-H106))</x:f>
      </x:c>
      <x:c r="L106" s="11" t="str">
        <x:f>IF(A106="","",'Definitions'!H106)</x:f>
      </x:c>
      <x:c r="M106" s="11" t="str">
        <x:f>IF(A106="","",IF(AND(ISNUMBER(L106),L106&gt;0),ROUNDUP(K106/L106,0),"Set pack size"))</x:f>
      </x:c>
      <x:c r="N106" s="11" t="str">
        <x:f>IF(A106="","",SUMIFS('Shipments'!$H$8:$H$207,'Shipments'!$F$8:$F$207,A106,'Shipments'!$C$8:$C$207,"Outbound"))</x:f>
      </x:c>
      <x:c r="O106" s="11" t="str">
        <x:f>IF(A106="","",MAX(0,F106-N106))</x:f>
      </x:c>
    </x:row>
    <x:row r="107" ht="22" customHeight="1">
      <x:c r="A107" s="9" t="str">
        <x:f>IF(AND('Definitions'!A107&lt;&gt;"",'Definitions'!C107="Part"),'Definitions'!A107,"")</x:f>
      </x:c>
      <x:c r="B107" s="9" t="str">
        <x:f>IF(A107="","",'Definitions'!B107)</x:f>
      </x:c>
      <x:c r="C107" s="9" t="str">
        <x:f>IF(A107="","",'Definitions'!F107)</x:f>
      </x:c>
      <x:c r="D107" s="11" t="str">
        <x:f>IF(A107="","",SUMIFS('Layout'!$K$8:$K$207,'Layout'!$G$8:$G$207,A107,'Layout'!$L$8:$L$207,"Build"))</x:f>
      </x:c>
      <x:c r="E107" s="11" t="str">
        <x:f>IF(A107="","",SUMIFS('Layout'!$K$8:$K$207,'Layout'!$G$8:$G$207,A107,'Layout'!$L$8:$L$207,"Spares"))</x:f>
      </x:c>
      <x:c r="F107" s="11" t="str">
        <x:f>IF(A107="","",SUM(D107:E107))</x:f>
      </x:c>
      <x:c r="G107" s="11" t="str">
        <x:f>IF(A107="","",'Definitions'!I107+SUMIFS('Assets'!$J$8:$J$207,'Assets'!$B$8:$B$207,A107))</x:f>
      </x:c>
      <x:c r="H107" s="11" t="str">
        <x:f>IF(A107="","",SUMIFS('Orders'!$I$8:$I$207,'Orders'!$D$8:$D$207,A107))</x:f>
      </x:c>
      <x:c r="I107" s="11" t="str">
        <x:f>IF(A107="","",SUMIFS('Orders'!$J$8:$J$207,'Orders'!$D$8:$D$207,A107))</x:f>
      </x:c>
      <x:c r="J107" s="11" t="str">
        <x:f>IF(A107="","",MAX(0,F107-G107))</x:f>
      </x:c>
      <x:c r="K107" s="11" t="str">
        <x:f>IF(A107="","",MAX(0,F107-G107-H107))</x:f>
      </x:c>
      <x:c r="L107" s="11" t="str">
        <x:f>IF(A107="","",'Definitions'!H107)</x:f>
      </x:c>
      <x:c r="M107" s="11" t="str">
        <x:f>IF(A107="","",IF(AND(ISNUMBER(L107),L107&gt;0),ROUNDUP(K107/L107,0),"Set pack size"))</x:f>
      </x:c>
      <x:c r="N107" s="11" t="str">
        <x:f>IF(A107="","",SUMIFS('Shipments'!$H$8:$H$207,'Shipments'!$F$8:$F$207,A107,'Shipments'!$C$8:$C$207,"Outbound"))</x:f>
      </x:c>
      <x:c r="O107" s="11" t="str">
        <x:f>IF(A107="","",MAX(0,F107-N107))</x:f>
      </x:c>
    </x:row>
    <x:row r="108" ht="22" customHeight="1">
      <x:c r="A108" s="9" t="str">
        <x:f>IF(AND('Definitions'!A108&lt;&gt;"",'Definitions'!C108="Part"),'Definitions'!A108,"")</x:f>
      </x:c>
      <x:c r="B108" s="9" t="str">
        <x:f>IF(A108="","",'Definitions'!B108)</x:f>
      </x:c>
      <x:c r="C108" s="9" t="str">
        <x:f>IF(A108="","",'Definitions'!F108)</x:f>
      </x:c>
      <x:c r="D108" s="11" t="str">
        <x:f>IF(A108="","",SUMIFS('Layout'!$K$8:$K$207,'Layout'!$G$8:$G$207,A108,'Layout'!$L$8:$L$207,"Build"))</x:f>
      </x:c>
      <x:c r="E108" s="11" t="str">
        <x:f>IF(A108="","",SUMIFS('Layout'!$K$8:$K$207,'Layout'!$G$8:$G$207,A108,'Layout'!$L$8:$L$207,"Spares"))</x:f>
      </x:c>
      <x:c r="F108" s="11" t="str">
        <x:f>IF(A108="","",SUM(D108:E108))</x:f>
      </x:c>
      <x:c r="G108" s="11" t="str">
        <x:f>IF(A108="","",'Definitions'!I108+SUMIFS('Assets'!$J$8:$J$207,'Assets'!$B$8:$B$207,A108))</x:f>
      </x:c>
      <x:c r="H108" s="11" t="str">
        <x:f>IF(A108="","",SUMIFS('Orders'!$I$8:$I$207,'Orders'!$D$8:$D$207,A108))</x:f>
      </x:c>
      <x:c r="I108" s="11" t="str">
        <x:f>IF(A108="","",SUMIFS('Orders'!$J$8:$J$207,'Orders'!$D$8:$D$207,A108))</x:f>
      </x:c>
      <x:c r="J108" s="11" t="str">
        <x:f>IF(A108="","",MAX(0,F108-G108))</x:f>
      </x:c>
      <x:c r="K108" s="11" t="str">
        <x:f>IF(A108="","",MAX(0,F108-G108-H108))</x:f>
      </x:c>
      <x:c r="L108" s="11" t="str">
        <x:f>IF(A108="","",'Definitions'!H108)</x:f>
      </x:c>
      <x:c r="M108" s="11" t="str">
        <x:f>IF(A108="","",IF(AND(ISNUMBER(L108),L108&gt;0),ROUNDUP(K108/L108,0),"Set pack size"))</x:f>
      </x:c>
      <x:c r="N108" s="11" t="str">
        <x:f>IF(A108="","",SUMIFS('Shipments'!$H$8:$H$207,'Shipments'!$F$8:$F$207,A108,'Shipments'!$C$8:$C$207,"Outbound"))</x:f>
      </x:c>
      <x:c r="O108" s="11" t="str">
        <x:f>IF(A108="","",MAX(0,F108-N108))</x:f>
      </x:c>
    </x:row>
    <x:row r="109" ht="22" customHeight="1">
      <x:c r="A109" s="9" t="str">
        <x:f>IF(AND('Definitions'!A109&lt;&gt;"",'Definitions'!C109="Part"),'Definitions'!A109,"")</x:f>
      </x:c>
      <x:c r="B109" s="9" t="str">
        <x:f>IF(A109="","",'Definitions'!B109)</x:f>
      </x:c>
      <x:c r="C109" s="9" t="str">
        <x:f>IF(A109="","",'Definitions'!F109)</x:f>
      </x:c>
      <x:c r="D109" s="11" t="str">
        <x:f>IF(A109="","",SUMIFS('Layout'!$K$8:$K$207,'Layout'!$G$8:$G$207,A109,'Layout'!$L$8:$L$207,"Build"))</x:f>
      </x:c>
      <x:c r="E109" s="11" t="str">
        <x:f>IF(A109="","",SUMIFS('Layout'!$K$8:$K$207,'Layout'!$G$8:$G$207,A109,'Layout'!$L$8:$L$207,"Spares"))</x:f>
      </x:c>
      <x:c r="F109" s="11" t="str">
        <x:f>IF(A109="","",SUM(D109:E109))</x:f>
      </x:c>
      <x:c r="G109" s="11" t="str">
        <x:f>IF(A109="","",'Definitions'!I109+SUMIFS('Assets'!$J$8:$J$207,'Assets'!$B$8:$B$207,A109))</x:f>
      </x:c>
      <x:c r="H109" s="11" t="str">
        <x:f>IF(A109="","",SUMIFS('Orders'!$I$8:$I$207,'Orders'!$D$8:$D$207,A109))</x:f>
      </x:c>
      <x:c r="I109" s="11" t="str">
        <x:f>IF(A109="","",SUMIFS('Orders'!$J$8:$J$207,'Orders'!$D$8:$D$207,A109))</x:f>
      </x:c>
      <x:c r="J109" s="11" t="str">
        <x:f>IF(A109="","",MAX(0,F109-G109))</x:f>
      </x:c>
      <x:c r="K109" s="11" t="str">
        <x:f>IF(A109="","",MAX(0,F109-G109-H109))</x:f>
      </x:c>
      <x:c r="L109" s="11" t="str">
        <x:f>IF(A109="","",'Definitions'!H109)</x:f>
      </x:c>
      <x:c r="M109" s="11" t="str">
        <x:f>IF(A109="","",IF(AND(ISNUMBER(L109),L109&gt;0),ROUNDUP(K109/L109,0),"Set pack size"))</x:f>
      </x:c>
      <x:c r="N109" s="11" t="str">
        <x:f>IF(A109="","",SUMIFS('Shipments'!$H$8:$H$207,'Shipments'!$F$8:$F$207,A109,'Shipments'!$C$8:$C$207,"Outbound"))</x:f>
      </x:c>
      <x:c r="O109" s="11" t="str">
        <x:f>IF(A109="","",MAX(0,F109-N109))</x:f>
      </x:c>
    </x:row>
    <x:row r="110" ht="22" customHeight="1">
      <x:c r="A110" s="9" t="str">
        <x:f>IF(AND('Definitions'!A110&lt;&gt;"",'Definitions'!C110="Part"),'Definitions'!A110,"")</x:f>
      </x:c>
      <x:c r="B110" s="9" t="str">
        <x:f>IF(A110="","",'Definitions'!B110)</x:f>
      </x:c>
      <x:c r="C110" s="9" t="str">
        <x:f>IF(A110="","",'Definitions'!F110)</x:f>
      </x:c>
      <x:c r="D110" s="11" t="str">
        <x:f>IF(A110="","",SUMIFS('Layout'!$K$8:$K$207,'Layout'!$G$8:$G$207,A110,'Layout'!$L$8:$L$207,"Build"))</x:f>
      </x:c>
      <x:c r="E110" s="11" t="str">
        <x:f>IF(A110="","",SUMIFS('Layout'!$K$8:$K$207,'Layout'!$G$8:$G$207,A110,'Layout'!$L$8:$L$207,"Spares"))</x:f>
      </x:c>
      <x:c r="F110" s="11" t="str">
        <x:f>IF(A110="","",SUM(D110:E110))</x:f>
      </x:c>
      <x:c r="G110" s="11" t="str">
        <x:f>IF(A110="","",'Definitions'!I110+SUMIFS('Assets'!$J$8:$J$207,'Assets'!$B$8:$B$207,A110))</x:f>
      </x:c>
      <x:c r="H110" s="11" t="str">
        <x:f>IF(A110="","",SUMIFS('Orders'!$I$8:$I$207,'Orders'!$D$8:$D$207,A110))</x:f>
      </x:c>
      <x:c r="I110" s="11" t="str">
        <x:f>IF(A110="","",SUMIFS('Orders'!$J$8:$J$207,'Orders'!$D$8:$D$207,A110))</x:f>
      </x:c>
      <x:c r="J110" s="11" t="str">
        <x:f>IF(A110="","",MAX(0,F110-G110))</x:f>
      </x:c>
      <x:c r="K110" s="11" t="str">
        <x:f>IF(A110="","",MAX(0,F110-G110-H110))</x:f>
      </x:c>
      <x:c r="L110" s="11" t="str">
        <x:f>IF(A110="","",'Definitions'!H110)</x:f>
      </x:c>
      <x:c r="M110" s="11" t="str">
        <x:f>IF(A110="","",IF(AND(ISNUMBER(L110),L110&gt;0),ROUNDUP(K110/L110,0),"Set pack size"))</x:f>
      </x:c>
      <x:c r="N110" s="11" t="str">
        <x:f>IF(A110="","",SUMIFS('Shipments'!$H$8:$H$207,'Shipments'!$F$8:$F$207,A110,'Shipments'!$C$8:$C$207,"Outbound"))</x:f>
      </x:c>
      <x:c r="O110" s="11" t="str">
        <x:f>IF(A110="","",MAX(0,F110-N110))</x:f>
      </x:c>
    </x:row>
    <x:row r="111" ht="22" customHeight="1">
      <x:c r="A111" s="9" t="str">
        <x:f>IF(AND('Definitions'!A111&lt;&gt;"",'Definitions'!C111="Part"),'Definitions'!A111,"")</x:f>
      </x:c>
      <x:c r="B111" s="9" t="str">
        <x:f>IF(A111="","",'Definitions'!B111)</x:f>
      </x:c>
      <x:c r="C111" s="9" t="str">
        <x:f>IF(A111="","",'Definitions'!F111)</x:f>
      </x:c>
      <x:c r="D111" s="11" t="str">
        <x:f>IF(A111="","",SUMIFS('Layout'!$K$8:$K$207,'Layout'!$G$8:$G$207,A111,'Layout'!$L$8:$L$207,"Build"))</x:f>
      </x:c>
      <x:c r="E111" s="11" t="str">
        <x:f>IF(A111="","",SUMIFS('Layout'!$K$8:$K$207,'Layout'!$G$8:$G$207,A111,'Layout'!$L$8:$L$207,"Spares"))</x:f>
      </x:c>
      <x:c r="F111" s="11" t="str">
        <x:f>IF(A111="","",SUM(D111:E111))</x:f>
      </x:c>
      <x:c r="G111" s="11" t="str">
        <x:f>IF(A111="","",'Definitions'!I111+SUMIFS('Assets'!$J$8:$J$207,'Assets'!$B$8:$B$207,A111))</x:f>
      </x:c>
      <x:c r="H111" s="11" t="str">
        <x:f>IF(A111="","",SUMIFS('Orders'!$I$8:$I$207,'Orders'!$D$8:$D$207,A111))</x:f>
      </x:c>
      <x:c r="I111" s="11" t="str">
        <x:f>IF(A111="","",SUMIFS('Orders'!$J$8:$J$207,'Orders'!$D$8:$D$207,A111))</x:f>
      </x:c>
      <x:c r="J111" s="11" t="str">
        <x:f>IF(A111="","",MAX(0,F111-G111))</x:f>
      </x:c>
      <x:c r="K111" s="11" t="str">
        <x:f>IF(A111="","",MAX(0,F111-G111-H111))</x:f>
      </x:c>
      <x:c r="L111" s="11" t="str">
        <x:f>IF(A111="","",'Definitions'!H111)</x:f>
      </x:c>
      <x:c r="M111" s="11" t="str">
        <x:f>IF(A111="","",IF(AND(ISNUMBER(L111),L111&gt;0),ROUNDUP(K111/L111,0),"Set pack size"))</x:f>
      </x:c>
      <x:c r="N111" s="11" t="str">
        <x:f>IF(A111="","",SUMIFS('Shipments'!$H$8:$H$207,'Shipments'!$F$8:$F$207,A111,'Shipments'!$C$8:$C$207,"Outbound"))</x:f>
      </x:c>
      <x:c r="O111" s="11" t="str">
        <x:f>IF(A111="","",MAX(0,F111-N111))</x:f>
      </x:c>
    </x:row>
    <x:row r="112" ht="22" customHeight="1">
      <x:c r="A112" s="9" t="str">
        <x:f>IF(AND('Definitions'!A112&lt;&gt;"",'Definitions'!C112="Part"),'Definitions'!A112,"")</x:f>
      </x:c>
      <x:c r="B112" s="9" t="str">
        <x:f>IF(A112="","",'Definitions'!B112)</x:f>
      </x:c>
      <x:c r="C112" s="9" t="str">
        <x:f>IF(A112="","",'Definitions'!F112)</x:f>
      </x:c>
      <x:c r="D112" s="11" t="str">
        <x:f>IF(A112="","",SUMIFS('Layout'!$K$8:$K$207,'Layout'!$G$8:$G$207,A112,'Layout'!$L$8:$L$207,"Build"))</x:f>
      </x:c>
      <x:c r="E112" s="11" t="str">
        <x:f>IF(A112="","",SUMIFS('Layout'!$K$8:$K$207,'Layout'!$G$8:$G$207,A112,'Layout'!$L$8:$L$207,"Spares"))</x:f>
      </x:c>
      <x:c r="F112" s="11" t="str">
        <x:f>IF(A112="","",SUM(D112:E112))</x:f>
      </x:c>
      <x:c r="G112" s="11" t="str">
        <x:f>IF(A112="","",'Definitions'!I112+SUMIFS('Assets'!$J$8:$J$207,'Assets'!$B$8:$B$207,A112))</x:f>
      </x:c>
      <x:c r="H112" s="11" t="str">
        <x:f>IF(A112="","",SUMIFS('Orders'!$I$8:$I$207,'Orders'!$D$8:$D$207,A112))</x:f>
      </x:c>
      <x:c r="I112" s="11" t="str">
        <x:f>IF(A112="","",SUMIFS('Orders'!$J$8:$J$207,'Orders'!$D$8:$D$207,A112))</x:f>
      </x:c>
      <x:c r="J112" s="11" t="str">
        <x:f>IF(A112="","",MAX(0,F112-G112))</x:f>
      </x:c>
      <x:c r="K112" s="11" t="str">
        <x:f>IF(A112="","",MAX(0,F112-G112-H112))</x:f>
      </x:c>
      <x:c r="L112" s="11" t="str">
        <x:f>IF(A112="","",'Definitions'!H112)</x:f>
      </x:c>
      <x:c r="M112" s="11" t="str">
        <x:f>IF(A112="","",IF(AND(ISNUMBER(L112),L112&gt;0),ROUNDUP(K112/L112,0),"Set pack size"))</x:f>
      </x:c>
      <x:c r="N112" s="11" t="str">
        <x:f>IF(A112="","",SUMIFS('Shipments'!$H$8:$H$207,'Shipments'!$F$8:$F$207,A112,'Shipments'!$C$8:$C$207,"Outbound"))</x:f>
      </x:c>
      <x:c r="O112" s="11" t="str">
        <x:f>IF(A112="","",MAX(0,F112-N112))</x:f>
      </x:c>
    </x:row>
    <x:row r="113" ht="22" customHeight="1">
      <x:c r="A113" s="9" t="str">
        <x:f>IF(AND('Definitions'!A113&lt;&gt;"",'Definitions'!C113="Part"),'Definitions'!A113,"")</x:f>
      </x:c>
      <x:c r="B113" s="9" t="str">
        <x:f>IF(A113="","",'Definitions'!B113)</x:f>
      </x:c>
      <x:c r="C113" s="9" t="str">
        <x:f>IF(A113="","",'Definitions'!F113)</x:f>
      </x:c>
      <x:c r="D113" s="11" t="str">
        <x:f>IF(A113="","",SUMIFS('Layout'!$K$8:$K$207,'Layout'!$G$8:$G$207,A113,'Layout'!$L$8:$L$207,"Build"))</x:f>
      </x:c>
      <x:c r="E113" s="11" t="str">
        <x:f>IF(A113="","",SUMIFS('Layout'!$K$8:$K$207,'Layout'!$G$8:$G$207,A113,'Layout'!$L$8:$L$207,"Spares"))</x:f>
      </x:c>
      <x:c r="F113" s="11" t="str">
        <x:f>IF(A113="","",SUM(D113:E113))</x:f>
      </x:c>
      <x:c r="G113" s="11" t="str">
        <x:f>IF(A113="","",'Definitions'!I113+SUMIFS('Assets'!$J$8:$J$207,'Assets'!$B$8:$B$207,A113))</x:f>
      </x:c>
      <x:c r="H113" s="11" t="str">
        <x:f>IF(A113="","",SUMIFS('Orders'!$I$8:$I$207,'Orders'!$D$8:$D$207,A113))</x:f>
      </x:c>
      <x:c r="I113" s="11" t="str">
        <x:f>IF(A113="","",SUMIFS('Orders'!$J$8:$J$207,'Orders'!$D$8:$D$207,A113))</x:f>
      </x:c>
      <x:c r="J113" s="11" t="str">
        <x:f>IF(A113="","",MAX(0,F113-G113))</x:f>
      </x:c>
      <x:c r="K113" s="11" t="str">
        <x:f>IF(A113="","",MAX(0,F113-G113-H113))</x:f>
      </x:c>
      <x:c r="L113" s="11" t="str">
        <x:f>IF(A113="","",'Definitions'!H113)</x:f>
      </x:c>
      <x:c r="M113" s="11" t="str">
        <x:f>IF(A113="","",IF(AND(ISNUMBER(L113),L113&gt;0),ROUNDUP(K113/L113,0),"Set pack size"))</x:f>
      </x:c>
      <x:c r="N113" s="11" t="str">
        <x:f>IF(A113="","",SUMIFS('Shipments'!$H$8:$H$207,'Shipments'!$F$8:$F$207,A113,'Shipments'!$C$8:$C$207,"Outbound"))</x:f>
      </x:c>
      <x:c r="O113" s="11" t="str">
        <x:f>IF(A113="","",MAX(0,F113-N113))</x:f>
      </x:c>
    </x:row>
    <x:row r="114" ht="22" customHeight="1">
      <x:c r="A114" s="9" t="str">
        <x:f>IF(AND('Definitions'!A114&lt;&gt;"",'Definitions'!C114="Part"),'Definitions'!A114,"")</x:f>
      </x:c>
      <x:c r="B114" s="9" t="str">
        <x:f>IF(A114="","",'Definitions'!B114)</x:f>
      </x:c>
      <x:c r="C114" s="9" t="str">
        <x:f>IF(A114="","",'Definitions'!F114)</x:f>
      </x:c>
      <x:c r="D114" s="11" t="str">
        <x:f>IF(A114="","",SUMIFS('Layout'!$K$8:$K$207,'Layout'!$G$8:$G$207,A114,'Layout'!$L$8:$L$207,"Build"))</x:f>
      </x:c>
      <x:c r="E114" s="11" t="str">
        <x:f>IF(A114="","",SUMIFS('Layout'!$K$8:$K$207,'Layout'!$G$8:$G$207,A114,'Layout'!$L$8:$L$207,"Spares"))</x:f>
      </x:c>
      <x:c r="F114" s="11" t="str">
        <x:f>IF(A114="","",SUM(D114:E114))</x:f>
      </x:c>
      <x:c r="G114" s="11" t="str">
        <x:f>IF(A114="","",'Definitions'!I114+SUMIFS('Assets'!$J$8:$J$207,'Assets'!$B$8:$B$207,A114))</x:f>
      </x:c>
      <x:c r="H114" s="11" t="str">
        <x:f>IF(A114="","",SUMIFS('Orders'!$I$8:$I$207,'Orders'!$D$8:$D$207,A114))</x:f>
      </x:c>
      <x:c r="I114" s="11" t="str">
        <x:f>IF(A114="","",SUMIFS('Orders'!$J$8:$J$207,'Orders'!$D$8:$D$207,A114))</x:f>
      </x:c>
      <x:c r="J114" s="11" t="str">
        <x:f>IF(A114="","",MAX(0,F114-G114))</x:f>
      </x:c>
      <x:c r="K114" s="11" t="str">
        <x:f>IF(A114="","",MAX(0,F114-G114-H114))</x:f>
      </x:c>
      <x:c r="L114" s="11" t="str">
        <x:f>IF(A114="","",'Definitions'!H114)</x:f>
      </x:c>
      <x:c r="M114" s="11" t="str">
        <x:f>IF(A114="","",IF(AND(ISNUMBER(L114),L114&gt;0),ROUNDUP(K114/L114,0),"Set pack size"))</x:f>
      </x:c>
      <x:c r="N114" s="11" t="str">
        <x:f>IF(A114="","",SUMIFS('Shipments'!$H$8:$H$207,'Shipments'!$F$8:$F$207,A114,'Shipments'!$C$8:$C$207,"Outbound"))</x:f>
      </x:c>
      <x:c r="O114" s="11" t="str">
        <x:f>IF(A114="","",MAX(0,F114-N114))</x:f>
      </x:c>
    </x:row>
    <x:row r="115" ht="22" customHeight="1">
      <x:c r="A115" s="9" t="str">
        <x:f>IF(AND('Definitions'!A115&lt;&gt;"",'Definitions'!C115="Part"),'Definitions'!A115,"")</x:f>
      </x:c>
      <x:c r="B115" s="9" t="str">
        <x:f>IF(A115="","",'Definitions'!B115)</x:f>
      </x:c>
      <x:c r="C115" s="9" t="str">
        <x:f>IF(A115="","",'Definitions'!F115)</x:f>
      </x:c>
      <x:c r="D115" s="11" t="str">
        <x:f>IF(A115="","",SUMIFS('Layout'!$K$8:$K$207,'Layout'!$G$8:$G$207,A115,'Layout'!$L$8:$L$207,"Build"))</x:f>
      </x:c>
      <x:c r="E115" s="11" t="str">
        <x:f>IF(A115="","",SUMIFS('Layout'!$K$8:$K$207,'Layout'!$G$8:$G$207,A115,'Layout'!$L$8:$L$207,"Spares"))</x:f>
      </x:c>
      <x:c r="F115" s="11" t="str">
        <x:f>IF(A115="","",SUM(D115:E115))</x:f>
      </x:c>
      <x:c r="G115" s="11" t="str">
        <x:f>IF(A115="","",'Definitions'!I115+SUMIFS('Assets'!$J$8:$J$207,'Assets'!$B$8:$B$207,A115))</x:f>
      </x:c>
      <x:c r="H115" s="11" t="str">
        <x:f>IF(A115="","",SUMIFS('Orders'!$I$8:$I$207,'Orders'!$D$8:$D$207,A115))</x:f>
      </x:c>
      <x:c r="I115" s="11" t="str">
        <x:f>IF(A115="","",SUMIFS('Orders'!$J$8:$J$207,'Orders'!$D$8:$D$207,A115))</x:f>
      </x:c>
      <x:c r="J115" s="11" t="str">
        <x:f>IF(A115="","",MAX(0,F115-G115))</x:f>
      </x:c>
      <x:c r="K115" s="11" t="str">
        <x:f>IF(A115="","",MAX(0,F115-G115-H115))</x:f>
      </x:c>
      <x:c r="L115" s="11" t="str">
        <x:f>IF(A115="","",'Definitions'!H115)</x:f>
      </x:c>
      <x:c r="M115" s="11" t="str">
        <x:f>IF(A115="","",IF(AND(ISNUMBER(L115),L115&gt;0),ROUNDUP(K115/L115,0),"Set pack size"))</x:f>
      </x:c>
      <x:c r="N115" s="11" t="str">
        <x:f>IF(A115="","",SUMIFS('Shipments'!$H$8:$H$207,'Shipments'!$F$8:$F$207,A115,'Shipments'!$C$8:$C$207,"Outbound"))</x:f>
      </x:c>
      <x:c r="O115" s="11" t="str">
        <x:f>IF(A115="","",MAX(0,F115-N115))</x:f>
      </x:c>
    </x:row>
    <x:row r="116" ht="22" customHeight="1">
      <x:c r="A116" s="9" t="str">
        <x:f>IF(AND('Definitions'!A116&lt;&gt;"",'Definitions'!C116="Part"),'Definitions'!A116,"")</x:f>
      </x:c>
      <x:c r="B116" s="9" t="str">
        <x:f>IF(A116="","",'Definitions'!B116)</x:f>
      </x:c>
      <x:c r="C116" s="9" t="str">
        <x:f>IF(A116="","",'Definitions'!F116)</x:f>
      </x:c>
      <x:c r="D116" s="11" t="str">
        <x:f>IF(A116="","",SUMIFS('Layout'!$K$8:$K$207,'Layout'!$G$8:$G$207,A116,'Layout'!$L$8:$L$207,"Build"))</x:f>
      </x:c>
      <x:c r="E116" s="11" t="str">
        <x:f>IF(A116="","",SUMIFS('Layout'!$K$8:$K$207,'Layout'!$G$8:$G$207,A116,'Layout'!$L$8:$L$207,"Spares"))</x:f>
      </x:c>
      <x:c r="F116" s="11" t="str">
        <x:f>IF(A116="","",SUM(D116:E116))</x:f>
      </x:c>
      <x:c r="G116" s="11" t="str">
        <x:f>IF(A116="","",'Definitions'!I116+SUMIFS('Assets'!$J$8:$J$207,'Assets'!$B$8:$B$207,A116))</x:f>
      </x:c>
      <x:c r="H116" s="11" t="str">
        <x:f>IF(A116="","",SUMIFS('Orders'!$I$8:$I$207,'Orders'!$D$8:$D$207,A116))</x:f>
      </x:c>
      <x:c r="I116" s="11" t="str">
        <x:f>IF(A116="","",SUMIFS('Orders'!$J$8:$J$207,'Orders'!$D$8:$D$207,A116))</x:f>
      </x:c>
      <x:c r="J116" s="11" t="str">
        <x:f>IF(A116="","",MAX(0,F116-G116))</x:f>
      </x:c>
      <x:c r="K116" s="11" t="str">
        <x:f>IF(A116="","",MAX(0,F116-G116-H116))</x:f>
      </x:c>
      <x:c r="L116" s="11" t="str">
        <x:f>IF(A116="","",'Definitions'!H116)</x:f>
      </x:c>
      <x:c r="M116" s="11" t="str">
        <x:f>IF(A116="","",IF(AND(ISNUMBER(L116),L116&gt;0),ROUNDUP(K116/L116,0),"Set pack size"))</x:f>
      </x:c>
      <x:c r="N116" s="11" t="str">
        <x:f>IF(A116="","",SUMIFS('Shipments'!$H$8:$H$207,'Shipments'!$F$8:$F$207,A116,'Shipments'!$C$8:$C$207,"Outbound"))</x:f>
      </x:c>
      <x:c r="O116" s="11" t="str">
        <x:f>IF(A116="","",MAX(0,F116-N116))</x:f>
      </x:c>
    </x:row>
    <x:row r="117" ht="22" customHeight="1">
      <x:c r="A117" s="9" t="str">
        <x:f>IF(AND('Definitions'!A117&lt;&gt;"",'Definitions'!C117="Part"),'Definitions'!A117,"")</x:f>
      </x:c>
      <x:c r="B117" s="9" t="str">
        <x:f>IF(A117="","",'Definitions'!B117)</x:f>
      </x:c>
      <x:c r="C117" s="9" t="str">
        <x:f>IF(A117="","",'Definitions'!F117)</x:f>
      </x:c>
      <x:c r="D117" s="11" t="str">
        <x:f>IF(A117="","",SUMIFS('Layout'!$K$8:$K$207,'Layout'!$G$8:$G$207,A117,'Layout'!$L$8:$L$207,"Build"))</x:f>
      </x:c>
      <x:c r="E117" s="11" t="str">
        <x:f>IF(A117="","",SUMIFS('Layout'!$K$8:$K$207,'Layout'!$G$8:$G$207,A117,'Layout'!$L$8:$L$207,"Spares"))</x:f>
      </x:c>
      <x:c r="F117" s="11" t="str">
        <x:f>IF(A117="","",SUM(D117:E117))</x:f>
      </x:c>
      <x:c r="G117" s="11" t="str">
        <x:f>IF(A117="","",'Definitions'!I117+SUMIFS('Assets'!$J$8:$J$207,'Assets'!$B$8:$B$207,A117))</x:f>
      </x:c>
      <x:c r="H117" s="11" t="str">
        <x:f>IF(A117="","",SUMIFS('Orders'!$I$8:$I$207,'Orders'!$D$8:$D$207,A117))</x:f>
      </x:c>
      <x:c r="I117" s="11" t="str">
        <x:f>IF(A117="","",SUMIFS('Orders'!$J$8:$J$207,'Orders'!$D$8:$D$207,A117))</x:f>
      </x:c>
      <x:c r="J117" s="11" t="str">
        <x:f>IF(A117="","",MAX(0,F117-G117))</x:f>
      </x:c>
      <x:c r="K117" s="11" t="str">
        <x:f>IF(A117="","",MAX(0,F117-G117-H117))</x:f>
      </x:c>
      <x:c r="L117" s="11" t="str">
        <x:f>IF(A117="","",'Definitions'!H117)</x:f>
      </x:c>
      <x:c r="M117" s="11" t="str">
        <x:f>IF(A117="","",IF(AND(ISNUMBER(L117),L117&gt;0),ROUNDUP(K117/L117,0),"Set pack size"))</x:f>
      </x:c>
      <x:c r="N117" s="11" t="str">
        <x:f>IF(A117="","",SUMIFS('Shipments'!$H$8:$H$207,'Shipments'!$F$8:$F$207,A117,'Shipments'!$C$8:$C$207,"Outbound"))</x:f>
      </x:c>
      <x:c r="O117" s="11" t="str">
        <x:f>IF(A117="","",MAX(0,F117-N117))</x:f>
      </x:c>
    </x:row>
    <x:row r="118" ht="22" customHeight="1">
      <x:c r="A118" s="9" t="str">
        <x:f>IF(AND('Definitions'!A118&lt;&gt;"",'Definitions'!C118="Part"),'Definitions'!A118,"")</x:f>
      </x:c>
      <x:c r="B118" s="9" t="str">
        <x:f>IF(A118="","",'Definitions'!B118)</x:f>
      </x:c>
      <x:c r="C118" s="9" t="str">
        <x:f>IF(A118="","",'Definitions'!F118)</x:f>
      </x:c>
      <x:c r="D118" s="11" t="str">
        <x:f>IF(A118="","",SUMIFS('Layout'!$K$8:$K$207,'Layout'!$G$8:$G$207,A118,'Layout'!$L$8:$L$207,"Build"))</x:f>
      </x:c>
      <x:c r="E118" s="11" t="str">
        <x:f>IF(A118="","",SUMIFS('Layout'!$K$8:$K$207,'Layout'!$G$8:$G$207,A118,'Layout'!$L$8:$L$207,"Spares"))</x:f>
      </x:c>
      <x:c r="F118" s="11" t="str">
        <x:f>IF(A118="","",SUM(D118:E118))</x:f>
      </x:c>
      <x:c r="G118" s="11" t="str">
        <x:f>IF(A118="","",'Definitions'!I118+SUMIFS('Assets'!$J$8:$J$207,'Assets'!$B$8:$B$207,A118))</x:f>
      </x:c>
      <x:c r="H118" s="11" t="str">
        <x:f>IF(A118="","",SUMIFS('Orders'!$I$8:$I$207,'Orders'!$D$8:$D$207,A118))</x:f>
      </x:c>
      <x:c r="I118" s="11" t="str">
        <x:f>IF(A118="","",SUMIFS('Orders'!$J$8:$J$207,'Orders'!$D$8:$D$207,A118))</x:f>
      </x:c>
      <x:c r="J118" s="11" t="str">
        <x:f>IF(A118="","",MAX(0,F118-G118))</x:f>
      </x:c>
      <x:c r="K118" s="11" t="str">
        <x:f>IF(A118="","",MAX(0,F118-G118-H118))</x:f>
      </x:c>
      <x:c r="L118" s="11" t="str">
        <x:f>IF(A118="","",'Definitions'!H118)</x:f>
      </x:c>
      <x:c r="M118" s="11" t="str">
        <x:f>IF(A118="","",IF(AND(ISNUMBER(L118),L118&gt;0),ROUNDUP(K118/L118,0),"Set pack size"))</x:f>
      </x:c>
      <x:c r="N118" s="11" t="str">
        <x:f>IF(A118="","",SUMIFS('Shipments'!$H$8:$H$207,'Shipments'!$F$8:$F$207,A118,'Shipments'!$C$8:$C$207,"Outbound"))</x:f>
      </x:c>
      <x:c r="O118" s="11" t="str">
        <x:f>IF(A118="","",MAX(0,F118-N118))</x:f>
      </x:c>
    </x:row>
    <x:row r="119" ht="22" customHeight="1">
      <x:c r="A119" s="9" t="str">
        <x:f>IF(AND('Definitions'!A119&lt;&gt;"",'Definitions'!C119="Part"),'Definitions'!A119,"")</x:f>
      </x:c>
      <x:c r="B119" s="9" t="str">
        <x:f>IF(A119="","",'Definitions'!B119)</x:f>
      </x:c>
      <x:c r="C119" s="9" t="str">
        <x:f>IF(A119="","",'Definitions'!F119)</x:f>
      </x:c>
      <x:c r="D119" s="11" t="str">
        <x:f>IF(A119="","",SUMIFS('Layout'!$K$8:$K$207,'Layout'!$G$8:$G$207,A119,'Layout'!$L$8:$L$207,"Build"))</x:f>
      </x:c>
      <x:c r="E119" s="11" t="str">
        <x:f>IF(A119="","",SUMIFS('Layout'!$K$8:$K$207,'Layout'!$G$8:$G$207,A119,'Layout'!$L$8:$L$207,"Spares"))</x:f>
      </x:c>
      <x:c r="F119" s="11" t="str">
        <x:f>IF(A119="","",SUM(D119:E119))</x:f>
      </x:c>
      <x:c r="G119" s="11" t="str">
        <x:f>IF(A119="","",'Definitions'!I119+SUMIFS('Assets'!$J$8:$J$207,'Assets'!$B$8:$B$207,A119))</x:f>
      </x:c>
      <x:c r="H119" s="11" t="str">
        <x:f>IF(A119="","",SUMIFS('Orders'!$I$8:$I$207,'Orders'!$D$8:$D$207,A119))</x:f>
      </x:c>
      <x:c r="I119" s="11" t="str">
        <x:f>IF(A119="","",SUMIFS('Orders'!$J$8:$J$207,'Orders'!$D$8:$D$207,A119))</x:f>
      </x:c>
      <x:c r="J119" s="11" t="str">
        <x:f>IF(A119="","",MAX(0,F119-G119))</x:f>
      </x:c>
      <x:c r="K119" s="11" t="str">
        <x:f>IF(A119="","",MAX(0,F119-G119-H119))</x:f>
      </x:c>
      <x:c r="L119" s="11" t="str">
        <x:f>IF(A119="","",'Definitions'!H119)</x:f>
      </x:c>
      <x:c r="M119" s="11" t="str">
        <x:f>IF(A119="","",IF(AND(ISNUMBER(L119),L119&gt;0),ROUNDUP(K119/L119,0),"Set pack size"))</x:f>
      </x:c>
      <x:c r="N119" s="11" t="str">
        <x:f>IF(A119="","",SUMIFS('Shipments'!$H$8:$H$207,'Shipments'!$F$8:$F$207,A119,'Shipments'!$C$8:$C$207,"Outbound"))</x:f>
      </x:c>
      <x:c r="O119" s="11" t="str">
        <x:f>IF(A119="","",MAX(0,F119-N119))</x:f>
      </x:c>
    </x:row>
    <x:row r="120" ht="22" customHeight="1">
      <x:c r="A120" s="9" t="str">
        <x:f>IF(AND('Definitions'!A120&lt;&gt;"",'Definitions'!C120="Part"),'Definitions'!A120,"")</x:f>
      </x:c>
      <x:c r="B120" s="9" t="str">
        <x:f>IF(A120="","",'Definitions'!B120)</x:f>
      </x:c>
      <x:c r="C120" s="9" t="str">
        <x:f>IF(A120="","",'Definitions'!F120)</x:f>
      </x:c>
      <x:c r="D120" s="11" t="str">
        <x:f>IF(A120="","",SUMIFS('Layout'!$K$8:$K$207,'Layout'!$G$8:$G$207,A120,'Layout'!$L$8:$L$207,"Build"))</x:f>
      </x:c>
      <x:c r="E120" s="11" t="str">
        <x:f>IF(A120="","",SUMIFS('Layout'!$K$8:$K$207,'Layout'!$G$8:$G$207,A120,'Layout'!$L$8:$L$207,"Spares"))</x:f>
      </x:c>
      <x:c r="F120" s="11" t="str">
        <x:f>IF(A120="","",SUM(D120:E120))</x:f>
      </x:c>
      <x:c r="G120" s="11" t="str">
        <x:f>IF(A120="","",'Definitions'!I120+SUMIFS('Assets'!$J$8:$J$207,'Assets'!$B$8:$B$207,A120))</x:f>
      </x:c>
      <x:c r="H120" s="11" t="str">
        <x:f>IF(A120="","",SUMIFS('Orders'!$I$8:$I$207,'Orders'!$D$8:$D$207,A120))</x:f>
      </x:c>
      <x:c r="I120" s="11" t="str">
        <x:f>IF(A120="","",SUMIFS('Orders'!$J$8:$J$207,'Orders'!$D$8:$D$207,A120))</x:f>
      </x:c>
      <x:c r="J120" s="11" t="str">
        <x:f>IF(A120="","",MAX(0,F120-G120))</x:f>
      </x:c>
      <x:c r="K120" s="11" t="str">
        <x:f>IF(A120="","",MAX(0,F120-G120-H120))</x:f>
      </x:c>
      <x:c r="L120" s="11" t="str">
        <x:f>IF(A120="","",'Definitions'!H120)</x:f>
      </x:c>
      <x:c r="M120" s="11" t="str">
        <x:f>IF(A120="","",IF(AND(ISNUMBER(L120),L120&gt;0),ROUNDUP(K120/L120,0),"Set pack size"))</x:f>
      </x:c>
      <x:c r="N120" s="11" t="str">
        <x:f>IF(A120="","",SUMIFS('Shipments'!$H$8:$H$207,'Shipments'!$F$8:$F$207,A120,'Shipments'!$C$8:$C$207,"Outbound"))</x:f>
      </x:c>
      <x:c r="O120" s="11" t="str">
        <x:f>IF(A120="","",MAX(0,F120-N120))</x:f>
      </x:c>
    </x:row>
    <x:row r="121" ht="22" customHeight="1">
      <x:c r="A121" s="9" t="str">
        <x:f>IF(AND('Definitions'!A121&lt;&gt;"",'Definitions'!C121="Part"),'Definitions'!A121,"")</x:f>
      </x:c>
      <x:c r="B121" s="9" t="str">
        <x:f>IF(A121="","",'Definitions'!B121)</x:f>
      </x:c>
      <x:c r="C121" s="9" t="str">
        <x:f>IF(A121="","",'Definitions'!F121)</x:f>
      </x:c>
      <x:c r="D121" s="11" t="str">
        <x:f>IF(A121="","",SUMIFS('Layout'!$K$8:$K$207,'Layout'!$G$8:$G$207,A121,'Layout'!$L$8:$L$207,"Build"))</x:f>
      </x:c>
      <x:c r="E121" s="11" t="str">
        <x:f>IF(A121="","",SUMIFS('Layout'!$K$8:$K$207,'Layout'!$G$8:$G$207,A121,'Layout'!$L$8:$L$207,"Spares"))</x:f>
      </x:c>
      <x:c r="F121" s="11" t="str">
        <x:f>IF(A121="","",SUM(D121:E121))</x:f>
      </x:c>
      <x:c r="G121" s="11" t="str">
        <x:f>IF(A121="","",'Definitions'!I121+SUMIFS('Assets'!$J$8:$J$207,'Assets'!$B$8:$B$207,A121))</x:f>
      </x:c>
      <x:c r="H121" s="11" t="str">
        <x:f>IF(A121="","",SUMIFS('Orders'!$I$8:$I$207,'Orders'!$D$8:$D$207,A121))</x:f>
      </x:c>
      <x:c r="I121" s="11" t="str">
        <x:f>IF(A121="","",SUMIFS('Orders'!$J$8:$J$207,'Orders'!$D$8:$D$207,A121))</x:f>
      </x:c>
      <x:c r="J121" s="11" t="str">
        <x:f>IF(A121="","",MAX(0,F121-G121))</x:f>
      </x:c>
      <x:c r="K121" s="11" t="str">
        <x:f>IF(A121="","",MAX(0,F121-G121-H121))</x:f>
      </x:c>
      <x:c r="L121" s="11" t="str">
        <x:f>IF(A121="","",'Definitions'!H121)</x:f>
      </x:c>
      <x:c r="M121" s="11" t="str">
        <x:f>IF(A121="","",IF(AND(ISNUMBER(L121),L121&gt;0),ROUNDUP(K121/L121,0),"Set pack size"))</x:f>
      </x:c>
      <x:c r="N121" s="11" t="str">
        <x:f>IF(A121="","",SUMIFS('Shipments'!$H$8:$H$207,'Shipments'!$F$8:$F$207,A121,'Shipments'!$C$8:$C$207,"Outbound"))</x:f>
      </x:c>
      <x:c r="O121" s="11" t="str">
        <x:f>IF(A121="","",MAX(0,F121-N121))</x:f>
      </x:c>
    </x:row>
    <x:row r="122" ht="22" customHeight="1">
      <x:c r="A122" s="9" t="str">
        <x:f>IF(AND('Definitions'!A122&lt;&gt;"",'Definitions'!C122="Part"),'Definitions'!A122,"")</x:f>
      </x:c>
      <x:c r="B122" s="9" t="str">
        <x:f>IF(A122="","",'Definitions'!B122)</x:f>
      </x:c>
      <x:c r="C122" s="9" t="str">
        <x:f>IF(A122="","",'Definitions'!F122)</x:f>
      </x:c>
      <x:c r="D122" s="11" t="str">
        <x:f>IF(A122="","",SUMIFS('Layout'!$K$8:$K$207,'Layout'!$G$8:$G$207,A122,'Layout'!$L$8:$L$207,"Build"))</x:f>
      </x:c>
      <x:c r="E122" s="11" t="str">
        <x:f>IF(A122="","",SUMIFS('Layout'!$K$8:$K$207,'Layout'!$G$8:$G$207,A122,'Layout'!$L$8:$L$207,"Spares"))</x:f>
      </x:c>
      <x:c r="F122" s="11" t="str">
        <x:f>IF(A122="","",SUM(D122:E122))</x:f>
      </x:c>
      <x:c r="G122" s="11" t="str">
        <x:f>IF(A122="","",'Definitions'!I122+SUMIFS('Assets'!$J$8:$J$207,'Assets'!$B$8:$B$207,A122))</x:f>
      </x:c>
      <x:c r="H122" s="11" t="str">
        <x:f>IF(A122="","",SUMIFS('Orders'!$I$8:$I$207,'Orders'!$D$8:$D$207,A122))</x:f>
      </x:c>
      <x:c r="I122" s="11" t="str">
        <x:f>IF(A122="","",SUMIFS('Orders'!$J$8:$J$207,'Orders'!$D$8:$D$207,A122))</x:f>
      </x:c>
      <x:c r="J122" s="11" t="str">
        <x:f>IF(A122="","",MAX(0,F122-G122))</x:f>
      </x:c>
      <x:c r="K122" s="11" t="str">
        <x:f>IF(A122="","",MAX(0,F122-G122-H122))</x:f>
      </x:c>
      <x:c r="L122" s="11" t="str">
        <x:f>IF(A122="","",'Definitions'!H122)</x:f>
      </x:c>
      <x:c r="M122" s="11" t="str">
        <x:f>IF(A122="","",IF(AND(ISNUMBER(L122),L122&gt;0),ROUNDUP(K122/L122,0),"Set pack size"))</x:f>
      </x:c>
      <x:c r="N122" s="11" t="str">
        <x:f>IF(A122="","",SUMIFS('Shipments'!$H$8:$H$207,'Shipments'!$F$8:$F$207,A122,'Shipments'!$C$8:$C$207,"Outbound"))</x:f>
      </x:c>
      <x:c r="O122" s="11" t="str">
        <x:f>IF(A122="","",MAX(0,F122-N122))</x:f>
      </x:c>
    </x:row>
    <x:row r="123" ht="22" customHeight="1">
      <x:c r="A123" s="9" t="str">
        <x:f>IF(AND('Definitions'!A123&lt;&gt;"",'Definitions'!C123="Part"),'Definitions'!A123,"")</x:f>
      </x:c>
      <x:c r="B123" s="9" t="str">
        <x:f>IF(A123="","",'Definitions'!B123)</x:f>
      </x:c>
      <x:c r="C123" s="9" t="str">
        <x:f>IF(A123="","",'Definitions'!F123)</x:f>
      </x:c>
      <x:c r="D123" s="11" t="str">
        <x:f>IF(A123="","",SUMIFS('Layout'!$K$8:$K$207,'Layout'!$G$8:$G$207,A123,'Layout'!$L$8:$L$207,"Build"))</x:f>
      </x:c>
      <x:c r="E123" s="11" t="str">
        <x:f>IF(A123="","",SUMIFS('Layout'!$K$8:$K$207,'Layout'!$G$8:$G$207,A123,'Layout'!$L$8:$L$207,"Spares"))</x:f>
      </x:c>
      <x:c r="F123" s="11" t="str">
        <x:f>IF(A123="","",SUM(D123:E123))</x:f>
      </x:c>
      <x:c r="G123" s="11" t="str">
        <x:f>IF(A123="","",'Definitions'!I123+SUMIFS('Assets'!$J$8:$J$207,'Assets'!$B$8:$B$207,A123))</x:f>
      </x:c>
      <x:c r="H123" s="11" t="str">
        <x:f>IF(A123="","",SUMIFS('Orders'!$I$8:$I$207,'Orders'!$D$8:$D$207,A123))</x:f>
      </x:c>
      <x:c r="I123" s="11" t="str">
        <x:f>IF(A123="","",SUMIFS('Orders'!$J$8:$J$207,'Orders'!$D$8:$D$207,A123))</x:f>
      </x:c>
      <x:c r="J123" s="11" t="str">
        <x:f>IF(A123="","",MAX(0,F123-G123))</x:f>
      </x:c>
      <x:c r="K123" s="11" t="str">
        <x:f>IF(A123="","",MAX(0,F123-G123-H123))</x:f>
      </x:c>
      <x:c r="L123" s="11" t="str">
        <x:f>IF(A123="","",'Definitions'!H123)</x:f>
      </x:c>
      <x:c r="M123" s="11" t="str">
        <x:f>IF(A123="","",IF(AND(ISNUMBER(L123),L123&gt;0),ROUNDUP(K123/L123,0),"Set pack size"))</x:f>
      </x:c>
      <x:c r="N123" s="11" t="str">
        <x:f>IF(A123="","",SUMIFS('Shipments'!$H$8:$H$207,'Shipments'!$F$8:$F$207,A123,'Shipments'!$C$8:$C$207,"Outbound"))</x:f>
      </x:c>
      <x:c r="O123" s="11" t="str">
        <x:f>IF(A123="","",MAX(0,F123-N123))</x:f>
      </x:c>
    </x:row>
    <x:row r="124" ht="22" customHeight="1">
      <x:c r="A124" s="9" t="str">
        <x:f>IF(AND('Definitions'!A124&lt;&gt;"",'Definitions'!C124="Part"),'Definitions'!A124,"")</x:f>
      </x:c>
      <x:c r="B124" s="9" t="str">
        <x:f>IF(A124="","",'Definitions'!B124)</x:f>
      </x:c>
      <x:c r="C124" s="9" t="str">
        <x:f>IF(A124="","",'Definitions'!F124)</x:f>
      </x:c>
      <x:c r="D124" s="11" t="str">
        <x:f>IF(A124="","",SUMIFS('Layout'!$K$8:$K$207,'Layout'!$G$8:$G$207,A124,'Layout'!$L$8:$L$207,"Build"))</x:f>
      </x:c>
      <x:c r="E124" s="11" t="str">
        <x:f>IF(A124="","",SUMIFS('Layout'!$K$8:$K$207,'Layout'!$G$8:$G$207,A124,'Layout'!$L$8:$L$207,"Spares"))</x:f>
      </x:c>
      <x:c r="F124" s="11" t="str">
        <x:f>IF(A124="","",SUM(D124:E124))</x:f>
      </x:c>
      <x:c r="G124" s="11" t="str">
        <x:f>IF(A124="","",'Definitions'!I124+SUMIFS('Assets'!$J$8:$J$207,'Assets'!$B$8:$B$207,A124))</x:f>
      </x:c>
      <x:c r="H124" s="11" t="str">
        <x:f>IF(A124="","",SUMIFS('Orders'!$I$8:$I$207,'Orders'!$D$8:$D$207,A124))</x:f>
      </x:c>
      <x:c r="I124" s="11" t="str">
        <x:f>IF(A124="","",SUMIFS('Orders'!$J$8:$J$207,'Orders'!$D$8:$D$207,A124))</x:f>
      </x:c>
      <x:c r="J124" s="11" t="str">
        <x:f>IF(A124="","",MAX(0,F124-G124))</x:f>
      </x:c>
      <x:c r="K124" s="11" t="str">
        <x:f>IF(A124="","",MAX(0,F124-G124-H124))</x:f>
      </x:c>
      <x:c r="L124" s="11" t="str">
        <x:f>IF(A124="","",'Definitions'!H124)</x:f>
      </x:c>
      <x:c r="M124" s="11" t="str">
        <x:f>IF(A124="","",IF(AND(ISNUMBER(L124),L124&gt;0),ROUNDUP(K124/L124,0),"Set pack size"))</x:f>
      </x:c>
      <x:c r="N124" s="11" t="str">
        <x:f>IF(A124="","",SUMIFS('Shipments'!$H$8:$H$207,'Shipments'!$F$8:$F$207,A124,'Shipments'!$C$8:$C$207,"Outbound"))</x:f>
      </x:c>
      <x:c r="O124" s="11" t="str">
        <x:f>IF(A124="","",MAX(0,F124-N124))</x:f>
      </x:c>
    </x:row>
    <x:row r="125" ht="22" customHeight="1">
      <x:c r="A125" s="9" t="str">
        <x:f>IF(AND('Definitions'!A125&lt;&gt;"",'Definitions'!C125="Part"),'Definitions'!A125,"")</x:f>
      </x:c>
      <x:c r="B125" s="9" t="str">
        <x:f>IF(A125="","",'Definitions'!B125)</x:f>
      </x:c>
      <x:c r="C125" s="9" t="str">
        <x:f>IF(A125="","",'Definitions'!F125)</x:f>
      </x:c>
      <x:c r="D125" s="11" t="str">
        <x:f>IF(A125="","",SUMIFS('Layout'!$K$8:$K$207,'Layout'!$G$8:$G$207,A125,'Layout'!$L$8:$L$207,"Build"))</x:f>
      </x:c>
      <x:c r="E125" s="11" t="str">
        <x:f>IF(A125="","",SUMIFS('Layout'!$K$8:$K$207,'Layout'!$G$8:$G$207,A125,'Layout'!$L$8:$L$207,"Spares"))</x:f>
      </x:c>
      <x:c r="F125" s="11" t="str">
        <x:f>IF(A125="","",SUM(D125:E125))</x:f>
      </x:c>
      <x:c r="G125" s="11" t="str">
        <x:f>IF(A125="","",'Definitions'!I125+SUMIFS('Assets'!$J$8:$J$207,'Assets'!$B$8:$B$207,A125))</x:f>
      </x:c>
      <x:c r="H125" s="11" t="str">
        <x:f>IF(A125="","",SUMIFS('Orders'!$I$8:$I$207,'Orders'!$D$8:$D$207,A125))</x:f>
      </x:c>
      <x:c r="I125" s="11" t="str">
        <x:f>IF(A125="","",SUMIFS('Orders'!$J$8:$J$207,'Orders'!$D$8:$D$207,A125))</x:f>
      </x:c>
      <x:c r="J125" s="11" t="str">
        <x:f>IF(A125="","",MAX(0,F125-G125))</x:f>
      </x:c>
      <x:c r="K125" s="11" t="str">
        <x:f>IF(A125="","",MAX(0,F125-G125-H125))</x:f>
      </x:c>
      <x:c r="L125" s="11" t="str">
        <x:f>IF(A125="","",'Definitions'!H125)</x:f>
      </x:c>
      <x:c r="M125" s="11" t="str">
        <x:f>IF(A125="","",IF(AND(ISNUMBER(L125),L125&gt;0),ROUNDUP(K125/L125,0),"Set pack size"))</x:f>
      </x:c>
      <x:c r="N125" s="11" t="str">
        <x:f>IF(A125="","",SUMIFS('Shipments'!$H$8:$H$207,'Shipments'!$F$8:$F$207,A125,'Shipments'!$C$8:$C$207,"Outbound"))</x:f>
      </x:c>
      <x:c r="O125" s="11" t="str">
        <x:f>IF(A125="","",MAX(0,F125-N125))</x:f>
      </x:c>
    </x:row>
    <x:row r="126" ht="22" customHeight="1">
      <x:c r="A126" s="9" t="str">
        <x:f>IF(AND('Definitions'!A126&lt;&gt;"",'Definitions'!C126="Part"),'Definitions'!A126,"")</x:f>
      </x:c>
      <x:c r="B126" s="9" t="str">
        <x:f>IF(A126="","",'Definitions'!B126)</x:f>
      </x:c>
      <x:c r="C126" s="9" t="str">
        <x:f>IF(A126="","",'Definitions'!F126)</x:f>
      </x:c>
      <x:c r="D126" s="11" t="str">
        <x:f>IF(A126="","",SUMIFS('Layout'!$K$8:$K$207,'Layout'!$G$8:$G$207,A126,'Layout'!$L$8:$L$207,"Build"))</x:f>
      </x:c>
      <x:c r="E126" s="11" t="str">
        <x:f>IF(A126="","",SUMIFS('Layout'!$K$8:$K$207,'Layout'!$G$8:$G$207,A126,'Layout'!$L$8:$L$207,"Spares"))</x:f>
      </x:c>
      <x:c r="F126" s="11" t="str">
        <x:f>IF(A126="","",SUM(D126:E126))</x:f>
      </x:c>
      <x:c r="G126" s="11" t="str">
        <x:f>IF(A126="","",'Definitions'!I126+SUMIFS('Assets'!$J$8:$J$207,'Assets'!$B$8:$B$207,A126))</x:f>
      </x:c>
      <x:c r="H126" s="11" t="str">
        <x:f>IF(A126="","",SUMIFS('Orders'!$I$8:$I$207,'Orders'!$D$8:$D$207,A126))</x:f>
      </x:c>
      <x:c r="I126" s="11" t="str">
        <x:f>IF(A126="","",SUMIFS('Orders'!$J$8:$J$207,'Orders'!$D$8:$D$207,A126))</x:f>
      </x:c>
      <x:c r="J126" s="11" t="str">
        <x:f>IF(A126="","",MAX(0,F126-G126))</x:f>
      </x:c>
      <x:c r="K126" s="11" t="str">
        <x:f>IF(A126="","",MAX(0,F126-G126-H126))</x:f>
      </x:c>
      <x:c r="L126" s="11" t="str">
        <x:f>IF(A126="","",'Definitions'!H126)</x:f>
      </x:c>
      <x:c r="M126" s="11" t="str">
        <x:f>IF(A126="","",IF(AND(ISNUMBER(L126),L126&gt;0),ROUNDUP(K126/L126,0),"Set pack size"))</x:f>
      </x:c>
      <x:c r="N126" s="11" t="str">
        <x:f>IF(A126="","",SUMIFS('Shipments'!$H$8:$H$207,'Shipments'!$F$8:$F$207,A126,'Shipments'!$C$8:$C$207,"Outbound"))</x:f>
      </x:c>
      <x:c r="O126" s="11" t="str">
        <x:f>IF(A126="","",MAX(0,F126-N126))</x:f>
      </x:c>
    </x:row>
    <x:row r="127" ht="22" customHeight="1">
      <x:c r="A127" s="9" t="str">
        <x:f>IF(AND('Definitions'!A127&lt;&gt;"",'Definitions'!C127="Part"),'Definitions'!A127,"")</x:f>
      </x:c>
      <x:c r="B127" s="9" t="str">
        <x:f>IF(A127="","",'Definitions'!B127)</x:f>
      </x:c>
      <x:c r="C127" s="9" t="str">
        <x:f>IF(A127="","",'Definitions'!F127)</x:f>
      </x:c>
      <x:c r="D127" s="11" t="str">
        <x:f>IF(A127="","",SUMIFS('Layout'!$K$8:$K$207,'Layout'!$G$8:$G$207,A127,'Layout'!$L$8:$L$207,"Build"))</x:f>
      </x:c>
      <x:c r="E127" s="11" t="str">
        <x:f>IF(A127="","",SUMIFS('Layout'!$K$8:$K$207,'Layout'!$G$8:$G$207,A127,'Layout'!$L$8:$L$207,"Spares"))</x:f>
      </x:c>
      <x:c r="F127" s="11" t="str">
        <x:f>IF(A127="","",SUM(D127:E127))</x:f>
      </x:c>
      <x:c r="G127" s="11" t="str">
        <x:f>IF(A127="","",'Definitions'!I127+SUMIFS('Assets'!$J$8:$J$207,'Assets'!$B$8:$B$207,A127))</x:f>
      </x:c>
      <x:c r="H127" s="11" t="str">
        <x:f>IF(A127="","",SUMIFS('Orders'!$I$8:$I$207,'Orders'!$D$8:$D$207,A127))</x:f>
      </x:c>
      <x:c r="I127" s="11" t="str">
        <x:f>IF(A127="","",SUMIFS('Orders'!$J$8:$J$207,'Orders'!$D$8:$D$207,A127))</x:f>
      </x:c>
      <x:c r="J127" s="11" t="str">
        <x:f>IF(A127="","",MAX(0,F127-G127))</x:f>
      </x:c>
      <x:c r="K127" s="11" t="str">
        <x:f>IF(A127="","",MAX(0,F127-G127-H127))</x:f>
      </x:c>
      <x:c r="L127" s="11" t="str">
        <x:f>IF(A127="","",'Definitions'!H127)</x:f>
      </x:c>
      <x:c r="M127" s="11" t="str">
        <x:f>IF(A127="","",IF(AND(ISNUMBER(L127),L127&gt;0),ROUNDUP(K127/L127,0),"Set pack size"))</x:f>
      </x:c>
      <x:c r="N127" s="11" t="str">
        <x:f>IF(A127="","",SUMIFS('Shipments'!$H$8:$H$207,'Shipments'!$F$8:$F$207,A127,'Shipments'!$C$8:$C$207,"Outbound"))</x:f>
      </x:c>
      <x:c r="O127" s="11" t="str">
        <x:f>IF(A127="","",MAX(0,F127-N127))</x:f>
      </x:c>
    </x:row>
    <x:row r="128" ht="22" customHeight="1">
      <x:c r="A128" s="9" t="str">
        <x:f>IF(AND('Definitions'!A128&lt;&gt;"",'Definitions'!C128="Part"),'Definitions'!A128,"")</x:f>
      </x:c>
      <x:c r="B128" s="9" t="str">
        <x:f>IF(A128="","",'Definitions'!B128)</x:f>
      </x:c>
      <x:c r="C128" s="9" t="str">
        <x:f>IF(A128="","",'Definitions'!F128)</x:f>
      </x:c>
      <x:c r="D128" s="11" t="str">
        <x:f>IF(A128="","",SUMIFS('Layout'!$K$8:$K$207,'Layout'!$G$8:$G$207,A128,'Layout'!$L$8:$L$207,"Build"))</x:f>
      </x:c>
      <x:c r="E128" s="11" t="str">
        <x:f>IF(A128="","",SUMIFS('Layout'!$K$8:$K$207,'Layout'!$G$8:$G$207,A128,'Layout'!$L$8:$L$207,"Spares"))</x:f>
      </x:c>
      <x:c r="F128" s="11" t="str">
        <x:f>IF(A128="","",SUM(D128:E128))</x:f>
      </x:c>
      <x:c r="G128" s="11" t="str">
        <x:f>IF(A128="","",'Definitions'!I128+SUMIFS('Assets'!$J$8:$J$207,'Assets'!$B$8:$B$207,A128))</x:f>
      </x:c>
      <x:c r="H128" s="11" t="str">
        <x:f>IF(A128="","",SUMIFS('Orders'!$I$8:$I$207,'Orders'!$D$8:$D$207,A128))</x:f>
      </x:c>
      <x:c r="I128" s="11" t="str">
        <x:f>IF(A128="","",SUMIFS('Orders'!$J$8:$J$207,'Orders'!$D$8:$D$207,A128))</x:f>
      </x:c>
      <x:c r="J128" s="11" t="str">
        <x:f>IF(A128="","",MAX(0,F128-G128))</x:f>
      </x:c>
      <x:c r="K128" s="11" t="str">
        <x:f>IF(A128="","",MAX(0,F128-G128-H128))</x:f>
      </x:c>
      <x:c r="L128" s="11" t="str">
        <x:f>IF(A128="","",'Definitions'!H128)</x:f>
      </x:c>
      <x:c r="M128" s="11" t="str">
        <x:f>IF(A128="","",IF(AND(ISNUMBER(L128),L128&gt;0),ROUNDUP(K128/L128,0),"Set pack size"))</x:f>
      </x:c>
      <x:c r="N128" s="11" t="str">
        <x:f>IF(A128="","",SUMIFS('Shipments'!$H$8:$H$207,'Shipments'!$F$8:$F$207,A128,'Shipments'!$C$8:$C$207,"Outbound"))</x:f>
      </x:c>
      <x:c r="O128" s="11" t="str">
        <x:f>IF(A128="","",MAX(0,F128-N128))</x:f>
      </x:c>
    </x:row>
    <x:row r="129" ht="22" customHeight="1">
      <x:c r="A129" s="9" t="str">
        <x:f>IF(AND('Definitions'!A129&lt;&gt;"",'Definitions'!C129="Part"),'Definitions'!A129,"")</x:f>
      </x:c>
      <x:c r="B129" s="9" t="str">
        <x:f>IF(A129="","",'Definitions'!B129)</x:f>
      </x:c>
      <x:c r="C129" s="9" t="str">
        <x:f>IF(A129="","",'Definitions'!F129)</x:f>
      </x:c>
      <x:c r="D129" s="11" t="str">
        <x:f>IF(A129="","",SUMIFS('Layout'!$K$8:$K$207,'Layout'!$G$8:$G$207,A129,'Layout'!$L$8:$L$207,"Build"))</x:f>
      </x:c>
      <x:c r="E129" s="11" t="str">
        <x:f>IF(A129="","",SUMIFS('Layout'!$K$8:$K$207,'Layout'!$G$8:$G$207,A129,'Layout'!$L$8:$L$207,"Spares"))</x:f>
      </x:c>
      <x:c r="F129" s="11" t="str">
        <x:f>IF(A129="","",SUM(D129:E129))</x:f>
      </x:c>
      <x:c r="G129" s="11" t="str">
        <x:f>IF(A129="","",'Definitions'!I129+SUMIFS('Assets'!$J$8:$J$207,'Assets'!$B$8:$B$207,A129))</x:f>
      </x:c>
      <x:c r="H129" s="11" t="str">
        <x:f>IF(A129="","",SUMIFS('Orders'!$I$8:$I$207,'Orders'!$D$8:$D$207,A129))</x:f>
      </x:c>
      <x:c r="I129" s="11" t="str">
        <x:f>IF(A129="","",SUMIFS('Orders'!$J$8:$J$207,'Orders'!$D$8:$D$207,A129))</x:f>
      </x:c>
      <x:c r="J129" s="11" t="str">
        <x:f>IF(A129="","",MAX(0,F129-G129))</x:f>
      </x:c>
      <x:c r="K129" s="11" t="str">
        <x:f>IF(A129="","",MAX(0,F129-G129-H129))</x:f>
      </x:c>
      <x:c r="L129" s="11" t="str">
        <x:f>IF(A129="","",'Definitions'!H129)</x:f>
      </x:c>
      <x:c r="M129" s="11" t="str">
        <x:f>IF(A129="","",IF(AND(ISNUMBER(L129),L129&gt;0),ROUNDUP(K129/L129,0),"Set pack size"))</x:f>
      </x:c>
      <x:c r="N129" s="11" t="str">
        <x:f>IF(A129="","",SUMIFS('Shipments'!$H$8:$H$207,'Shipments'!$F$8:$F$207,A129,'Shipments'!$C$8:$C$207,"Outbound"))</x:f>
      </x:c>
      <x:c r="O129" s="11" t="str">
        <x:f>IF(A129="","",MAX(0,F129-N129))</x:f>
      </x:c>
    </x:row>
    <x:row r="130" ht="22" customHeight="1">
      <x:c r="A130" s="9" t="str">
        <x:f>IF(AND('Definitions'!A130&lt;&gt;"",'Definitions'!C130="Part"),'Definitions'!A130,"")</x:f>
      </x:c>
      <x:c r="B130" s="9" t="str">
        <x:f>IF(A130="","",'Definitions'!B130)</x:f>
      </x:c>
      <x:c r="C130" s="9" t="str">
        <x:f>IF(A130="","",'Definitions'!F130)</x:f>
      </x:c>
      <x:c r="D130" s="11" t="str">
        <x:f>IF(A130="","",SUMIFS('Layout'!$K$8:$K$207,'Layout'!$G$8:$G$207,A130,'Layout'!$L$8:$L$207,"Build"))</x:f>
      </x:c>
      <x:c r="E130" s="11" t="str">
        <x:f>IF(A130="","",SUMIFS('Layout'!$K$8:$K$207,'Layout'!$G$8:$G$207,A130,'Layout'!$L$8:$L$207,"Spares"))</x:f>
      </x:c>
      <x:c r="F130" s="11" t="str">
        <x:f>IF(A130="","",SUM(D130:E130))</x:f>
      </x:c>
      <x:c r="G130" s="11" t="str">
        <x:f>IF(A130="","",'Definitions'!I130+SUMIFS('Assets'!$J$8:$J$207,'Assets'!$B$8:$B$207,A130))</x:f>
      </x:c>
      <x:c r="H130" s="11" t="str">
        <x:f>IF(A130="","",SUMIFS('Orders'!$I$8:$I$207,'Orders'!$D$8:$D$207,A130))</x:f>
      </x:c>
      <x:c r="I130" s="11" t="str">
        <x:f>IF(A130="","",SUMIFS('Orders'!$J$8:$J$207,'Orders'!$D$8:$D$207,A130))</x:f>
      </x:c>
      <x:c r="J130" s="11" t="str">
        <x:f>IF(A130="","",MAX(0,F130-G130))</x:f>
      </x:c>
      <x:c r="K130" s="11" t="str">
        <x:f>IF(A130="","",MAX(0,F130-G130-H130))</x:f>
      </x:c>
      <x:c r="L130" s="11" t="str">
        <x:f>IF(A130="","",'Definitions'!H130)</x:f>
      </x:c>
      <x:c r="M130" s="11" t="str">
        <x:f>IF(A130="","",IF(AND(ISNUMBER(L130),L130&gt;0),ROUNDUP(K130/L130,0),"Set pack size"))</x:f>
      </x:c>
      <x:c r="N130" s="11" t="str">
        <x:f>IF(A130="","",SUMIFS('Shipments'!$H$8:$H$207,'Shipments'!$F$8:$F$207,A130,'Shipments'!$C$8:$C$207,"Outbound"))</x:f>
      </x:c>
      <x:c r="O130" s="11" t="str">
        <x:f>IF(A130="","",MAX(0,F130-N130))</x:f>
      </x:c>
    </x:row>
    <x:row r="131" ht="22" customHeight="1">
      <x:c r="A131" s="9" t="str">
        <x:f>IF(AND('Definitions'!A131&lt;&gt;"",'Definitions'!C131="Part"),'Definitions'!A131,"")</x:f>
      </x:c>
      <x:c r="B131" s="9" t="str">
        <x:f>IF(A131="","",'Definitions'!B131)</x:f>
      </x:c>
      <x:c r="C131" s="9" t="str">
        <x:f>IF(A131="","",'Definitions'!F131)</x:f>
      </x:c>
      <x:c r="D131" s="11" t="str">
        <x:f>IF(A131="","",SUMIFS('Layout'!$K$8:$K$207,'Layout'!$G$8:$G$207,A131,'Layout'!$L$8:$L$207,"Build"))</x:f>
      </x:c>
      <x:c r="E131" s="11" t="str">
        <x:f>IF(A131="","",SUMIFS('Layout'!$K$8:$K$207,'Layout'!$G$8:$G$207,A131,'Layout'!$L$8:$L$207,"Spares"))</x:f>
      </x:c>
      <x:c r="F131" s="11" t="str">
        <x:f>IF(A131="","",SUM(D131:E131))</x:f>
      </x:c>
      <x:c r="G131" s="11" t="str">
        <x:f>IF(A131="","",'Definitions'!I131+SUMIFS('Assets'!$J$8:$J$207,'Assets'!$B$8:$B$207,A131))</x:f>
      </x:c>
      <x:c r="H131" s="11" t="str">
        <x:f>IF(A131="","",SUMIFS('Orders'!$I$8:$I$207,'Orders'!$D$8:$D$207,A131))</x:f>
      </x:c>
      <x:c r="I131" s="11" t="str">
        <x:f>IF(A131="","",SUMIFS('Orders'!$J$8:$J$207,'Orders'!$D$8:$D$207,A131))</x:f>
      </x:c>
      <x:c r="J131" s="11" t="str">
        <x:f>IF(A131="","",MAX(0,F131-G131))</x:f>
      </x:c>
      <x:c r="K131" s="11" t="str">
        <x:f>IF(A131="","",MAX(0,F131-G131-H131))</x:f>
      </x:c>
      <x:c r="L131" s="11" t="str">
        <x:f>IF(A131="","",'Definitions'!H131)</x:f>
      </x:c>
      <x:c r="M131" s="11" t="str">
        <x:f>IF(A131="","",IF(AND(ISNUMBER(L131),L131&gt;0),ROUNDUP(K131/L131,0),"Set pack size"))</x:f>
      </x:c>
      <x:c r="N131" s="11" t="str">
        <x:f>IF(A131="","",SUMIFS('Shipments'!$H$8:$H$207,'Shipments'!$F$8:$F$207,A131,'Shipments'!$C$8:$C$207,"Outbound"))</x:f>
      </x:c>
      <x:c r="O131" s="11" t="str">
        <x:f>IF(A131="","",MAX(0,F131-N131))</x:f>
      </x:c>
    </x:row>
    <x:row r="132" ht="22" customHeight="1">
      <x:c r="A132" s="9" t="str">
        <x:f>IF(AND('Definitions'!A132&lt;&gt;"",'Definitions'!C132="Part"),'Definitions'!A132,"")</x:f>
      </x:c>
      <x:c r="B132" s="9" t="str">
        <x:f>IF(A132="","",'Definitions'!B132)</x:f>
      </x:c>
      <x:c r="C132" s="9" t="str">
        <x:f>IF(A132="","",'Definitions'!F132)</x:f>
      </x:c>
      <x:c r="D132" s="11" t="str">
        <x:f>IF(A132="","",SUMIFS('Layout'!$K$8:$K$207,'Layout'!$G$8:$G$207,A132,'Layout'!$L$8:$L$207,"Build"))</x:f>
      </x:c>
      <x:c r="E132" s="11" t="str">
        <x:f>IF(A132="","",SUMIFS('Layout'!$K$8:$K$207,'Layout'!$G$8:$G$207,A132,'Layout'!$L$8:$L$207,"Spares"))</x:f>
      </x:c>
      <x:c r="F132" s="11" t="str">
        <x:f>IF(A132="","",SUM(D132:E132))</x:f>
      </x:c>
      <x:c r="G132" s="11" t="str">
        <x:f>IF(A132="","",'Definitions'!I132+SUMIFS('Assets'!$J$8:$J$207,'Assets'!$B$8:$B$207,A132))</x:f>
      </x:c>
      <x:c r="H132" s="11" t="str">
        <x:f>IF(A132="","",SUMIFS('Orders'!$I$8:$I$207,'Orders'!$D$8:$D$207,A132))</x:f>
      </x:c>
      <x:c r="I132" s="11" t="str">
        <x:f>IF(A132="","",SUMIFS('Orders'!$J$8:$J$207,'Orders'!$D$8:$D$207,A132))</x:f>
      </x:c>
      <x:c r="J132" s="11" t="str">
        <x:f>IF(A132="","",MAX(0,F132-G132))</x:f>
      </x:c>
      <x:c r="K132" s="11" t="str">
        <x:f>IF(A132="","",MAX(0,F132-G132-H132))</x:f>
      </x:c>
      <x:c r="L132" s="11" t="str">
        <x:f>IF(A132="","",'Definitions'!H132)</x:f>
      </x:c>
      <x:c r="M132" s="11" t="str">
        <x:f>IF(A132="","",IF(AND(ISNUMBER(L132),L132&gt;0),ROUNDUP(K132/L132,0),"Set pack size"))</x:f>
      </x:c>
      <x:c r="N132" s="11" t="str">
        <x:f>IF(A132="","",SUMIFS('Shipments'!$H$8:$H$207,'Shipments'!$F$8:$F$207,A132,'Shipments'!$C$8:$C$207,"Outbound"))</x:f>
      </x:c>
      <x:c r="O132" s="11" t="str">
        <x:f>IF(A132="","",MAX(0,F132-N132))</x:f>
      </x:c>
    </x:row>
    <x:row r="133" ht="22" customHeight="1">
      <x:c r="A133" s="9" t="str">
        <x:f>IF(AND('Definitions'!A133&lt;&gt;"",'Definitions'!C133="Part"),'Definitions'!A133,"")</x:f>
      </x:c>
      <x:c r="B133" s="9" t="str">
        <x:f>IF(A133="","",'Definitions'!B133)</x:f>
      </x:c>
      <x:c r="C133" s="9" t="str">
        <x:f>IF(A133="","",'Definitions'!F133)</x:f>
      </x:c>
      <x:c r="D133" s="11" t="str">
        <x:f>IF(A133="","",SUMIFS('Layout'!$K$8:$K$207,'Layout'!$G$8:$G$207,A133,'Layout'!$L$8:$L$207,"Build"))</x:f>
      </x:c>
      <x:c r="E133" s="11" t="str">
        <x:f>IF(A133="","",SUMIFS('Layout'!$K$8:$K$207,'Layout'!$G$8:$G$207,A133,'Layout'!$L$8:$L$207,"Spares"))</x:f>
      </x:c>
      <x:c r="F133" s="11" t="str">
        <x:f>IF(A133="","",SUM(D133:E133))</x:f>
      </x:c>
      <x:c r="G133" s="11" t="str">
        <x:f>IF(A133="","",'Definitions'!I133+SUMIFS('Assets'!$J$8:$J$207,'Assets'!$B$8:$B$207,A133))</x:f>
      </x:c>
      <x:c r="H133" s="11" t="str">
        <x:f>IF(A133="","",SUMIFS('Orders'!$I$8:$I$207,'Orders'!$D$8:$D$207,A133))</x:f>
      </x:c>
      <x:c r="I133" s="11" t="str">
        <x:f>IF(A133="","",SUMIFS('Orders'!$J$8:$J$207,'Orders'!$D$8:$D$207,A133))</x:f>
      </x:c>
      <x:c r="J133" s="11" t="str">
        <x:f>IF(A133="","",MAX(0,F133-G133))</x:f>
      </x:c>
      <x:c r="K133" s="11" t="str">
        <x:f>IF(A133="","",MAX(0,F133-G133-H133))</x:f>
      </x:c>
      <x:c r="L133" s="11" t="str">
        <x:f>IF(A133="","",'Definitions'!H133)</x:f>
      </x:c>
      <x:c r="M133" s="11" t="str">
        <x:f>IF(A133="","",IF(AND(ISNUMBER(L133),L133&gt;0),ROUNDUP(K133/L133,0),"Set pack size"))</x:f>
      </x:c>
      <x:c r="N133" s="11" t="str">
        <x:f>IF(A133="","",SUMIFS('Shipments'!$H$8:$H$207,'Shipments'!$F$8:$F$207,A133,'Shipments'!$C$8:$C$207,"Outbound"))</x:f>
      </x:c>
      <x:c r="O133" s="11" t="str">
        <x:f>IF(A133="","",MAX(0,F133-N133))</x:f>
      </x:c>
    </x:row>
    <x:row r="134" ht="22" customHeight="1">
      <x:c r="A134" s="9" t="str">
        <x:f>IF(AND('Definitions'!A134&lt;&gt;"",'Definitions'!C134="Part"),'Definitions'!A134,"")</x:f>
      </x:c>
      <x:c r="B134" s="9" t="str">
        <x:f>IF(A134="","",'Definitions'!B134)</x:f>
      </x:c>
      <x:c r="C134" s="9" t="str">
        <x:f>IF(A134="","",'Definitions'!F134)</x:f>
      </x:c>
      <x:c r="D134" s="11" t="str">
        <x:f>IF(A134="","",SUMIFS('Layout'!$K$8:$K$207,'Layout'!$G$8:$G$207,A134,'Layout'!$L$8:$L$207,"Build"))</x:f>
      </x:c>
      <x:c r="E134" s="11" t="str">
        <x:f>IF(A134="","",SUMIFS('Layout'!$K$8:$K$207,'Layout'!$G$8:$G$207,A134,'Layout'!$L$8:$L$207,"Spares"))</x:f>
      </x:c>
      <x:c r="F134" s="11" t="str">
        <x:f>IF(A134="","",SUM(D134:E134))</x:f>
      </x:c>
      <x:c r="G134" s="11" t="str">
        <x:f>IF(A134="","",'Definitions'!I134+SUMIFS('Assets'!$J$8:$J$207,'Assets'!$B$8:$B$207,A134))</x:f>
      </x:c>
      <x:c r="H134" s="11" t="str">
        <x:f>IF(A134="","",SUMIFS('Orders'!$I$8:$I$207,'Orders'!$D$8:$D$207,A134))</x:f>
      </x:c>
      <x:c r="I134" s="11" t="str">
        <x:f>IF(A134="","",SUMIFS('Orders'!$J$8:$J$207,'Orders'!$D$8:$D$207,A134))</x:f>
      </x:c>
      <x:c r="J134" s="11" t="str">
        <x:f>IF(A134="","",MAX(0,F134-G134))</x:f>
      </x:c>
      <x:c r="K134" s="11" t="str">
        <x:f>IF(A134="","",MAX(0,F134-G134-H134))</x:f>
      </x:c>
      <x:c r="L134" s="11" t="str">
        <x:f>IF(A134="","",'Definitions'!H134)</x:f>
      </x:c>
      <x:c r="M134" s="11" t="str">
        <x:f>IF(A134="","",IF(AND(ISNUMBER(L134),L134&gt;0),ROUNDUP(K134/L134,0),"Set pack size"))</x:f>
      </x:c>
      <x:c r="N134" s="11" t="str">
        <x:f>IF(A134="","",SUMIFS('Shipments'!$H$8:$H$207,'Shipments'!$F$8:$F$207,A134,'Shipments'!$C$8:$C$207,"Outbound"))</x:f>
      </x:c>
      <x:c r="O134" s="11" t="str">
        <x:f>IF(A134="","",MAX(0,F134-N134))</x:f>
      </x:c>
    </x:row>
    <x:row r="135" ht="22" customHeight="1">
      <x:c r="A135" s="9" t="str">
        <x:f>IF(AND('Definitions'!A135&lt;&gt;"",'Definitions'!C135="Part"),'Definitions'!A135,"")</x:f>
      </x:c>
      <x:c r="B135" s="9" t="str">
        <x:f>IF(A135="","",'Definitions'!B135)</x:f>
      </x:c>
      <x:c r="C135" s="9" t="str">
        <x:f>IF(A135="","",'Definitions'!F135)</x:f>
      </x:c>
      <x:c r="D135" s="11" t="str">
        <x:f>IF(A135="","",SUMIFS('Layout'!$K$8:$K$207,'Layout'!$G$8:$G$207,A135,'Layout'!$L$8:$L$207,"Build"))</x:f>
      </x:c>
      <x:c r="E135" s="11" t="str">
        <x:f>IF(A135="","",SUMIFS('Layout'!$K$8:$K$207,'Layout'!$G$8:$G$207,A135,'Layout'!$L$8:$L$207,"Spares"))</x:f>
      </x:c>
      <x:c r="F135" s="11" t="str">
        <x:f>IF(A135="","",SUM(D135:E135))</x:f>
      </x:c>
      <x:c r="G135" s="11" t="str">
        <x:f>IF(A135="","",'Definitions'!I135+SUMIFS('Assets'!$J$8:$J$207,'Assets'!$B$8:$B$207,A135))</x:f>
      </x:c>
      <x:c r="H135" s="11" t="str">
        <x:f>IF(A135="","",SUMIFS('Orders'!$I$8:$I$207,'Orders'!$D$8:$D$207,A135))</x:f>
      </x:c>
      <x:c r="I135" s="11" t="str">
        <x:f>IF(A135="","",SUMIFS('Orders'!$J$8:$J$207,'Orders'!$D$8:$D$207,A135))</x:f>
      </x:c>
      <x:c r="J135" s="11" t="str">
        <x:f>IF(A135="","",MAX(0,F135-G135))</x:f>
      </x:c>
      <x:c r="K135" s="11" t="str">
        <x:f>IF(A135="","",MAX(0,F135-G135-H135))</x:f>
      </x:c>
      <x:c r="L135" s="11" t="str">
        <x:f>IF(A135="","",'Definitions'!H135)</x:f>
      </x:c>
      <x:c r="M135" s="11" t="str">
        <x:f>IF(A135="","",IF(AND(ISNUMBER(L135),L135&gt;0),ROUNDUP(K135/L135,0),"Set pack size"))</x:f>
      </x:c>
      <x:c r="N135" s="11" t="str">
        <x:f>IF(A135="","",SUMIFS('Shipments'!$H$8:$H$207,'Shipments'!$F$8:$F$207,A135,'Shipments'!$C$8:$C$207,"Outbound"))</x:f>
      </x:c>
      <x:c r="O135" s="11" t="str">
        <x:f>IF(A135="","",MAX(0,F135-N135))</x:f>
      </x:c>
    </x:row>
    <x:row r="136" ht="22" customHeight="1">
      <x:c r="A136" s="9" t="str">
        <x:f>IF(AND('Definitions'!A136&lt;&gt;"",'Definitions'!C136="Part"),'Definitions'!A136,"")</x:f>
      </x:c>
      <x:c r="B136" s="9" t="str">
        <x:f>IF(A136="","",'Definitions'!B136)</x:f>
      </x:c>
      <x:c r="C136" s="9" t="str">
        <x:f>IF(A136="","",'Definitions'!F136)</x:f>
      </x:c>
      <x:c r="D136" s="11" t="str">
        <x:f>IF(A136="","",SUMIFS('Layout'!$K$8:$K$207,'Layout'!$G$8:$G$207,A136,'Layout'!$L$8:$L$207,"Build"))</x:f>
      </x:c>
      <x:c r="E136" s="11" t="str">
        <x:f>IF(A136="","",SUMIFS('Layout'!$K$8:$K$207,'Layout'!$G$8:$G$207,A136,'Layout'!$L$8:$L$207,"Spares"))</x:f>
      </x:c>
      <x:c r="F136" s="11" t="str">
        <x:f>IF(A136="","",SUM(D136:E136))</x:f>
      </x:c>
      <x:c r="G136" s="11" t="str">
        <x:f>IF(A136="","",'Definitions'!I136+SUMIFS('Assets'!$J$8:$J$207,'Assets'!$B$8:$B$207,A136))</x:f>
      </x:c>
      <x:c r="H136" s="11" t="str">
        <x:f>IF(A136="","",SUMIFS('Orders'!$I$8:$I$207,'Orders'!$D$8:$D$207,A136))</x:f>
      </x:c>
      <x:c r="I136" s="11" t="str">
        <x:f>IF(A136="","",SUMIFS('Orders'!$J$8:$J$207,'Orders'!$D$8:$D$207,A136))</x:f>
      </x:c>
      <x:c r="J136" s="11" t="str">
        <x:f>IF(A136="","",MAX(0,F136-G136))</x:f>
      </x:c>
      <x:c r="K136" s="11" t="str">
        <x:f>IF(A136="","",MAX(0,F136-G136-H136))</x:f>
      </x:c>
      <x:c r="L136" s="11" t="str">
        <x:f>IF(A136="","",'Definitions'!H136)</x:f>
      </x:c>
      <x:c r="M136" s="11" t="str">
        <x:f>IF(A136="","",IF(AND(ISNUMBER(L136),L136&gt;0),ROUNDUP(K136/L136,0),"Set pack size"))</x:f>
      </x:c>
      <x:c r="N136" s="11" t="str">
        <x:f>IF(A136="","",SUMIFS('Shipments'!$H$8:$H$207,'Shipments'!$F$8:$F$207,A136,'Shipments'!$C$8:$C$207,"Outbound"))</x:f>
      </x:c>
      <x:c r="O136" s="11" t="str">
        <x:f>IF(A136="","",MAX(0,F136-N136))</x:f>
      </x:c>
    </x:row>
    <x:row r="137" ht="22" customHeight="1">
      <x:c r="A137" s="9" t="str">
        <x:f>IF(AND('Definitions'!A137&lt;&gt;"",'Definitions'!C137="Part"),'Definitions'!A137,"")</x:f>
      </x:c>
      <x:c r="B137" s="9" t="str">
        <x:f>IF(A137="","",'Definitions'!B137)</x:f>
      </x:c>
      <x:c r="C137" s="9" t="str">
        <x:f>IF(A137="","",'Definitions'!F137)</x:f>
      </x:c>
      <x:c r="D137" s="11" t="str">
        <x:f>IF(A137="","",SUMIFS('Layout'!$K$8:$K$207,'Layout'!$G$8:$G$207,A137,'Layout'!$L$8:$L$207,"Build"))</x:f>
      </x:c>
      <x:c r="E137" s="11" t="str">
        <x:f>IF(A137="","",SUMIFS('Layout'!$K$8:$K$207,'Layout'!$G$8:$G$207,A137,'Layout'!$L$8:$L$207,"Spares"))</x:f>
      </x:c>
      <x:c r="F137" s="11" t="str">
        <x:f>IF(A137="","",SUM(D137:E137))</x:f>
      </x:c>
      <x:c r="G137" s="11" t="str">
        <x:f>IF(A137="","",'Definitions'!I137+SUMIFS('Assets'!$J$8:$J$207,'Assets'!$B$8:$B$207,A137))</x:f>
      </x:c>
      <x:c r="H137" s="11" t="str">
        <x:f>IF(A137="","",SUMIFS('Orders'!$I$8:$I$207,'Orders'!$D$8:$D$207,A137))</x:f>
      </x:c>
      <x:c r="I137" s="11" t="str">
        <x:f>IF(A137="","",SUMIFS('Orders'!$J$8:$J$207,'Orders'!$D$8:$D$207,A137))</x:f>
      </x:c>
      <x:c r="J137" s="11" t="str">
        <x:f>IF(A137="","",MAX(0,F137-G137))</x:f>
      </x:c>
      <x:c r="K137" s="11" t="str">
        <x:f>IF(A137="","",MAX(0,F137-G137-H137))</x:f>
      </x:c>
      <x:c r="L137" s="11" t="str">
        <x:f>IF(A137="","",'Definitions'!H137)</x:f>
      </x:c>
      <x:c r="M137" s="11" t="str">
        <x:f>IF(A137="","",IF(AND(ISNUMBER(L137),L137&gt;0),ROUNDUP(K137/L137,0),"Set pack size"))</x:f>
      </x:c>
      <x:c r="N137" s="11" t="str">
        <x:f>IF(A137="","",SUMIFS('Shipments'!$H$8:$H$207,'Shipments'!$F$8:$F$207,A137,'Shipments'!$C$8:$C$207,"Outbound"))</x:f>
      </x:c>
      <x:c r="O137" s="11" t="str">
        <x:f>IF(A137="","",MAX(0,F137-N137))</x:f>
      </x:c>
    </x:row>
    <x:row r="138" ht="22" customHeight="1">
      <x:c r="A138" s="9" t="str">
        <x:f>IF(AND('Definitions'!A138&lt;&gt;"",'Definitions'!C138="Part"),'Definitions'!A138,"")</x:f>
      </x:c>
      <x:c r="B138" s="9" t="str">
        <x:f>IF(A138="","",'Definitions'!B138)</x:f>
      </x:c>
      <x:c r="C138" s="9" t="str">
        <x:f>IF(A138="","",'Definitions'!F138)</x:f>
      </x:c>
      <x:c r="D138" s="11" t="str">
        <x:f>IF(A138="","",SUMIFS('Layout'!$K$8:$K$207,'Layout'!$G$8:$G$207,A138,'Layout'!$L$8:$L$207,"Build"))</x:f>
      </x:c>
      <x:c r="E138" s="11" t="str">
        <x:f>IF(A138="","",SUMIFS('Layout'!$K$8:$K$207,'Layout'!$G$8:$G$207,A138,'Layout'!$L$8:$L$207,"Spares"))</x:f>
      </x:c>
      <x:c r="F138" s="11" t="str">
        <x:f>IF(A138="","",SUM(D138:E138))</x:f>
      </x:c>
      <x:c r="G138" s="11" t="str">
        <x:f>IF(A138="","",'Definitions'!I138+SUMIFS('Assets'!$J$8:$J$207,'Assets'!$B$8:$B$207,A138))</x:f>
      </x:c>
      <x:c r="H138" s="11" t="str">
        <x:f>IF(A138="","",SUMIFS('Orders'!$I$8:$I$207,'Orders'!$D$8:$D$207,A138))</x:f>
      </x:c>
      <x:c r="I138" s="11" t="str">
        <x:f>IF(A138="","",SUMIFS('Orders'!$J$8:$J$207,'Orders'!$D$8:$D$207,A138))</x:f>
      </x:c>
      <x:c r="J138" s="11" t="str">
        <x:f>IF(A138="","",MAX(0,F138-G138))</x:f>
      </x:c>
      <x:c r="K138" s="11" t="str">
        <x:f>IF(A138="","",MAX(0,F138-G138-H138))</x:f>
      </x:c>
      <x:c r="L138" s="11" t="str">
        <x:f>IF(A138="","",'Definitions'!H138)</x:f>
      </x:c>
      <x:c r="M138" s="11" t="str">
        <x:f>IF(A138="","",IF(AND(ISNUMBER(L138),L138&gt;0),ROUNDUP(K138/L138,0),"Set pack size"))</x:f>
      </x:c>
      <x:c r="N138" s="11" t="str">
        <x:f>IF(A138="","",SUMIFS('Shipments'!$H$8:$H$207,'Shipments'!$F$8:$F$207,A138,'Shipments'!$C$8:$C$207,"Outbound"))</x:f>
      </x:c>
      <x:c r="O138" s="11" t="str">
        <x:f>IF(A138="","",MAX(0,F138-N138))</x:f>
      </x:c>
    </x:row>
    <x:row r="139" ht="22" customHeight="1">
      <x:c r="A139" s="9" t="str">
        <x:f>IF(AND('Definitions'!A139&lt;&gt;"",'Definitions'!C139="Part"),'Definitions'!A139,"")</x:f>
      </x:c>
      <x:c r="B139" s="9" t="str">
        <x:f>IF(A139="","",'Definitions'!B139)</x:f>
      </x:c>
      <x:c r="C139" s="9" t="str">
        <x:f>IF(A139="","",'Definitions'!F139)</x:f>
      </x:c>
      <x:c r="D139" s="11" t="str">
        <x:f>IF(A139="","",SUMIFS('Layout'!$K$8:$K$207,'Layout'!$G$8:$G$207,A139,'Layout'!$L$8:$L$207,"Build"))</x:f>
      </x:c>
      <x:c r="E139" s="11" t="str">
        <x:f>IF(A139="","",SUMIFS('Layout'!$K$8:$K$207,'Layout'!$G$8:$G$207,A139,'Layout'!$L$8:$L$207,"Spares"))</x:f>
      </x:c>
      <x:c r="F139" s="11" t="str">
        <x:f>IF(A139="","",SUM(D139:E139))</x:f>
      </x:c>
      <x:c r="G139" s="11" t="str">
        <x:f>IF(A139="","",'Definitions'!I139+SUMIFS('Assets'!$J$8:$J$207,'Assets'!$B$8:$B$207,A139))</x:f>
      </x:c>
      <x:c r="H139" s="11" t="str">
        <x:f>IF(A139="","",SUMIFS('Orders'!$I$8:$I$207,'Orders'!$D$8:$D$207,A139))</x:f>
      </x:c>
      <x:c r="I139" s="11" t="str">
        <x:f>IF(A139="","",SUMIFS('Orders'!$J$8:$J$207,'Orders'!$D$8:$D$207,A139))</x:f>
      </x:c>
      <x:c r="J139" s="11" t="str">
        <x:f>IF(A139="","",MAX(0,F139-G139))</x:f>
      </x:c>
      <x:c r="K139" s="11" t="str">
        <x:f>IF(A139="","",MAX(0,F139-G139-H139))</x:f>
      </x:c>
      <x:c r="L139" s="11" t="str">
        <x:f>IF(A139="","",'Definitions'!H139)</x:f>
      </x:c>
      <x:c r="M139" s="11" t="str">
        <x:f>IF(A139="","",IF(AND(ISNUMBER(L139),L139&gt;0),ROUNDUP(K139/L139,0),"Set pack size"))</x:f>
      </x:c>
      <x:c r="N139" s="11" t="str">
        <x:f>IF(A139="","",SUMIFS('Shipments'!$H$8:$H$207,'Shipments'!$F$8:$F$207,A139,'Shipments'!$C$8:$C$207,"Outbound"))</x:f>
      </x:c>
      <x:c r="O139" s="11" t="str">
        <x:f>IF(A139="","",MAX(0,F139-N139))</x:f>
      </x:c>
    </x:row>
    <x:row r="140" ht="22" customHeight="1">
      <x:c r="A140" s="9" t="str">
        <x:f>IF(AND('Definitions'!A140&lt;&gt;"",'Definitions'!C140="Part"),'Definitions'!A140,"")</x:f>
      </x:c>
      <x:c r="B140" s="9" t="str">
        <x:f>IF(A140="","",'Definitions'!B140)</x:f>
      </x:c>
      <x:c r="C140" s="9" t="str">
        <x:f>IF(A140="","",'Definitions'!F140)</x:f>
      </x:c>
      <x:c r="D140" s="11" t="str">
        <x:f>IF(A140="","",SUMIFS('Layout'!$K$8:$K$207,'Layout'!$G$8:$G$207,A140,'Layout'!$L$8:$L$207,"Build"))</x:f>
      </x:c>
      <x:c r="E140" s="11" t="str">
        <x:f>IF(A140="","",SUMIFS('Layout'!$K$8:$K$207,'Layout'!$G$8:$G$207,A140,'Layout'!$L$8:$L$207,"Spares"))</x:f>
      </x:c>
      <x:c r="F140" s="11" t="str">
        <x:f>IF(A140="","",SUM(D140:E140))</x:f>
      </x:c>
      <x:c r="G140" s="11" t="str">
        <x:f>IF(A140="","",'Definitions'!I140+SUMIFS('Assets'!$J$8:$J$207,'Assets'!$B$8:$B$207,A140))</x:f>
      </x:c>
      <x:c r="H140" s="11" t="str">
        <x:f>IF(A140="","",SUMIFS('Orders'!$I$8:$I$207,'Orders'!$D$8:$D$207,A140))</x:f>
      </x:c>
      <x:c r="I140" s="11" t="str">
        <x:f>IF(A140="","",SUMIFS('Orders'!$J$8:$J$207,'Orders'!$D$8:$D$207,A140))</x:f>
      </x:c>
      <x:c r="J140" s="11" t="str">
        <x:f>IF(A140="","",MAX(0,F140-G140))</x:f>
      </x:c>
      <x:c r="K140" s="11" t="str">
        <x:f>IF(A140="","",MAX(0,F140-G140-H140))</x:f>
      </x:c>
      <x:c r="L140" s="11" t="str">
        <x:f>IF(A140="","",'Definitions'!H140)</x:f>
      </x:c>
      <x:c r="M140" s="11" t="str">
        <x:f>IF(A140="","",IF(AND(ISNUMBER(L140),L140&gt;0),ROUNDUP(K140/L140,0),"Set pack size"))</x:f>
      </x:c>
      <x:c r="N140" s="11" t="str">
        <x:f>IF(A140="","",SUMIFS('Shipments'!$H$8:$H$207,'Shipments'!$F$8:$F$207,A140,'Shipments'!$C$8:$C$207,"Outbound"))</x:f>
      </x:c>
      <x:c r="O140" s="11" t="str">
        <x:f>IF(A140="","",MAX(0,F140-N140))</x:f>
      </x:c>
    </x:row>
    <x:row r="141" ht="22" customHeight="1">
      <x:c r="A141" s="9" t="str">
        <x:f>IF(AND('Definitions'!A141&lt;&gt;"",'Definitions'!C141="Part"),'Definitions'!A141,"")</x:f>
      </x:c>
      <x:c r="B141" s="9" t="str">
        <x:f>IF(A141="","",'Definitions'!B141)</x:f>
      </x:c>
      <x:c r="C141" s="9" t="str">
        <x:f>IF(A141="","",'Definitions'!F141)</x:f>
      </x:c>
      <x:c r="D141" s="11" t="str">
        <x:f>IF(A141="","",SUMIFS('Layout'!$K$8:$K$207,'Layout'!$G$8:$G$207,A141,'Layout'!$L$8:$L$207,"Build"))</x:f>
      </x:c>
      <x:c r="E141" s="11" t="str">
        <x:f>IF(A141="","",SUMIFS('Layout'!$K$8:$K$207,'Layout'!$G$8:$G$207,A141,'Layout'!$L$8:$L$207,"Spares"))</x:f>
      </x:c>
      <x:c r="F141" s="11" t="str">
        <x:f>IF(A141="","",SUM(D141:E141))</x:f>
      </x:c>
      <x:c r="G141" s="11" t="str">
        <x:f>IF(A141="","",'Definitions'!I141+SUMIFS('Assets'!$J$8:$J$207,'Assets'!$B$8:$B$207,A141))</x:f>
      </x:c>
      <x:c r="H141" s="11" t="str">
        <x:f>IF(A141="","",SUMIFS('Orders'!$I$8:$I$207,'Orders'!$D$8:$D$207,A141))</x:f>
      </x:c>
      <x:c r="I141" s="11" t="str">
        <x:f>IF(A141="","",SUMIFS('Orders'!$J$8:$J$207,'Orders'!$D$8:$D$207,A141))</x:f>
      </x:c>
      <x:c r="J141" s="11" t="str">
        <x:f>IF(A141="","",MAX(0,F141-G141))</x:f>
      </x:c>
      <x:c r="K141" s="11" t="str">
        <x:f>IF(A141="","",MAX(0,F141-G141-H141))</x:f>
      </x:c>
      <x:c r="L141" s="11" t="str">
        <x:f>IF(A141="","",'Definitions'!H141)</x:f>
      </x:c>
      <x:c r="M141" s="11" t="str">
        <x:f>IF(A141="","",IF(AND(ISNUMBER(L141),L141&gt;0),ROUNDUP(K141/L141,0),"Set pack size"))</x:f>
      </x:c>
      <x:c r="N141" s="11" t="str">
        <x:f>IF(A141="","",SUMIFS('Shipments'!$H$8:$H$207,'Shipments'!$F$8:$F$207,A141,'Shipments'!$C$8:$C$207,"Outbound"))</x:f>
      </x:c>
      <x:c r="O141" s="11" t="str">
        <x:f>IF(A141="","",MAX(0,F141-N141))</x:f>
      </x:c>
    </x:row>
    <x:row r="142" ht="22" customHeight="1">
      <x:c r="A142" s="9" t="str">
        <x:f>IF(AND('Definitions'!A142&lt;&gt;"",'Definitions'!C142="Part"),'Definitions'!A142,"")</x:f>
      </x:c>
      <x:c r="B142" s="9" t="str">
        <x:f>IF(A142="","",'Definitions'!B142)</x:f>
      </x:c>
      <x:c r="C142" s="9" t="str">
        <x:f>IF(A142="","",'Definitions'!F142)</x:f>
      </x:c>
      <x:c r="D142" s="11" t="str">
        <x:f>IF(A142="","",SUMIFS('Layout'!$K$8:$K$207,'Layout'!$G$8:$G$207,A142,'Layout'!$L$8:$L$207,"Build"))</x:f>
      </x:c>
      <x:c r="E142" s="11" t="str">
        <x:f>IF(A142="","",SUMIFS('Layout'!$K$8:$K$207,'Layout'!$G$8:$G$207,A142,'Layout'!$L$8:$L$207,"Spares"))</x:f>
      </x:c>
      <x:c r="F142" s="11" t="str">
        <x:f>IF(A142="","",SUM(D142:E142))</x:f>
      </x:c>
      <x:c r="G142" s="11" t="str">
        <x:f>IF(A142="","",'Definitions'!I142+SUMIFS('Assets'!$J$8:$J$207,'Assets'!$B$8:$B$207,A142))</x:f>
      </x:c>
      <x:c r="H142" s="11" t="str">
        <x:f>IF(A142="","",SUMIFS('Orders'!$I$8:$I$207,'Orders'!$D$8:$D$207,A142))</x:f>
      </x:c>
      <x:c r="I142" s="11" t="str">
        <x:f>IF(A142="","",SUMIFS('Orders'!$J$8:$J$207,'Orders'!$D$8:$D$207,A142))</x:f>
      </x:c>
      <x:c r="J142" s="11" t="str">
        <x:f>IF(A142="","",MAX(0,F142-G142))</x:f>
      </x:c>
      <x:c r="K142" s="11" t="str">
        <x:f>IF(A142="","",MAX(0,F142-G142-H142))</x:f>
      </x:c>
      <x:c r="L142" s="11" t="str">
        <x:f>IF(A142="","",'Definitions'!H142)</x:f>
      </x:c>
      <x:c r="M142" s="11" t="str">
        <x:f>IF(A142="","",IF(AND(ISNUMBER(L142),L142&gt;0),ROUNDUP(K142/L142,0),"Set pack size"))</x:f>
      </x:c>
      <x:c r="N142" s="11" t="str">
        <x:f>IF(A142="","",SUMIFS('Shipments'!$H$8:$H$207,'Shipments'!$F$8:$F$207,A142,'Shipments'!$C$8:$C$207,"Outbound"))</x:f>
      </x:c>
      <x:c r="O142" s="11" t="str">
        <x:f>IF(A142="","",MAX(0,F142-N142))</x:f>
      </x:c>
    </x:row>
    <x:row r="143" ht="22" customHeight="1">
      <x:c r="A143" s="9" t="str">
        <x:f>IF(AND('Definitions'!A143&lt;&gt;"",'Definitions'!C143="Part"),'Definitions'!A143,"")</x:f>
      </x:c>
      <x:c r="B143" s="9" t="str">
        <x:f>IF(A143="","",'Definitions'!B143)</x:f>
      </x:c>
      <x:c r="C143" s="9" t="str">
        <x:f>IF(A143="","",'Definitions'!F143)</x:f>
      </x:c>
      <x:c r="D143" s="11" t="str">
        <x:f>IF(A143="","",SUMIFS('Layout'!$K$8:$K$207,'Layout'!$G$8:$G$207,A143,'Layout'!$L$8:$L$207,"Build"))</x:f>
      </x:c>
      <x:c r="E143" s="11" t="str">
        <x:f>IF(A143="","",SUMIFS('Layout'!$K$8:$K$207,'Layout'!$G$8:$G$207,A143,'Layout'!$L$8:$L$207,"Spares"))</x:f>
      </x:c>
      <x:c r="F143" s="11" t="str">
        <x:f>IF(A143="","",SUM(D143:E143))</x:f>
      </x:c>
      <x:c r="G143" s="11" t="str">
        <x:f>IF(A143="","",'Definitions'!I143+SUMIFS('Assets'!$J$8:$J$207,'Assets'!$B$8:$B$207,A143))</x:f>
      </x:c>
      <x:c r="H143" s="11" t="str">
        <x:f>IF(A143="","",SUMIFS('Orders'!$I$8:$I$207,'Orders'!$D$8:$D$207,A143))</x:f>
      </x:c>
      <x:c r="I143" s="11" t="str">
        <x:f>IF(A143="","",SUMIFS('Orders'!$J$8:$J$207,'Orders'!$D$8:$D$207,A143))</x:f>
      </x:c>
      <x:c r="J143" s="11" t="str">
        <x:f>IF(A143="","",MAX(0,F143-G143))</x:f>
      </x:c>
      <x:c r="K143" s="11" t="str">
        <x:f>IF(A143="","",MAX(0,F143-G143-H143))</x:f>
      </x:c>
      <x:c r="L143" s="11" t="str">
        <x:f>IF(A143="","",'Definitions'!H143)</x:f>
      </x:c>
      <x:c r="M143" s="11" t="str">
        <x:f>IF(A143="","",IF(AND(ISNUMBER(L143),L143&gt;0),ROUNDUP(K143/L143,0),"Set pack size"))</x:f>
      </x:c>
      <x:c r="N143" s="11" t="str">
        <x:f>IF(A143="","",SUMIFS('Shipments'!$H$8:$H$207,'Shipments'!$F$8:$F$207,A143,'Shipments'!$C$8:$C$207,"Outbound"))</x:f>
      </x:c>
      <x:c r="O143" s="11" t="str">
        <x:f>IF(A143="","",MAX(0,F143-N143))</x:f>
      </x:c>
    </x:row>
    <x:row r="144" ht="22" customHeight="1">
      <x:c r="A144" s="9" t="str">
        <x:f>IF(AND('Definitions'!A144&lt;&gt;"",'Definitions'!C144="Part"),'Definitions'!A144,"")</x:f>
      </x:c>
      <x:c r="B144" s="9" t="str">
        <x:f>IF(A144="","",'Definitions'!B144)</x:f>
      </x:c>
      <x:c r="C144" s="9" t="str">
        <x:f>IF(A144="","",'Definitions'!F144)</x:f>
      </x:c>
      <x:c r="D144" s="11" t="str">
        <x:f>IF(A144="","",SUMIFS('Layout'!$K$8:$K$207,'Layout'!$G$8:$G$207,A144,'Layout'!$L$8:$L$207,"Build"))</x:f>
      </x:c>
      <x:c r="E144" s="11" t="str">
        <x:f>IF(A144="","",SUMIFS('Layout'!$K$8:$K$207,'Layout'!$G$8:$G$207,A144,'Layout'!$L$8:$L$207,"Spares"))</x:f>
      </x:c>
      <x:c r="F144" s="11" t="str">
        <x:f>IF(A144="","",SUM(D144:E144))</x:f>
      </x:c>
      <x:c r="G144" s="11" t="str">
        <x:f>IF(A144="","",'Definitions'!I144+SUMIFS('Assets'!$J$8:$J$207,'Assets'!$B$8:$B$207,A144))</x:f>
      </x:c>
      <x:c r="H144" s="11" t="str">
        <x:f>IF(A144="","",SUMIFS('Orders'!$I$8:$I$207,'Orders'!$D$8:$D$207,A144))</x:f>
      </x:c>
      <x:c r="I144" s="11" t="str">
        <x:f>IF(A144="","",SUMIFS('Orders'!$J$8:$J$207,'Orders'!$D$8:$D$207,A144))</x:f>
      </x:c>
      <x:c r="J144" s="11" t="str">
        <x:f>IF(A144="","",MAX(0,F144-G144))</x:f>
      </x:c>
      <x:c r="K144" s="11" t="str">
        <x:f>IF(A144="","",MAX(0,F144-G144-H144))</x:f>
      </x:c>
      <x:c r="L144" s="11" t="str">
        <x:f>IF(A144="","",'Definitions'!H144)</x:f>
      </x:c>
      <x:c r="M144" s="11" t="str">
        <x:f>IF(A144="","",IF(AND(ISNUMBER(L144),L144&gt;0),ROUNDUP(K144/L144,0),"Set pack size"))</x:f>
      </x:c>
      <x:c r="N144" s="11" t="str">
        <x:f>IF(A144="","",SUMIFS('Shipments'!$H$8:$H$207,'Shipments'!$F$8:$F$207,A144,'Shipments'!$C$8:$C$207,"Outbound"))</x:f>
      </x:c>
      <x:c r="O144" s="11" t="str">
        <x:f>IF(A144="","",MAX(0,F144-N144))</x:f>
      </x:c>
    </x:row>
    <x:row r="145" ht="22" customHeight="1">
      <x:c r="A145" s="9" t="str">
        <x:f>IF(AND('Definitions'!A145&lt;&gt;"",'Definitions'!C145="Part"),'Definitions'!A145,"")</x:f>
      </x:c>
      <x:c r="B145" s="9" t="str">
        <x:f>IF(A145="","",'Definitions'!B145)</x:f>
      </x:c>
      <x:c r="C145" s="9" t="str">
        <x:f>IF(A145="","",'Definitions'!F145)</x:f>
      </x:c>
      <x:c r="D145" s="11" t="str">
        <x:f>IF(A145="","",SUMIFS('Layout'!$K$8:$K$207,'Layout'!$G$8:$G$207,A145,'Layout'!$L$8:$L$207,"Build"))</x:f>
      </x:c>
      <x:c r="E145" s="11" t="str">
        <x:f>IF(A145="","",SUMIFS('Layout'!$K$8:$K$207,'Layout'!$G$8:$G$207,A145,'Layout'!$L$8:$L$207,"Spares"))</x:f>
      </x:c>
      <x:c r="F145" s="11" t="str">
        <x:f>IF(A145="","",SUM(D145:E145))</x:f>
      </x:c>
      <x:c r="G145" s="11" t="str">
        <x:f>IF(A145="","",'Definitions'!I145+SUMIFS('Assets'!$J$8:$J$207,'Assets'!$B$8:$B$207,A145))</x:f>
      </x:c>
      <x:c r="H145" s="11" t="str">
        <x:f>IF(A145="","",SUMIFS('Orders'!$I$8:$I$207,'Orders'!$D$8:$D$207,A145))</x:f>
      </x:c>
      <x:c r="I145" s="11" t="str">
        <x:f>IF(A145="","",SUMIFS('Orders'!$J$8:$J$207,'Orders'!$D$8:$D$207,A145))</x:f>
      </x:c>
      <x:c r="J145" s="11" t="str">
        <x:f>IF(A145="","",MAX(0,F145-G145))</x:f>
      </x:c>
      <x:c r="K145" s="11" t="str">
        <x:f>IF(A145="","",MAX(0,F145-G145-H145))</x:f>
      </x:c>
      <x:c r="L145" s="11" t="str">
        <x:f>IF(A145="","",'Definitions'!H145)</x:f>
      </x:c>
      <x:c r="M145" s="11" t="str">
        <x:f>IF(A145="","",IF(AND(ISNUMBER(L145),L145&gt;0),ROUNDUP(K145/L145,0),"Set pack size"))</x:f>
      </x:c>
      <x:c r="N145" s="11" t="str">
        <x:f>IF(A145="","",SUMIFS('Shipments'!$H$8:$H$207,'Shipments'!$F$8:$F$207,A145,'Shipments'!$C$8:$C$207,"Outbound"))</x:f>
      </x:c>
      <x:c r="O145" s="11" t="str">
        <x:f>IF(A145="","",MAX(0,F145-N145))</x:f>
      </x:c>
    </x:row>
    <x:row r="146" ht="22" customHeight="1">
      <x:c r="A146" s="9" t="str">
        <x:f>IF(AND('Definitions'!A146&lt;&gt;"",'Definitions'!C146="Part"),'Definitions'!A146,"")</x:f>
      </x:c>
      <x:c r="B146" s="9" t="str">
        <x:f>IF(A146="","",'Definitions'!B146)</x:f>
      </x:c>
      <x:c r="C146" s="9" t="str">
        <x:f>IF(A146="","",'Definitions'!F146)</x:f>
      </x:c>
      <x:c r="D146" s="11" t="str">
        <x:f>IF(A146="","",SUMIFS('Layout'!$K$8:$K$207,'Layout'!$G$8:$G$207,A146,'Layout'!$L$8:$L$207,"Build"))</x:f>
      </x:c>
      <x:c r="E146" s="11" t="str">
        <x:f>IF(A146="","",SUMIFS('Layout'!$K$8:$K$207,'Layout'!$G$8:$G$207,A146,'Layout'!$L$8:$L$207,"Spares"))</x:f>
      </x:c>
      <x:c r="F146" s="11" t="str">
        <x:f>IF(A146="","",SUM(D146:E146))</x:f>
      </x:c>
      <x:c r="G146" s="11" t="str">
        <x:f>IF(A146="","",'Definitions'!I146+SUMIFS('Assets'!$J$8:$J$207,'Assets'!$B$8:$B$207,A146))</x:f>
      </x:c>
      <x:c r="H146" s="11" t="str">
        <x:f>IF(A146="","",SUMIFS('Orders'!$I$8:$I$207,'Orders'!$D$8:$D$207,A146))</x:f>
      </x:c>
      <x:c r="I146" s="11" t="str">
        <x:f>IF(A146="","",SUMIFS('Orders'!$J$8:$J$207,'Orders'!$D$8:$D$207,A146))</x:f>
      </x:c>
      <x:c r="J146" s="11" t="str">
        <x:f>IF(A146="","",MAX(0,F146-G146))</x:f>
      </x:c>
      <x:c r="K146" s="11" t="str">
        <x:f>IF(A146="","",MAX(0,F146-G146-H146))</x:f>
      </x:c>
      <x:c r="L146" s="11" t="str">
        <x:f>IF(A146="","",'Definitions'!H146)</x:f>
      </x:c>
      <x:c r="M146" s="11" t="str">
        <x:f>IF(A146="","",IF(AND(ISNUMBER(L146),L146&gt;0),ROUNDUP(K146/L146,0),"Set pack size"))</x:f>
      </x:c>
      <x:c r="N146" s="11" t="str">
        <x:f>IF(A146="","",SUMIFS('Shipments'!$H$8:$H$207,'Shipments'!$F$8:$F$207,A146,'Shipments'!$C$8:$C$207,"Outbound"))</x:f>
      </x:c>
      <x:c r="O146" s="11" t="str">
        <x:f>IF(A146="","",MAX(0,F146-N146))</x:f>
      </x:c>
    </x:row>
    <x:row r="147" ht="22" customHeight="1">
      <x:c r="A147" s="9" t="str">
        <x:f>IF(AND('Definitions'!A147&lt;&gt;"",'Definitions'!C147="Part"),'Definitions'!A147,"")</x:f>
      </x:c>
      <x:c r="B147" s="9" t="str">
        <x:f>IF(A147="","",'Definitions'!B147)</x:f>
      </x:c>
      <x:c r="C147" s="9" t="str">
        <x:f>IF(A147="","",'Definitions'!F147)</x:f>
      </x:c>
      <x:c r="D147" s="11" t="str">
        <x:f>IF(A147="","",SUMIFS('Layout'!$K$8:$K$207,'Layout'!$G$8:$G$207,A147,'Layout'!$L$8:$L$207,"Build"))</x:f>
      </x:c>
      <x:c r="E147" s="11" t="str">
        <x:f>IF(A147="","",SUMIFS('Layout'!$K$8:$K$207,'Layout'!$G$8:$G$207,A147,'Layout'!$L$8:$L$207,"Spares"))</x:f>
      </x:c>
      <x:c r="F147" s="11" t="str">
        <x:f>IF(A147="","",SUM(D147:E147))</x:f>
      </x:c>
      <x:c r="G147" s="11" t="str">
        <x:f>IF(A147="","",'Definitions'!I147+SUMIFS('Assets'!$J$8:$J$207,'Assets'!$B$8:$B$207,A147))</x:f>
      </x:c>
      <x:c r="H147" s="11" t="str">
        <x:f>IF(A147="","",SUMIFS('Orders'!$I$8:$I$207,'Orders'!$D$8:$D$207,A147))</x:f>
      </x:c>
      <x:c r="I147" s="11" t="str">
        <x:f>IF(A147="","",SUMIFS('Orders'!$J$8:$J$207,'Orders'!$D$8:$D$207,A147))</x:f>
      </x:c>
      <x:c r="J147" s="11" t="str">
        <x:f>IF(A147="","",MAX(0,F147-G147))</x:f>
      </x:c>
      <x:c r="K147" s="11" t="str">
        <x:f>IF(A147="","",MAX(0,F147-G147-H147))</x:f>
      </x:c>
      <x:c r="L147" s="11" t="str">
        <x:f>IF(A147="","",'Definitions'!H147)</x:f>
      </x:c>
      <x:c r="M147" s="11" t="str">
        <x:f>IF(A147="","",IF(AND(ISNUMBER(L147),L147&gt;0),ROUNDUP(K147/L147,0),"Set pack size"))</x:f>
      </x:c>
      <x:c r="N147" s="11" t="str">
        <x:f>IF(A147="","",SUMIFS('Shipments'!$H$8:$H$207,'Shipments'!$F$8:$F$207,A147,'Shipments'!$C$8:$C$207,"Outbound"))</x:f>
      </x:c>
      <x:c r="O147" s="11" t="str">
        <x:f>IF(A147="","",MAX(0,F147-N147))</x:f>
      </x:c>
    </x:row>
    <x:row r="148" ht="22" customHeight="1">
      <x:c r="A148" s="9" t="str">
        <x:f>IF(AND('Definitions'!A148&lt;&gt;"",'Definitions'!C148="Part"),'Definitions'!A148,"")</x:f>
      </x:c>
      <x:c r="B148" s="9" t="str">
        <x:f>IF(A148="","",'Definitions'!B148)</x:f>
      </x:c>
      <x:c r="C148" s="9" t="str">
        <x:f>IF(A148="","",'Definitions'!F148)</x:f>
      </x:c>
      <x:c r="D148" s="11" t="str">
        <x:f>IF(A148="","",SUMIFS('Layout'!$K$8:$K$207,'Layout'!$G$8:$G$207,A148,'Layout'!$L$8:$L$207,"Build"))</x:f>
      </x:c>
      <x:c r="E148" s="11" t="str">
        <x:f>IF(A148="","",SUMIFS('Layout'!$K$8:$K$207,'Layout'!$G$8:$G$207,A148,'Layout'!$L$8:$L$207,"Spares"))</x:f>
      </x:c>
      <x:c r="F148" s="11" t="str">
        <x:f>IF(A148="","",SUM(D148:E148))</x:f>
      </x:c>
      <x:c r="G148" s="11" t="str">
        <x:f>IF(A148="","",'Definitions'!I148+SUMIFS('Assets'!$J$8:$J$207,'Assets'!$B$8:$B$207,A148))</x:f>
      </x:c>
      <x:c r="H148" s="11" t="str">
        <x:f>IF(A148="","",SUMIFS('Orders'!$I$8:$I$207,'Orders'!$D$8:$D$207,A148))</x:f>
      </x:c>
      <x:c r="I148" s="11" t="str">
        <x:f>IF(A148="","",SUMIFS('Orders'!$J$8:$J$207,'Orders'!$D$8:$D$207,A148))</x:f>
      </x:c>
      <x:c r="J148" s="11" t="str">
        <x:f>IF(A148="","",MAX(0,F148-G148))</x:f>
      </x:c>
      <x:c r="K148" s="11" t="str">
        <x:f>IF(A148="","",MAX(0,F148-G148-H148))</x:f>
      </x:c>
      <x:c r="L148" s="11" t="str">
        <x:f>IF(A148="","",'Definitions'!H148)</x:f>
      </x:c>
      <x:c r="M148" s="11" t="str">
        <x:f>IF(A148="","",IF(AND(ISNUMBER(L148),L148&gt;0),ROUNDUP(K148/L148,0),"Set pack size"))</x:f>
      </x:c>
      <x:c r="N148" s="11" t="str">
        <x:f>IF(A148="","",SUMIFS('Shipments'!$H$8:$H$207,'Shipments'!$F$8:$F$207,A148,'Shipments'!$C$8:$C$207,"Outbound"))</x:f>
      </x:c>
      <x:c r="O148" s="11" t="str">
        <x:f>IF(A148="","",MAX(0,F148-N148))</x:f>
      </x:c>
    </x:row>
    <x:row r="149" ht="22" customHeight="1">
      <x:c r="A149" s="9" t="str">
        <x:f>IF(AND('Definitions'!A149&lt;&gt;"",'Definitions'!C149="Part"),'Definitions'!A149,"")</x:f>
      </x:c>
      <x:c r="B149" s="9" t="str">
        <x:f>IF(A149="","",'Definitions'!B149)</x:f>
      </x:c>
      <x:c r="C149" s="9" t="str">
        <x:f>IF(A149="","",'Definitions'!F149)</x:f>
      </x:c>
      <x:c r="D149" s="11" t="str">
        <x:f>IF(A149="","",SUMIFS('Layout'!$K$8:$K$207,'Layout'!$G$8:$G$207,A149,'Layout'!$L$8:$L$207,"Build"))</x:f>
      </x:c>
      <x:c r="E149" s="11" t="str">
        <x:f>IF(A149="","",SUMIFS('Layout'!$K$8:$K$207,'Layout'!$G$8:$G$207,A149,'Layout'!$L$8:$L$207,"Spares"))</x:f>
      </x:c>
      <x:c r="F149" s="11" t="str">
        <x:f>IF(A149="","",SUM(D149:E149))</x:f>
      </x:c>
      <x:c r="G149" s="11" t="str">
        <x:f>IF(A149="","",'Definitions'!I149+SUMIFS('Assets'!$J$8:$J$207,'Assets'!$B$8:$B$207,A149))</x:f>
      </x:c>
      <x:c r="H149" s="11" t="str">
        <x:f>IF(A149="","",SUMIFS('Orders'!$I$8:$I$207,'Orders'!$D$8:$D$207,A149))</x:f>
      </x:c>
      <x:c r="I149" s="11" t="str">
        <x:f>IF(A149="","",SUMIFS('Orders'!$J$8:$J$207,'Orders'!$D$8:$D$207,A149))</x:f>
      </x:c>
      <x:c r="J149" s="11" t="str">
        <x:f>IF(A149="","",MAX(0,F149-G149))</x:f>
      </x:c>
      <x:c r="K149" s="11" t="str">
        <x:f>IF(A149="","",MAX(0,F149-G149-H149))</x:f>
      </x:c>
      <x:c r="L149" s="11" t="str">
        <x:f>IF(A149="","",'Definitions'!H149)</x:f>
      </x:c>
      <x:c r="M149" s="11" t="str">
        <x:f>IF(A149="","",IF(AND(ISNUMBER(L149),L149&gt;0),ROUNDUP(K149/L149,0),"Set pack size"))</x:f>
      </x:c>
      <x:c r="N149" s="11" t="str">
        <x:f>IF(A149="","",SUMIFS('Shipments'!$H$8:$H$207,'Shipments'!$F$8:$F$207,A149,'Shipments'!$C$8:$C$207,"Outbound"))</x:f>
      </x:c>
      <x:c r="O149" s="11" t="str">
        <x:f>IF(A149="","",MAX(0,F149-N149))</x:f>
      </x:c>
    </x:row>
    <x:row r="150" ht="22" customHeight="1">
      <x:c r="A150" s="9" t="str">
        <x:f>IF(AND('Definitions'!A150&lt;&gt;"",'Definitions'!C150="Part"),'Definitions'!A150,"")</x:f>
      </x:c>
      <x:c r="B150" s="9" t="str">
        <x:f>IF(A150="","",'Definitions'!B150)</x:f>
      </x:c>
      <x:c r="C150" s="9" t="str">
        <x:f>IF(A150="","",'Definitions'!F150)</x:f>
      </x:c>
      <x:c r="D150" s="11" t="str">
        <x:f>IF(A150="","",SUMIFS('Layout'!$K$8:$K$207,'Layout'!$G$8:$G$207,A150,'Layout'!$L$8:$L$207,"Build"))</x:f>
      </x:c>
      <x:c r="E150" s="11" t="str">
        <x:f>IF(A150="","",SUMIFS('Layout'!$K$8:$K$207,'Layout'!$G$8:$G$207,A150,'Layout'!$L$8:$L$207,"Spares"))</x:f>
      </x:c>
      <x:c r="F150" s="11" t="str">
        <x:f>IF(A150="","",SUM(D150:E150))</x:f>
      </x:c>
      <x:c r="G150" s="11" t="str">
        <x:f>IF(A150="","",'Definitions'!I150+SUMIFS('Assets'!$J$8:$J$207,'Assets'!$B$8:$B$207,A150))</x:f>
      </x:c>
      <x:c r="H150" s="11" t="str">
        <x:f>IF(A150="","",SUMIFS('Orders'!$I$8:$I$207,'Orders'!$D$8:$D$207,A150))</x:f>
      </x:c>
      <x:c r="I150" s="11" t="str">
        <x:f>IF(A150="","",SUMIFS('Orders'!$J$8:$J$207,'Orders'!$D$8:$D$207,A150))</x:f>
      </x:c>
      <x:c r="J150" s="11" t="str">
        <x:f>IF(A150="","",MAX(0,F150-G150))</x:f>
      </x:c>
      <x:c r="K150" s="11" t="str">
        <x:f>IF(A150="","",MAX(0,F150-G150-H150))</x:f>
      </x:c>
      <x:c r="L150" s="11" t="str">
        <x:f>IF(A150="","",'Definitions'!H150)</x:f>
      </x:c>
      <x:c r="M150" s="11" t="str">
        <x:f>IF(A150="","",IF(AND(ISNUMBER(L150),L150&gt;0),ROUNDUP(K150/L150,0),"Set pack size"))</x:f>
      </x:c>
      <x:c r="N150" s="11" t="str">
        <x:f>IF(A150="","",SUMIFS('Shipments'!$H$8:$H$207,'Shipments'!$F$8:$F$207,A150,'Shipments'!$C$8:$C$207,"Outbound"))</x:f>
      </x:c>
      <x:c r="O150" s="11" t="str">
        <x:f>IF(A150="","",MAX(0,F150-N150))</x:f>
      </x:c>
    </x:row>
    <x:row r="151" ht="22" customHeight="1">
      <x:c r="A151" s="9" t="str">
        <x:f>IF(AND('Definitions'!A151&lt;&gt;"",'Definitions'!C151="Part"),'Definitions'!A151,"")</x:f>
      </x:c>
      <x:c r="B151" s="9" t="str">
        <x:f>IF(A151="","",'Definitions'!B151)</x:f>
      </x:c>
      <x:c r="C151" s="9" t="str">
        <x:f>IF(A151="","",'Definitions'!F151)</x:f>
      </x:c>
      <x:c r="D151" s="11" t="str">
        <x:f>IF(A151="","",SUMIFS('Layout'!$K$8:$K$207,'Layout'!$G$8:$G$207,A151,'Layout'!$L$8:$L$207,"Build"))</x:f>
      </x:c>
      <x:c r="E151" s="11" t="str">
        <x:f>IF(A151="","",SUMIFS('Layout'!$K$8:$K$207,'Layout'!$G$8:$G$207,A151,'Layout'!$L$8:$L$207,"Spares"))</x:f>
      </x:c>
      <x:c r="F151" s="11" t="str">
        <x:f>IF(A151="","",SUM(D151:E151))</x:f>
      </x:c>
      <x:c r="G151" s="11" t="str">
        <x:f>IF(A151="","",'Definitions'!I151+SUMIFS('Assets'!$J$8:$J$207,'Assets'!$B$8:$B$207,A151))</x:f>
      </x:c>
      <x:c r="H151" s="11" t="str">
        <x:f>IF(A151="","",SUMIFS('Orders'!$I$8:$I$207,'Orders'!$D$8:$D$207,A151))</x:f>
      </x:c>
      <x:c r="I151" s="11" t="str">
        <x:f>IF(A151="","",SUMIFS('Orders'!$J$8:$J$207,'Orders'!$D$8:$D$207,A151))</x:f>
      </x:c>
      <x:c r="J151" s="11" t="str">
        <x:f>IF(A151="","",MAX(0,F151-G151))</x:f>
      </x:c>
      <x:c r="K151" s="11" t="str">
        <x:f>IF(A151="","",MAX(0,F151-G151-H151))</x:f>
      </x:c>
      <x:c r="L151" s="11" t="str">
        <x:f>IF(A151="","",'Definitions'!H151)</x:f>
      </x:c>
      <x:c r="M151" s="11" t="str">
        <x:f>IF(A151="","",IF(AND(ISNUMBER(L151),L151&gt;0),ROUNDUP(K151/L151,0),"Set pack size"))</x:f>
      </x:c>
      <x:c r="N151" s="11" t="str">
        <x:f>IF(A151="","",SUMIFS('Shipments'!$H$8:$H$207,'Shipments'!$F$8:$F$207,A151,'Shipments'!$C$8:$C$207,"Outbound"))</x:f>
      </x:c>
      <x:c r="O151" s="11" t="str">
        <x:f>IF(A151="","",MAX(0,F151-N151))</x:f>
      </x:c>
    </x:row>
    <x:row r="152" ht="22" customHeight="1">
      <x:c r="A152" s="9" t="str">
        <x:f>IF(AND('Definitions'!A152&lt;&gt;"",'Definitions'!C152="Part"),'Definitions'!A152,"")</x:f>
      </x:c>
      <x:c r="B152" s="9" t="str">
        <x:f>IF(A152="","",'Definitions'!B152)</x:f>
      </x:c>
      <x:c r="C152" s="9" t="str">
        <x:f>IF(A152="","",'Definitions'!F152)</x:f>
      </x:c>
      <x:c r="D152" s="11" t="str">
        <x:f>IF(A152="","",SUMIFS('Layout'!$K$8:$K$207,'Layout'!$G$8:$G$207,A152,'Layout'!$L$8:$L$207,"Build"))</x:f>
      </x:c>
      <x:c r="E152" s="11" t="str">
        <x:f>IF(A152="","",SUMIFS('Layout'!$K$8:$K$207,'Layout'!$G$8:$G$207,A152,'Layout'!$L$8:$L$207,"Spares"))</x:f>
      </x:c>
      <x:c r="F152" s="11" t="str">
        <x:f>IF(A152="","",SUM(D152:E152))</x:f>
      </x:c>
      <x:c r="G152" s="11" t="str">
        <x:f>IF(A152="","",'Definitions'!I152+SUMIFS('Assets'!$J$8:$J$207,'Assets'!$B$8:$B$207,A152))</x:f>
      </x:c>
      <x:c r="H152" s="11" t="str">
        <x:f>IF(A152="","",SUMIFS('Orders'!$I$8:$I$207,'Orders'!$D$8:$D$207,A152))</x:f>
      </x:c>
      <x:c r="I152" s="11" t="str">
        <x:f>IF(A152="","",SUMIFS('Orders'!$J$8:$J$207,'Orders'!$D$8:$D$207,A152))</x:f>
      </x:c>
      <x:c r="J152" s="11" t="str">
        <x:f>IF(A152="","",MAX(0,F152-G152))</x:f>
      </x:c>
      <x:c r="K152" s="11" t="str">
        <x:f>IF(A152="","",MAX(0,F152-G152-H152))</x:f>
      </x:c>
      <x:c r="L152" s="11" t="str">
        <x:f>IF(A152="","",'Definitions'!H152)</x:f>
      </x:c>
      <x:c r="M152" s="11" t="str">
        <x:f>IF(A152="","",IF(AND(ISNUMBER(L152),L152&gt;0),ROUNDUP(K152/L152,0),"Set pack size"))</x:f>
      </x:c>
      <x:c r="N152" s="11" t="str">
        <x:f>IF(A152="","",SUMIFS('Shipments'!$H$8:$H$207,'Shipments'!$F$8:$F$207,A152,'Shipments'!$C$8:$C$207,"Outbound"))</x:f>
      </x:c>
      <x:c r="O152" s="11" t="str">
        <x:f>IF(A152="","",MAX(0,F152-N152))</x:f>
      </x:c>
    </x:row>
    <x:row r="153" ht="22" customHeight="1">
      <x:c r="A153" s="9" t="str">
        <x:f>IF(AND('Definitions'!A153&lt;&gt;"",'Definitions'!C153="Part"),'Definitions'!A153,"")</x:f>
      </x:c>
      <x:c r="B153" s="9" t="str">
        <x:f>IF(A153="","",'Definitions'!B153)</x:f>
      </x:c>
      <x:c r="C153" s="9" t="str">
        <x:f>IF(A153="","",'Definitions'!F153)</x:f>
      </x:c>
      <x:c r="D153" s="11" t="str">
        <x:f>IF(A153="","",SUMIFS('Layout'!$K$8:$K$207,'Layout'!$G$8:$G$207,A153,'Layout'!$L$8:$L$207,"Build"))</x:f>
      </x:c>
      <x:c r="E153" s="11" t="str">
        <x:f>IF(A153="","",SUMIFS('Layout'!$K$8:$K$207,'Layout'!$G$8:$G$207,A153,'Layout'!$L$8:$L$207,"Spares"))</x:f>
      </x:c>
      <x:c r="F153" s="11" t="str">
        <x:f>IF(A153="","",SUM(D153:E153))</x:f>
      </x:c>
      <x:c r="G153" s="11" t="str">
        <x:f>IF(A153="","",'Definitions'!I153+SUMIFS('Assets'!$J$8:$J$207,'Assets'!$B$8:$B$207,A153))</x:f>
      </x:c>
      <x:c r="H153" s="11" t="str">
        <x:f>IF(A153="","",SUMIFS('Orders'!$I$8:$I$207,'Orders'!$D$8:$D$207,A153))</x:f>
      </x:c>
      <x:c r="I153" s="11" t="str">
        <x:f>IF(A153="","",SUMIFS('Orders'!$J$8:$J$207,'Orders'!$D$8:$D$207,A153))</x:f>
      </x:c>
      <x:c r="J153" s="11" t="str">
        <x:f>IF(A153="","",MAX(0,F153-G153))</x:f>
      </x:c>
      <x:c r="K153" s="11" t="str">
        <x:f>IF(A153="","",MAX(0,F153-G153-H153))</x:f>
      </x:c>
      <x:c r="L153" s="11" t="str">
        <x:f>IF(A153="","",'Definitions'!H153)</x:f>
      </x:c>
      <x:c r="M153" s="11" t="str">
        <x:f>IF(A153="","",IF(AND(ISNUMBER(L153),L153&gt;0),ROUNDUP(K153/L153,0),"Set pack size"))</x:f>
      </x:c>
      <x:c r="N153" s="11" t="str">
        <x:f>IF(A153="","",SUMIFS('Shipments'!$H$8:$H$207,'Shipments'!$F$8:$F$207,A153,'Shipments'!$C$8:$C$207,"Outbound"))</x:f>
      </x:c>
      <x:c r="O153" s="11" t="str">
        <x:f>IF(A153="","",MAX(0,F153-N153))</x:f>
      </x:c>
    </x:row>
    <x:row r="154" ht="22" customHeight="1">
      <x:c r="A154" s="9" t="str">
        <x:f>IF(AND('Definitions'!A154&lt;&gt;"",'Definitions'!C154="Part"),'Definitions'!A154,"")</x:f>
      </x:c>
      <x:c r="B154" s="9" t="str">
        <x:f>IF(A154="","",'Definitions'!B154)</x:f>
      </x:c>
      <x:c r="C154" s="9" t="str">
        <x:f>IF(A154="","",'Definitions'!F154)</x:f>
      </x:c>
      <x:c r="D154" s="11" t="str">
        <x:f>IF(A154="","",SUMIFS('Layout'!$K$8:$K$207,'Layout'!$G$8:$G$207,A154,'Layout'!$L$8:$L$207,"Build"))</x:f>
      </x:c>
      <x:c r="E154" s="11" t="str">
        <x:f>IF(A154="","",SUMIFS('Layout'!$K$8:$K$207,'Layout'!$G$8:$G$207,A154,'Layout'!$L$8:$L$207,"Spares"))</x:f>
      </x:c>
      <x:c r="F154" s="11" t="str">
        <x:f>IF(A154="","",SUM(D154:E154))</x:f>
      </x:c>
      <x:c r="G154" s="11" t="str">
        <x:f>IF(A154="","",'Definitions'!I154+SUMIFS('Assets'!$J$8:$J$207,'Assets'!$B$8:$B$207,A154))</x:f>
      </x:c>
      <x:c r="H154" s="11" t="str">
        <x:f>IF(A154="","",SUMIFS('Orders'!$I$8:$I$207,'Orders'!$D$8:$D$207,A154))</x:f>
      </x:c>
      <x:c r="I154" s="11" t="str">
        <x:f>IF(A154="","",SUMIFS('Orders'!$J$8:$J$207,'Orders'!$D$8:$D$207,A154))</x:f>
      </x:c>
      <x:c r="J154" s="11" t="str">
        <x:f>IF(A154="","",MAX(0,F154-G154))</x:f>
      </x:c>
      <x:c r="K154" s="11" t="str">
        <x:f>IF(A154="","",MAX(0,F154-G154-H154))</x:f>
      </x:c>
      <x:c r="L154" s="11" t="str">
        <x:f>IF(A154="","",'Definitions'!H154)</x:f>
      </x:c>
      <x:c r="M154" s="11" t="str">
        <x:f>IF(A154="","",IF(AND(ISNUMBER(L154),L154&gt;0),ROUNDUP(K154/L154,0),"Set pack size"))</x:f>
      </x:c>
      <x:c r="N154" s="11" t="str">
        <x:f>IF(A154="","",SUMIFS('Shipments'!$H$8:$H$207,'Shipments'!$F$8:$F$207,A154,'Shipments'!$C$8:$C$207,"Outbound"))</x:f>
      </x:c>
      <x:c r="O154" s="11" t="str">
        <x:f>IF(A154="","",MAX(0,F154-N154))</x:f>
      </x:c>
    </x:row>
    <x:row r="155" ht="22" customHeight="1">
      <x:c r="A155" s="9" t="str">
        <x:f>IF(AND('Definitions'!A155&lt;&gt;"",'Definitions'!C155="Part"),'Definitions'!A155,"")</x:f>
      </x:c>
      <x:c r="B155" s="9" t="str">
        <x:f>IF(A155="","",'Definitions'!B155)</x:f>
      </x:c>
      <x:c r="C155" s="9" t="str">
        <x:f>IF(A155="","",'Definitions'!F155)</x:f>
      </x:c>
      <x:c r="D155" s="11" t="str">
        <x:f>IF(A155="","",SUMIFS('Layout'!$K$8:$K$207,'Layout'!$G$8:$G$207,A155,'Layout'!$L$8:$L$207,"Build"))</x:f>
      </x:c>
      <x:c r="E155" s="11" t="str">
        <x:f>IF(A155="","",SUMIFS('Layout'!$K$8:$K$207,'Layout'!$G$8:$G$207,A155,'Layout'!$L$8:$L$207,"Spares"))</x:f>
      </x:c>
      <x:c r="F155" s="11" t="str">
        <x:f>IF(A155="","",SUM(D155:E155))</x:f>
      </x:c>
      <x:c r="G155" s="11" t="str">
        <x:f>IF(A155="","",'Definitions'!I155+SUMIFS('Assets'!$J$8:$J$207,'Assets'!$B$8:$B$207,A155))</x:f>
      </x:c>
      <x:c r="H155" s="11" t="str">
        <x:f>IF(A155="","",SUMIFS('Orders'!$I$8:$I$207,'Orders'!$D$8:$D$207,A155))</x:f>
      </x:c>
      <x:c r="I155" s="11" t="str">
        <x:f>IF(A155="","",SUMIFS('Orders'!$J$8:$J$207,'Orders'!$D$8:$D$207,A155))</x:f>
      </x:c>
      <x:c r="J155" s="11" t="str">
        <x:f>IF(A155="","",MAX(0,F155-G155))</x:f>
      </x:c>
      <x:c r="K155" s="11" t="str">
        <x:f>IF(A155="","",MAX(0,F155-G155-H155))</x:f>
      </x:c>
      <x:c r="L155" s="11" t="str">
        <x:f>IF(A155="","",'Definitions'!H155)</x:f>
      </x:c>
      <x:c r="M155" s="11" t="str">
        <x:f>IF(A155="","",IF(AND(ISNUMBER(L155),L155&gt;0),ROUNDUP(K155/L155,0),"Set pack size"))</x:f>
      </x:c>
      <x:c r="N155" s="11" t="str">
        <x:f>IF(A155="","",SUMIFS('Shipments'!$H$8:$H$207,'Shipments'!$F$8:$F$207,A155,'Shipments'!$C$8:$C$207,"Outbound"))</x:f>
      </x:c>
      <x:c r="O155" s="11" t="str">
        <x:f>IF(A155="","",MAX(0,F155-N155))</x:f>
      </x:c>
    </x:row>
    <x:row r="156" ht="22" customHeight="1">
      <x:c r="A156" s="9" t="str">
        <x:f>IF(AND('Definitions'!A156&lt;&gt;"",'Definitions'!C156="Part"),'Definitions'!A156,"")</x:f>
      </x:c>
      <x:c r="B156" s="9" t="str">
        <x:f>IF(A156="","",'Definitions'!B156)</x:f>
      </x:c>
      <x:c r="C156" s="9" t="str">
        <x:f>IF(A156="","",'Definitions'!F156)</x:f>
      </x:c>
      <x:c r="D156" s="11" t="str">
        <x:f>IF(A156="","",SUMIFS('Layout'!$K$8:$K$207,'Layout'!$G$8:$G$207,A156,'Layout'!$L$8:$L$207,"Build"))</x:f>
      </x:c>
      <x:c r="E156" s="11" t="str">
        <x:f>IF(A156="","",SUMIFS('Layout'!$K$8:$K$207,'Layout'!$G$8:$G$207,A156,'Layout'!$L$8:$L$207,"Spares"))</x:f>
      </x:c>
      <x:c r="F156" s="11" t="str">
        <x:f>IF(A156="","",SUM(D156:E156))</x:f>
      </x:c>
      <x:c r="G156" s="11" t="str">
        <x:f>IF(A156="","",'Definitions'!I156+SUMIFS('Assets'!$J$8:$J$207,'Assets'!$B$8:$B$207,A156))</x:f>
      </x:c>
      <x:c r="H156" s="11" t="str">
        <x:f>IF(A156="","",SUMIFS('Orders'!$I$8:$I$207,'Orders'!$D$8:$D$207,A156))</x:f>
      </x:c>
      <x:c r="I156" s="11" t="str">
        <x:f>IF(A156="","",SUMIFS('Orders'!$J$8:$J$207,'Orders'!$D$8:$D$207,A156))</x:f>
      </x:c>
      <x:c r="J156" s="11" t="str">
        <x:f>IF(A156="","",MAX(0,F156-G156))</x:f>
      </x:c>
      <x:c r="K156" s="11" t="str">
        <x:f>IF(A156="","",MAX(0,F156-G156-H156))</x:f>
      </x:c>
      <x:c r="L156" s="11" t="str">
        <x:f>IF(A156="","",'Definitions'!H156)</x:f>
      </x:c>
      <x:c r="M156" s="11" t="str">
        <x:f>IF(A156="","",IF(AND(ISNUMBER(L156),L156&gt;0),ROUNDUP(K156/L156,0),"Set pack size"))</x:f>
      </x:c>
      <x:c r="N156" s="11" t="str">
        <x:f>IF(A156="","",SUMIFS('Shipments'!$H$8:$H$207,'Shipments'!$F$8:$F$207,A156,'Shipments'!$C$8:$C$207,"Outbound"))</x:f>
      </x:c>
      <x:c r="O156" s="11" t="str">
        <x:f>IF(A156="","",MAX(0,F156-N156))</x:f>
      </x:c>
    </x:row>
    <x:row r="157" ht="22" customHeight="1">
      <x:c r="A157" s="9" t="str">
        <x:f>IF(AND('Definitions'!A157&lt;&gt;"",'Definitions'!C157="Part"),'Definitions'!A157,"")</x:f>
      </x:c>
      <x:c r="B157" s="9" t="str">
        <x:f>IF(A157="","",'Definitions'!B157)</x:f>
      </x:c>
      <x:c r="C157" s="9" t="str">
        <x:f>IF(A157="","",'Definitions'!F157)</x:f>
      </x:c>
      <x:c r="D157" s="11" t="str">
        <x:f>IF(A157="","",SUMIFS('Layout'!$K$8:$K$207,'Layout'!$G$8:$G$207,A157,'Layout'!$L$8:$L$207,"Build"))</x:f>
      </x:c>
      <x:c r="E157" s="11" t="str">
        <x:f>IF(A157="","",SUMIFS('Layout'!$K$8:$K$207,'Layout'!$G$8:$G$207,A157,'Layout'!$L$8:$L$207,"Spares"))</x:f>
      </x:c>
      <x:c r="F157" s="11" t="str">
        <x:f>IF(A157="","",SUM(D157:E157))</x:f>
      </x:c>
      <x:c r="G157" s="11" t="str">
        <x:f>IF(A157="","",'Definitions'!I157+SUMIFS('Assets'!$J$8:$J$207,'Assets'!$B$8:$B$207,A157))</x:f>
      </x:c>
      <x:c r="H157" s="11" t="str">
        <x:f>IF(A157="","",SUMIFS('Orders'!$I$8:$I$207,'Orders'!$D$8:$D$207,A157))</x:f>
      </x:c>
      <x:c r="I157" s="11" t="str">
        <x:f>IF(A157="","",SUMIFS('Orders'!$J$8:$J$207,'Orders'!$D$8:$D$207,A157))</x:f>
      </x:c>
      <x:c r="J157" s="11" t="str">
        <x:f>IF(A157="","",MAX(0,F157-G157))</x:f>
      </x:c>
      <x:c r="K157" s="11" t="str">
        <x:f>IF(A157="","",MAX(0,F157-G157-H157))</x:f>
      </x:c>
      <x:c r="L157" s="11" t="str">
        <x:f>IF(A157="","",'Definitions'!H157)</x:f>
      </x:c>
      <x:c r="M157" s="11" t="str">
        <x:f>IF(A157="","",IF(AND(ISNUMBER(L157),L157&gt;0),ROUNDUP(K157/L157,0),"Set pack size"))</x:f>
      </x:c>
      <x:c r="N157" s="11" t="str">
        <x:f>IF(A157="","",SUMIFS('Shipments'!$H$8:$H$207,'Shipments'!$F$8:$F$207,A157,'Shipments'!$C$8:$C$207,"Outbound"))</x:f>
      </x:c>
      <x:c r="O157" s="11" t="str">
        <x:f>IF(A157="","",MAX(0,F157-N157))</x:f>
      </x:c>
    </x:row>
    <x:row r="158" ht="22" customHeight="1">
      <x:c r="A158" s="9" t="str">
        <x:f>IF(AND('Definitions'!A158&lt;&gt;"",'Definitions'!C158="Part"),'Definitions'!A158,"")</x:f>
      </x:c>
      <x:c r="B158" s="9" t="str">
        <x:f>IF(A158="","",'Definitions'!B158)</x:f>
      </x:c>
      <x:c r="C158" s="9" t="str">
        <x:f>IF(A158="","",'Definitions'!F158)</x:f>
      </x:c>
      <x:c r="D158" s="11" t="str">
        <x:f>IF(A158="","",SUMIFS('Layout'!$K$8:$K$207,'Layout'!$G$8:$G$207,A158,'Layout'!$L$8:$L$207,"Build"))</x:f>
      </x:c>
      <x:c r="E158" s="11" t="str">
        <x:f>IF(A158="","",SUMIFS('Layout'!$K$8:$K$207,'Layout'!$G$8:$G$207,A158,'Layout'!$L$8:$L$207,"Spares"))</x:f>
      </x:c>
      <x:c r="F158" s="11" t="str">
        <x:f>IF(A158="","",SUM(D158:E158))</x:f>
      </x:c>
      <x:c r="G158" s="11" t="str">
        <x:f>IF(A158="","",'Definitions'!I158+SUMIFS('Assets'!$J$8:$J$207,'Assets'!$B$8:$B$207,A158))</x:f>
      </x:c>
      <x:c r="H158" s="11" t="str">
        <x:f>IF(A158="","",SUMIFS('Orders'!$I$8:$I$207,'Orders'!$D$8:$D$207,A158))</x:f>
      </x:c>
      <x:c r="I158" s="11" t="str">
        <x:f>IF(A158="","",SUMIFS('Orders'!$J$8:$J$207,'Orders'!$D$8:$D$207,A158))</x:f>
      </x:c>
      <x:c r="J158" s="11" t="str">
        <x:f>IF(A158="","",MAX(0,F158-G158))</x:f>
      </x:c>
      <x:c r="K158" s="11" t="str">
        <x:f>IF(A158="","",MAX(0,F158-G158-H158))</x:f>
      </x:c>
      <x:c r="L158" s="11" t="str">
        <x:f>IF(A158="","",'Definitions'!H158)</x:f>
      </x:c>
      <x:c r="M158" s="11" t="str">
        <x:f>IF(A158="","",IF(AND(ISNUMBER(L158),L158&gt;0),ROUNDUP(K158/L158,0),"Set pack size"))</x:f>
      </x:c>
      <x:c r="N158" s="11" t="str">
        <x:f>IF(A158="","",SUMIFS('Shipments'!$H$8:$H$207,'Shipments'!$F$8:$F$207,A158,'Shipments'!$C$8:$C$207,"Outbound"))</x:f>
      </x:c>
      <x:c r="O158" s="11" t="str">
        <x:f>IF(A158="","",MAX(0,F158-N158))</x:f>
      </x:c>
    </x:row>
    <x:row r="159" ht="22" customHeight="1">
      <x:c r="A159" s="9" t="str">
        <x:f>IF(AND('Definitions'!A159&lt;&gt;"",'Definitions'!C159="Part"),'Definitions'!A159,"")</x:f>
      </x:c>
      <x:c r="B159" s="9" t="str">
        <x:f>IF(A159="","",'Definitions'!B159)</x:f>
      </x:c>
      <x:c r="C159" s="9" t="str">
        <x:f>IF(A159="","",'Definitions'!F159)</x:f>
      </x:c>
      <x:c r="D159" s="11" t="str">
        <x:f>IF(A159="","",SUMIFS('Layout'!$K$8:$K$207,'Layout'!$G$8:$G$207,A159,'Layout'!$L$8:$L$207,"Build"))</x:f>
      </x:c>
      <x:c r="E159" s="11" t="str">
        <x:f>IF(A159="","",SUMIFS('Layout'!$K$8:$K$207,'Layout'!$G$8:$G$207,A159,'Layout'!$L$8:$L$207,"Spares"))</x:f>
      </x:c>
      <x:c r="F159" s="11" t="str">
        <x:f>IF(A159="","",SUM(D159:E159))</x:f>
      </x:c>
      <x:c r="G159" s="11" t="str">
        <x:f>IF(A159="","",'Definitions'!I159+SUMIFS('Assets'!$J$8:$J$207,'Assets'!$B$8:$B$207,A159))</x:f>
      </x:c>
      <x:c r="H159" s="11" t="str">
        <x:f>IF(A159="","",SUMIFS('Orders'!$I$8:$I$207,'Orders'!$D$8:$D$207,A159))</x:f>
      </x:c>
      <x:c r="I159" s="11" t="str">
        <x:f>IF(A159="","",SUMIFS('Orders'!$J$8:$J$207,'Orders'!$D$8:$D$207,A159))</x:f>
      </x:c>
      <x:c r="J159" s="11" t="str">
        <x:f>IF(A159="","",MAX(0,F159-G159))</x:f>
      </x:c>
      <x:c r="K159" s="11" t="str">
        <x:f>IF(A159="","",MAX(0,F159-G159-H159))</x:f>
      </x:c>
      <x:c r="L159" s="11" t="str">
        <x:f>IF(A159="","",'Definitions'!H159)</x:f>
      </x:c>
      <x:c r="M159" s="11" t="str">
        <x:f>IF(A159="","",IF(AND(ISNUMBER(L159),L159&gt;0),ROUNDUP(K159/L159,0),"Set pack size"))</x:f>
      </x:c>
      <x:c r="N159" s="11" t="str">
        <x:f>IF(A159="","",SUMIFS('Shipments'!$H$8:$H$207,'Shipments'!$F$8:$F$207,A159,'Shipments'!$C$8:$C$207,"Outbound"))</x:f>
      </x:c>
      <x:c r="O159" s="11" t="str">
        <x:f>IF(A159="","",MAX(0,F159-N159))</x:f>
      </x:c>
    </x:row>
    <x:row r="160" ht="22" customHeight="1">
      <x:c r="A160" s="9" t="str">
        <x:f>IF(AND('Definitions'!A160&lt;&gt;"",'Definitions'!C160="Part"),'Definitions'!A160,"")</x:f>
      </x:c>
      <x:c r="B160" s="9" t="str">
        <x:f>IF(A160="","",'Definitions'!B160)</x:f>
      </x:c>
      <x:c r="C160" s="9" t="str">
        <x:f>IF(A160="","",'Definitions'!F160)</x:f>
      </x:c>
      <x:c r="D160" s="11" t="str">
        <x:f>IF(A160="","",SUMIFS('Layout'!$K$8:$K$207,'Layout'!$G$8:$G$207,A160,'Layout'!$L$8:$L$207,"Build"))</x:f>
      </x:c>
      <x:c r="E160" s="11" t="str">
        <x:f>IF(A160="","",SUMIFS('Layout'!$K$8:$K$207,'Layout'!$G$8:$G$207,A160,'Layout'!$L$8:$L$207,"Spares"))</x:f>
      </x:c>
      <x:c r="F160" s="11" t="str">
        <x:f>IF(A160="","",SUM(D160:E160))</x:f>
      </x:c>
      <x:c r="G160" s="11" t="str">
        <x:f>IF(A160="","",'Definitions'!I160+SUMIFS('Assets'!$J$8:$J$207,'Assets'!$B$8:$B$207,A160))</x:f>
      </x:c>
      <x:c r="H160" s="11" t="str">
        <x:f>IF(A160="","",SUMIFS('Orders'!$I$8:$I$207,'Orders'!$D$8:$D$207,A160))</x:f>
      </x:c>
      <x:c r="I160" s="11" t="str">
        <x:f>IF(A160="","",SUMIFS('Orders'!$J$8:$J$207,'Orders'!$D$8:$D$207,A160))</x:f>
      </x:c>
      <x:c r="J160" s="11" t="str">
        <x:f>IF(A160="","",MAX(0,F160-G160))</x:f>
      </x:c>
      <x:c r="K160" s="11" t="str">
        <x:f>IF(A160="","",MAX(0,F160-G160-H160))</x:f>
      </x:c>
      <x:c r="L160" s="11" t="str">
        <x:f>IF(A160="","",'Definitions'!H160)</x:f>
      </x:c>
      <x:c r="M160" s="11" t="str">
        <x:f>IF(A160="","",IF(AND(ISNUMBER(L160),L160&gt;0),ROUNDUP(K160/L160,0),"Set pack size"))</x:f>
      </x:c>
      <x:c r="N160" s="11" t="str">
        <x:f>IF(A160="","",SUMIFS('Shipments'!$H$8:$H$207,'Shipments'!$F$8:$F$207,A160,'Shipments'!$C$8:$C$207,"Outbound"))</x:f>
      </x:c>
      <x:c r="O160" s="11" t="str">
        <x:f>IF(A160="","",MAX(0,F160-N160))</x:f>
      </x:c>
    </x:row>
    <x:row r="161" ht="22" customHeight="1">
      <x:c r="A161" s="9" t="str">
        <x:f>IF(AND('Definitions'!A161&lt;&gt;"",'Definitions'!C161="Part"),'Definitions'!A161,"")</x:f>
      </x:c>
      <x:c r="B161" s="9" t="str">
        <x:f>IF(A161="","",'Definitions'!B161)</x:f>
      </x:c>
      <x:c r="C161" s="9" t="str">
        <x:f>IF(A161="","",'Definitions'!F161)</x:f>
      </x:c>
      <x:c r="D161" s="11" t="str">
        <x:f>IF(A161="","",SUMIFS('Layout'!$K$8:$K$207,'Layout'!$G$8:$G$207,A161,'Layout'!$L$8:$L$207,"Build"))</x:f>
      </x:c>
      <x:c r="E161" s="11" t="str">
        <x:f>IF(A161="","",SUMIFS('Layout'!$K$8:$K$207,'Layout'!$G$8:$G$207,A161,'Layout'!$L$8:$L$207,"Spares"))</x:f>
      </x:c>
      <x:c r="F161" s="11" t="str">
        <x:f>IF(A161="","",SUM(D161:E161))</x:f>
      </x:c>
      <x:c r="G161" s="11" t="str">
        <x:f>IF(A161="","",'Definitions'!I161+SUMIFS('Assets'!$J$8:$J$207,'Assets'!$B$8:$B$207,A161))</x:f>
      </x:c>
      <x:c r="H161" s="11" t="str">
        <x:f>IF(A161="","",SUMIFS('Orders'!$I$8:$I$207,'Orders'!$D$8:$D$207,A161))</x:f>
      </x:c>
      <x:c r="I161" s="11" t="str">
        <x:f>IF(A161="","",SUMIFS('Orders'!$J$8:$J$207,'Orders'!$D$8:$D$207,A161))</x:f>
      </x:c>
      <x:c r="J161" s="11" t="str">
        <x:f>IF(A161="","",MAX(0,F161-G161))</x:f>
      </x:c>
      <x:c r="K161" s="11" t="str">
        <x:f>IF(A161="","",MAX(0,F161-G161-H161))</x:f>
      </x:c>
      <x:c r="L161" s="11" t="str">
        <x:f>IF(A161="","",'Definitions'!H161)</x:f>
      </x:c>
      <x:c r="M161" s="11" t="str">
        <x:f>IF(A161="","",IF(AND(ISNUMBER(L161),L161&gt;0),ROUNDUP(K161/L161,0),"Set pack size"))</x:f>
      </x:c>
      <x:c r="N161" s="11" t="str">
        <x:f>IF(A161="","",SUMIFS('Shipments'!$H$8:$H$207,'Shipments'!$F$8:$F$207,A161,'Shipments'!$C$8:$C$207,"Outbound"))</x:f>
      </x:c>
      <x:c r="O161" s="11" t="str">
        <x:f>IF(A161="","",MAX(0,F161-N161))</x:f>
      </x:c>
    </x:row>
    <x:row r="162" ht="22" customHeight="1">
      <x:c r="A162" s="9" t="str">
        <x:f>IF(AND('Definitions'!A162&lt;&gt;"",'Definitions'!C162="Part"),'Definitions'!A162,"")</x:f>
      </x:c>
      <x:c r="B162" s="9" t="str">
        <x:f>IF(A162="","",'Definitions'!B162)</x:f>
      </x:c>
      <x:c r="C162" s="9" t="str">
        <x:f>IF(A162="","",'Definitions'!F162)</x:f>
      </x:c>
      <x:c r="D162" s="11" t="str">
        <x:f>IF(A162="","",SUMIFS('Layout'!$K$8:$K$207,'Layout'!$G$8:$G$207,A162,'Layout'!$L$8:$L$207,"Build"))</x:f>
      </x:c>
      <x:c r="E162" s="11" t="str">
        <x:f>IF(A162="","",SUMIFS('Layout'!$K$8:$K$207,'Layout'!$G$8:$G$207,A162,'Layout'!$L$8:$L$207,"Spares"))</x:f>
      </x:c>
      <x:c r="F162" s="11" t="str">
        <x:f>IF(A162="","",SUM(D162:E162))</x:f>
      </x:c>
      <x:c r="G162" s="11" t="str">
        <x:f>IF(A162="","",'Definitions'!I162+SUMIFS('Assets'!$J$8:$J$207,'Assets'!$B$8:$B$207,A162))</x:f>
      </x:c>
      <x:c r="H162" s="11" t="str">
        <x:f>IF(A162="","",SUMIFS('Orders'!$I$8:$I$207,'Orders'!$D$8:$D$207,A162))</x:f>
      </x:c>
      <x:c r="I162" s="11" t="str">
        <x:f>IF(A162="","",SUMIFS('Orders'!$J$8:$J$207,'Orders'!$D$8:$D$207,A162))</x:f>
      </x:c>
      <x:c r="J162" s="11" t="str">
        <x:f>IF(A162="","",MAX(0,F162-G162))</x:f>
      </x:c>
      <x:c r="K162" s="11" t="str">
        <x:f>IF(A162="","",MAX(0,F162-G162-H162))</x:f>
      </x:c>
      <x:c r="L162" s="11" t="str">
        <x:f>IF(A162="","",'Definitions'!H162)</x:f>
      </x:c>
      <x:c r="M162" s="11" t="str">
        <x:f>IF(A162="","",IF(AND(ISNUMBER(L162),L162&gt;0),ROUNDUP(K162/L162,0),"Set pack size"))</x:f>
      </x:c>
      <x:c r="N162" s="11" t="str">
        <x:f>IF(A162="","",SUMIFS('Shipments'!$H$8:$H$207,'Shipments'!$F$8:$F$207,A162,'Shipments'!$C$8:$C$207,"Outbound"))</x:f>
      </x:c>
      <x:c r="O162" s="11" t="str">
        <x:f>IF(A162="","",MAX(0,F162-N162))</x:f>
      </x:c>
    </x:row>
    <x:row r="163" ht="22" customHeight="1">
      <x:c r="A163" s="9" t="str">
        <x:f>IF(AND('Definitions'!A163&lt;&gt;"",'Definitions'!C163="Part"),'Definitions'!A163,"")</x:f>
      </x:c>
      <x:c r="B163" s="9" t="str">
        <x:f>IF(A163="","",'Definitions'!B163)</x:f>
      </x:c>
      <x:c r="C163" s="9" t="str">
        <x:f>IF(A163="","",'Definitions'!F163)</x:f>
      </x:c>
      <x:c r="D163" s="11" t="str">
        <x:f>IF(A163="","",SUMIFS('Layout'!$K$8:$K$207,'Layout'!$G$8:$G$207,A163,'Layout'!$L$8:$L$207,"Build"))</x:f>
      </x:c>
      <x:c r="E163" s="11" t="str">
        <x:f>IF(A163="","",SUMIFS('Layout'!$K$8:$K$207,'Layout'!$G$8:$G$207,A163,'Layout'!$L$8:$L$207,"Spares"))</x:f>
      </x:c>
      <x:c r="F163" s="11" t="str">
        <x:f>IF(A163="","",SUM(D163:E163))</x:f>
      </x:c>
      <x:c r="G163" s="11" t="str">
        <x:f>IF(A163="","",'Definitions'!I163+SUMIFS('Assets'!$J$8:$J$207,'Assets'!$B$8:$B$207,A163))</x:f>
      </x:c>
      <x:c r="H163" s="11" t="str">
        <x:f>IF(A163="","",SUMIFS('Orders'!$I$8:$I$207,'Orders'!$D$8:$D$207,A163))</x:f>
      </x:c>
      <x:c r="I163" s="11" t="str">
        <x:f>IF(A163="","",SUMIFS('Orders'!$J$8:$J$207,'Orders'!$D$8:$D$207,A163))</x:f>
      </x:c>
      <x:c r="J163" s="11" t="str">
        <x:f>IF(A163="","",MAX(0,F163-G163))</x:f>
      </x:c>
      <x:c r="K163" s="11" t="str">
        <x:f>IF(A163="","",MAX(0,F163-G163-H163))</x:f>
      </x:c>
      <x:c r="L163" s="11" t="str">
        <x:f>IF(A163="","",'Definitions'!H163)</x:f>
      </x:c>
      <x:c r="M163" s="11" t="str">
        <x:f>IF(A163="","",IF(AND(ISNUMBER(L163),L163&gt;0),ROUNDUP(K163/L163,0),"Set pack size"))</x:f>
      </x:c>
      <x:c r="N163" s="11" t="str">
        <x:f>IF(A163="","",SUMIFS('Shipments'!$H$8:$H$207,'Shipments'!$F$8:$F$207,A163,'Shipments'!$C$8:$C$207,"Outbound"))</x:f>
      </x:c>
      <x:c r="O163" s="11" t="str">
        <x:f>IF(A163="","",MAX(0,F163-N163))</x:f>
      </x:c>
    </x:row>
    <x:row r="164" ht="22" customHeight="1">
      <x:c r="A164" s="9" t="str">
        <x:f>IF(AND('Definitions'!A164&lt;&gt;"",'Definitions'!C164="Part"),'Definitions'!A164,"")</x:f>
      </x:c>
      <x:c r="B164" s="9" t="str">
        <x:f>IF(A164="","",'Definitions'!B164)</x:f>
      </x:c>
      <x:c r="C164" s="9" t="str">
        <x:f>IF(A164="","",'Definitions'!F164)</x:f>
      </x:c>
      <x:c r="D164" s="11" t="str">
        <x:f>IF(A164="","",SUMIFS('Layout'!$K$8:$K$207,'Layout'!$G$8:$G$207,A164,'Layout'!$L$8:$L$207,"Build"))</x:f>
      </x:c>
      <x:c r="E164" s="11" t="str">
        <x:f>IF(A164="","",SUMIFS('Layout'!$K$8:$K$207,'Layout'!$G$8:$G$207,A164,'Layout'!$L$8:$L$207,"Spares"))</x:f>
      </x:c>
      <x:c r="F164" s="11" t="str">
        <x:f>IF(A164="","",SUM(D164:E164))</x:f>
      </x:c>
      <x:c r="G164" s="11" t="str">
        <x:f>IF(A164="","",'Definitions'!I164+SUMIFS('Assets'!$J$8:$J$207,'Assets'!$B$8:$B$207,A164))</x:f>
      </x:c>
      <x:c r="H164" s="11" t="str">
        <x:f>IF(A164="","",SUMIFS('Orders'!$I$8:$I$207,'Orders'!$D$8:$D$207,A164))</x:f>
      </x:c>
      <x:c r="I164" s="11" t="str">
        <x:f>IF(A164="","",SUMIFS('Orders'!$J$8:$J$207,'Orders'!$D$8:$D$207,A164))</x:f>
      </x:c>
      <x:c r="J164" s="11" t="str">
        <x:f>IF(A164="","",MAX(0,F164-G164))</x:f>
      </x:c>
      <x:c r="K164" s="11" t="str">
        <x:f>IF(A164="","",MAX(0,F164-G164-H164))</x:f>
      </x:c>
      <x:c r="L164" s="11" t="str">
        <x:f>IF(A164="","",'Definitions'!H164)</x:f>
      </x:c>
      <x:c r="M164" s="11" t="str">
        <x:f>IF(A164="","",IF(AND(ISNUMBER(L164),L164&gt;0),ROUNDUP(K164/L164,0),"Set pack size"))</x:f>
      </x:c>
      <x:c r="N164" s="11" t="str">
        <x:f>IF(A164="","",SUMIFS('Shipments'!$H$8:$H$207,'Shipments'!$F$8:$F$207,A164,'Shipments'!$C$8:$C$207,"Outbound"))</x:f>
      </x:c>
      <x:c r="O164" s="11" t="str">
        <x:f>IF(A164="","",MAX(0,F164-N164))</x:f>
      </x:c>
    </x:row>
    <x:row r="165" ht="22" customHeight="1">
      <x:c r="A165" s="9" t="str">
        <x:f>IF(AND('Definitions'!A165&lt;&gt;"",'Definitions'!C165="Part"),'Definitions'!A165,"")</x:f>
      </x:c>
      <x:c r="B165" s="9" t="str">
        <x:f>IF(A165="","",'Definitions'!B165)</x:f>
      </x:c>
      <x:c r="C165" s="9" t="str">
        <x:f>IF(A165="","",'Definitions'!F165)</x:f>
      </x:c>
      <x:c r="D165" s="11" t="str">
        <x:f>IF(A165="","",SUMIFS('Layout'!$K$8:$K$207,'Layout'!$G$8:$G$207,A165,'Layout'!$L$8:$L$207,"Build"))</x:f>
      </x:c>
      <x:c r="E165" s="11" t="str">
        <x:f>IF(A165="","",SUMIFS('Layout'!$K$8:$K$207,'Layout'!$G$8:$G$207,A165,'Layout'!$L$8:$L$207,"Spares"))</x:f>
      </x:c>
      <x:c r="F165" s="11" t="str">
        <x:f>IF(A165="","",SUM(D165:E165))</x:f>
      </x:c>
      <x:c r="G165" s="11" t="str">
        <x:f>IF(A165="","",'Definitions'!I165+SUMIFS('Assets'!$J$8:$J$207,'Assets'!$B$8:$B$207,A165))</x:f>
      </x:c>
      <x:c r="H165" s="11" t="str">
        <x:f>IF(A165="","",SUMIFS('Orders'!$I$8:$I$207,'Orders'!$D$8:$D$207,A165))</x:f>
      </x:c>
      <x:c r="I165" s="11" t="str">
        <x:f>IF(A165="","",SUMIFS('Orders'!$J$8:$J$207,'Orders'!$D$8:$D$207,A165))</x:f>
      </x:c>
      <x:c r="J165" s="11" t="str">
        <x:f>IF(A165="","",MAX(0,F165-G165))</x:f>
      </x:c>
      <x:c r="K165" s="11" t="str">
        <x:f>IF(A165="","",MAX(0,F165-G165-H165))</x:f>
      </x:c>
      <x:c r="L165" s="11" t="str">
        <x:f>IF(A165="","",'Definitions'!H165)</x:f>
      </x:c>
      <x:c r="M165" s="11" t="str">
        <x:f>IF(A165="","",IF(AND(ISNUMBER(L165),L165&gt;0),ROUNDUP(K165/L165,0),"Set pack size"))</x:f>
      </x:c>
      <x:c r="N165" s="11" t="str">
        <x:f>IF(A165="","",SUMIFS('Shipments'!$H$8:$H$207,'Shipments'!$F$8:$F$207,A165,'Shipments'!$C$8:$C$207,"Outbound"))</x:f>
      </x:c>
      <x:c r="O165" s="11" t="str">
        <x:f>IF(A165="","",MAX(0,F165-N165))</x:f>
      </x:c>
    </x:row>
    <x:row r="166" ht="22" customHeight="1">
      <x:c r="A166" s="9" t="str">
        <x:f>IF(AND('Definitions'!A166&lt;&gt;"",'Definitions'!C166="Part"),'Definitions'!A166,"")</x:f>
      </x:c>
      <x:c r="B166" s="9" t="str">
        <x:f>IF(A166="","",'Definitions'!B166)</x:f>
      </x:c>
      <x:c r="C166" s="9" t="str">
        <x:f>IF(A166="","",'Definitions'!F166)</x:f>
      </x:c>
      <x:c r="D166" s="11" t="str">
        <x:f>IF(A166="","",SUMIFS('Layout'!$K$8:$K$207,'Layout'!$G$8:$G$207,A166,'Layout'!$L$8:$L$207,"Build"))</x:f>
      </x:c>
      <x:c r="E166" s="11" t="str">
        <x:f>IF(A166="","",SUMIFS('Layout'!$K$8:$K$207,'Layout'!$G$8:$G$207,A166,'Layout'!$L$8:$L$207,"Spares"))</x:f>
      </x:c>
      <x:c r="F166" s="11" t="str">
        <x:f>IF(A166="","",SUM(D166:E166))</x:f>
      </x:c>
      <x:c r="G166" s="11" t="str">
        <x:f>IF(A166="","",'Definitions'!I166+SUMIFS('Assets'!$J$8:$J$207,'Assets'!$B$8:$B$207,A166))</x:f>
      </x:c>
      <x:c r="H166" s="11" t="str">
        <x:f>IF(A166="","",SUMIFS('Orders'!$I$8:$I$207,'Orders'!$D$8:$D$207,A166))</x:f>
      </x:c>
      <x:c r="I166" s="11" t="str">
        <x:f>IF(A166="","",SUMIFS('Orders'!$J$8:$J$207,'Orders'!$D$8:$D$207,A166))</x:f>
      </x:c>
      <x:c r="J166" s="11" t="str">
        <x:f>IF(A166="","",MAX(0,F166-G166))</x:f>
      </x:c>
      <x:c r="K166" s="11" t="str">
        <x:f>IF(A166="","",MAX(0,F166-G166-H166))</x:f>
      </x:c>
      <x:c r="L166" s="11" t="str">
        <x:f>IF(A166="","",'Definitions'!H166)</x:f>
      </x:c>
      <x:c r="M166" s="11" t="str">
        <x:f>IF(A166="","",IF(AND(ISNUMBER(L166),L166&gt;0),ROUNDUP(K166/L166,0),"Set pack size"))</x:f>
      </x:c>
      <x:c r="N166" s="11" t="str">
        <x:f>IF(A166="","",SUMIFS('Shipments'!$H$8:$H$207,'Shipments'!$F$8:$F$207,A166,'Shipments'!$C$8:$C$207,"Outbound"))</x:f>
      </x:c>
      <x:c r="O166" s="11" t="str">
        <x:f>IF(A166="","",MAX(0,F166-N166))</x:f>
      </x:c>
    </x:row>
    <x:row r="167" ht="22" customHeight="1">
      <x:c r="A167" s="9" t="str">
        <x:f>IF(AND('Definitions'!A167&lt;&gt;"",'Definitions'!C167="Part"),'Definitions'!A167,"")</x:f>
      </x:c>
      <x:c r="B167" s="9" t="str">
        <x:f>IF(A167="","",'Definitions'!B167)</x:f>
      </x:c>
      <x:c r="C167" s="9" t="str">
        <x:f>IF(A167="","",'Definitions'!F167)</x:f>
      </x:c>
      <x:c r="D167" s="11" t="str">
        <x:f>IF(A167="","",SUMIFS('Layout'!$K$8:$K$207,'Layout'!$G$8:$G$207,A167,'Layout'!$L$8:$L$207,"Build"))</x:f>
      </x:c>
      <x:c r="E167" s="11" t="str">
        <x:f>IF(A167="","",SUMIFS('Layout'!$K$8:$K$207,'Layout'!$G$8:$G$207,A167,'Layout'!$L$8:$L$207,"Spares"))</x:f>
      </x:c>
      <x:c r="F167" s="11" t="str">
        <x:f>IF(A167="","",SUM(D167:E167))</x:f>
      </x:c>
      <x:c r="G167" s="11" t="str">
        <x:f>IF(A167="","",'Definitions'!I167+SUMIFS('Assets'!$J$8:$J$207,'Assets'!$B$8:$B$207,A167))</x:f>
      </x:c>
      <x:c r="H167" s="11" t="str">
        <x:f>IF(A167="","",SUMIFS('Orders'!$I$8:$I$207,'Orders'!$D$8:$D$207,A167))</x:f>
      </x:c>
      <x:c r="I167" s="11" t="str">
        <x:f>IF(A167="","",SUMIFS('Orders'!$J$8:$J$207,'Orders'!$D$8:$D$207,A167))</x:f>
      </x:c>
      <x:c r="J167" s="11" t="str">
        <x:f>IF(A167="","",MAX(0,F167-G167))</x:f>
      </x:c>
      <x:c r="K167" s="11" t="str">
        <x:f>IF(A167="","",MAX(0,F167-G167-H167))</x:f>
      </x:c>
      <x:c r="L167" s="11" t="str">
        <x:f>IF(A167="","",'Definitions'!H167)</x:f>
      </x:c>
      <x:c r="M167" s="11" t="str">
        <x:f>IF(A167="","",IF(AND(ISNUMBER(L167),L167&gt;0),ROUNDUP(K167/L167,0),"Set pack size"))</x:f>
      </x:c>
      <x:c r="N167" s="11" t="str">
        <x:f>IF(A167="","",SUMIFS('Shipments'!$H$8:$H$207,'Shipments'!$F$8:$F$207,A167,'Shipments'!$C$8:$C$207,"Outbound"))</x:f>
      </x:c>
      <x:c r="O167" s="11" t="str">
        <x:f>IF(A167="","",MAX(0,F167-N167))</x:f>
      </x:c>
    </x:row>
    <x:row r="168" ht="22" customHeight="1">
      <x:c r="A168" s="9" t="str">
        <x:f>IF(AND('Definitions'!A168&lt;&gt;"",'Definitions'!C168="Part"),'Definitions'!A168,"")</x:f>
      </x:c>
      <x:c r="B168" s="9" t="str">
        <x:f>IF(A168="","",'Definitions'!B168)</x:f>
      </x:c>
      <x:c r="C168" s="9" t="str">
        <x:f>IF(A168="","",'Definitions'!F168)</x:f>
      </x:c>
      <x:c r="D168" s="11" t="str">
        <x:f>IF(A168="","",SUMIFS('Layout'!$K$8:$K$207,'Layout'!$G$8:$G$207,A168,'Layout'!$L$8:$L$207,"Build"))</x:f>
      </x:c>
      <x:c r="E168" s="11" t="str">
        <x:f>IF(A168="","",SUMIFS('Layout'!$K$8:$K$207,'Layout'!$G$8:$G$207,A168,'Layout'!$L$8:$L$207,"Spares"))</x:f>
      </x:c>
      <x:c r="F168" s="11" t="str">
        <x:f>IF(A168="","",SUM(D168:E168))</x:f>
      </x:c>
      <x:c r="G168" s="11" t="str">
        <x:f>IF(A168="","",'Definitions'!I168+SUMIFS('Assets'!$J$8:$J$207,'Assets'!$B$8:$B$207,A168))</x:f>
      </x:c>
      <x:c r="H168" s="11" t="str">
        <x:f>IF(A168="","",SUMIFS('Orders'!$I$8:$I$207,'Orders'!$D$8:$D$207,A168))</x:f>
      </x:c>
      <x:c r="I168" s="11" t="str">
        <x:f>IF(A168="","",SUMIFS('Orders'!$J$8:$J$207,'Orders'!$D$8:$D$207,A168))</x:f>
      </x:c>
      <x:c r="J168" s="11" t="str">
        <x:f>IF(A168="","",MAX(0,F168-G168))</x:f>
      </x:c>
      <x:c r="K168" s="11" t="str">
        <x:f>IF(A168="","",MAX(0,F168-G168-H168))</x:f>
      </x:c>
      <x:c r="L168" s="11" t="str">
        <x:f>IF(A168="","",'Definitions'!H168)</x:f>
      </x:c>
      <x:c r="M168" s="11" t="str">
        <x:f>IF(A168="","",IF(AND(ISNUMBER(L168),L168&gt;0),ROUNDUP(K168/L168,0),"Set pack size"))</x:f>
      </x:c>
      <x:c r="N168" s="11" t="str">
        <x:f>IF(A168="","",SUMIFS('Shipments'!$H$8:$H$207,'Shipments'!$F$8:$F$207,A168,'Shipments'!$C$8:$C$207,"Outbound"))</x:f>
      </x:c>
      <x:c r="O168" s="11" t="str">
        <x:f>IF(A168="","",MAX(0,F168-N168))</x:f>
      </x:c>
    </x:row>
    <x:row r="169" ht="22" customHeight="1">
      <x:c r="A169" s="9" t="str">
        <x:f>IF(AND('Definitions'!A169&lt;&gt;"",'Definitions'!C169="Part"),'Definitions'!A169,"")</x:f>
      </x:c>
      <x:c r="B169" s="9" t="str">
        <x:f>IF(A169="","",'Definitions'!B169)</x:f>
      </x:c>
      <x:c r="C169" s="9" t="str">
        <x:f>IF(A169="","",'Definitions'!F169)</x:f>
      </x:c>
      <x:c r="D169" s="11" t="str">
        <x:f>IF(A169="","",SUMIFS('Layout'!$K$8:$K$207,'Layout'!$G$8:$G$207,A169,'Layout'!$L$8:$L$207,"Build"))</x:f>
      </x:c>
      <x:c r="E169" s="11" t="str">
        <x:f>IF(A169="","",SUMIFS('Layout'!$K$8:$K$207,'Layout'!$G$8:$G$207,A169,'Layout'!$L$8:$L$207,"Spares"))</x:f>
      </x:c>
      <x:c r="F169" s="11" t="str">
        <x:f>IF(A169="","",SUM(D169:E169))</x:f>
      </x:c>
      <x:c r="G169" s="11" t="str">
        <x:f>IF(A169="","",'Definitions'!I169+SUMIFS('Assets'!$J$8:$J$207,'Assets'!$B$8:$B$207,A169))</x:f>
      </x:c>
      <x:c r="H169" s="11" t="str">
        <x:f>IF(A169="","",SUMIFS('Orders'!$I$8:$I$207,'Orders'!$D$8:$D$207,A169))</x:f>
      </x:c>
      <x:c r="I169" s="11" t="str">
        <x:f>IF(A169="","",SUMIFS('Orders'!$J$8:$J$207,'Orders'!$D$8:$D$207,A169))</x:f>
      </x:c>
      <x:c r="J169" s="11" t="str">
        <x:f>IF(A169="","",MAX(0,F169-G169))</x:f>
      </x:c>
      <x:c r="K169" s="11" t="str">
        <x:f>IF(A169="","",MAX(0,F169-G169-H169))</x:f>
      </x:c>
      <x:c r="L169" s="11" t="str">
        <x:f>IF(A169="","",'Definitions'!H169)</x:f>
      </x:c>
      <x:c r="M169" s="11" t="str">
        <x:f>IF(A169="","",IF(AND(ISNUMBER(L169),L169&gt;0),ROUNDUP(K169/L169,0),"Set pack size"))</x:f>
      </x:c>
      <x:c r="N169" s="11" t="str">
        <x:f>IF(A169="","",SUMIFS('Shipments'!$H$8:$H$207,'Shipments'!$F$8:$F$207,A169,'Shipments'!$C$8:$C$207,"Outbound"))</x:f>
      </x:c>
      <x:c r="O169" s="11" t="str">
        <x:f>IF(A169="","",MAX(0,F169-N169))</x:f>
      </x:c>
    </x:row>
    <x:row r="170" ht="22" customHeight="1">
      <x:c r="A170" s="9" t="str">
        <x:f>IF(AND('Definitions'!A170&lt;&gt;"",'Definitions'!C170="Part"),'Definitions'!A170,"")</x:f>
      </x:c>
      <x:c r="B170" s="9" t="str">
        <x:f>IF(A170="","",'Definitions'!B170)</x:f>
      </x:c>
      <x:c r="C170" s="9" t="str">
        <x:f>IF(A170="","",'Definitions'!F170)</x:f>
      </x:c>
      <x:c r="D170" s="11" t="str">
        <x:f>IF(A170="","",SUMIFS('Layout'!$K$8:$K$207,'Layout'!$G$8:$G$207,A170,'Layout'!$L$8:$L$207,"Build"))</x:f>
      </x:c>
      <x:c r="E170" s="11" t="str">
        <x:f>IF(A170="","",SUMIFS('Layout'!$K$8:$K$207,'Layout'!$G$8:$G$207,A170,'Layout'!$L$8:$L$207,"Spares"))</x:f>
      </x:c>
      <x:c r="F170" s="11" t="str">
        <x:f>IF(A170="","",SUM(D170:E170))</x:f>
      </x:c>
      <x:c r="G170" s="11" t="str">
        <x:f>IF(A170="","",'Definitions'!I170+SUMIFS('Assets'!$J$8:$J$207,'Assets'!$B$8:$B$207,A170))</x:f>
      </x:c>
      <x:c r="H170" s="11" t="str">
        <x:f>IF(A170="","",SUMIFS('Orders'!$I$8:$I$207,'Orders'!$D$8:$D$207,A170))</x:f>
      </x:c>
      <x:c r="I170" s="11" t="str">
        <x:f>IF(A170="","",SUMIFS('Orders'!$J$8:$J$207,'Orders'!$D$8:$D$207,A170))</x:f>
      </x:c>
      <x:c r="J170" s="11" t="str">
        <x:f>IF(A170="","",MAX(0,F170-G170))</x:f>
      </x:c>
      <x:c r="K170" s="11" t="str">
        <x:f>IF(A170="","",MAX(0,F170-G170-H170))</x:f>
      </x:c>
      <x:c r="L170" s="11" t="str">
        <x:f>IF(A170="","",'Definitions'!H170)</x:f>
      </x:c>
      <x:c r="M170" s="11" t="str">
        <x:f>IF(A170="","",IF(AND(ISNUMBER(L170),L170&gt;0),ROUNDUP(K170/L170,0),"Set pack size"))</x:f>
      </x:c>
      <x:c r="N170" s="11" t="str">
        <x:f>IF(A170="","",SUMIFS('Shipments'!$H$8:$H$207,'Shipments'!$F$8:$F$207,A170,'Shipments'!$C$8:$C$207,"Outbound"))</x:f>
      </x:c>
      <x:c r="O170" s="11" t="str">
        <x:f>IF(A170="","",MAX(0,F170-N170))</x:f>
      </x:c>
    </x:row>
    <x:row r="171" ht="22" customHeight="1">
      <x:c r="A171" s="9" t="str">
        <x:f>IF(AND('Definitions'!A171&lt;&gt;"",'Definitions'!C171="Part"),'Definitions'!A171,"")</x:f>
      </x:c>
      <x:c r="B171" s="9" t="str">
        <x:f>IF(A171="","",'Definitions'!B171)</x:f>
      </x:c>
      <x:c r="C171" s="9" t="str">
        <x:f>IF(A171="","",'Definitions'!F171)</x:f>
      </x:c>
      <x:c r="D171" s="11" t="str">
        <x:f>IF(A171="","",SUMIFS('Layout'!$K$8:$K$207,'Layout'!$G$8:$G$207,A171,'Layout'!$L$8:$L$207,"Build"))</x:f>
      </x:c>
      <x:c r="E171" s="11" t="str">
        <x:f>IF(A171="","",SUMIFS('Layout'!$K$8:$K$207,'Layout'!$G$8:$G$207,A171,'Layout'!$L$8:$L$207,"Spares"))</x:f>
      </x:c>
      <x:c r="F171" s="11" t="str">
        <x:f>IF(A171="","",SUM(D171:E171))</x:f>
      </x:c>
      <x:c r="G171" s="11" t="str">
        <x:f>IF(A171="","",'Definitions'!I171+SUMIFS('Assets'!$J$8:$J$207,'Assets'!$B$8:$B$207,A171))</x:f>
      </x:c>
      <x:c r="H171" s="11" t="str">
        <x:f>IF(A171="","",SUMIFS('Orders'!$I$8:$I$207,'Orders'!$D$8:$D$207,A171))</x:f>
      </x:c>
      <x:c r="I171" s="11" t="str">
        <x:f>IF(A171="","",SUMIFS('Orders'!$J$8:$J$207,'Orders'!$D$8:$D$207,A171))</x:f>
      </x:c>
      <x:c r="J171" s="11" t="str">
        <x:f>IF(A171="","",MAX(0,F171-G171))</x:f>
      </x:c>
      <x:c r="K171" s="11" t="str">
        <x:f>IF(A171="","",MAX(0,F171-G171-H171))</x:f>
      </x:c>
      <x:c r="L171" s="11" t="str">
        <x:f>IF(A171="","",'Definitions'!H171)</x:f>
      </x:c>
      <x:c r="M171" s="11" t="str">
        <x:f>IF(A171="","",IF(AND(ISNUMBER(L171),L171&gt;0),ROUNDUP(K171/L171,0),"Set pack size"))</x:f>
      </x:c>
      <x:c r="N171" s="11" t="str">
        <x:f>IF(A171="","",SUMIFS('Shipments'!$H$8:$H$207,'Shipments'!$F$8:$F$207,A171,'Shipments'!$C$8:$C$207,"Outbound"))</x:f>
      </x:c>
      <x:c r="O171" s="11" t="str">
        <x:f>IF(A171="","",MAX(0,F171-N171))</x:f>
      </x:c>
    </x:row>
    <x:row r="172" ht="22" customHeight="1">
      <x:c r="A172" s="9" t="str">
        <x:f>IF(AND('Definitions'!A172&lt;&gt;"",'Definitions'!C172="Part"),'Definitions'!A172,"")</x:f>
      </x:c>
      <x:c r="B172" s="9" t="str">
        <x:f>IF(A172="","",'Definitions'!B172)</x:f>
      </x:c>
      <x:c r="C172" s="9" t="str">
        <x:f>IF(A172="","",'Definitions'!F172)</x:f>
      </x:c>
      <x:c r="D172" s="11" t="str">
        <x:f>IF(A172="","",SUMIFS('Layout'!$K$8:$K$207,'Layout'!$G$8:$G$207,A172,'Layout'!$L$8:$L$207,"Build"))</x:f>
      </x:c>
      <x:c r="E172" s="11" t="str">
        <x:f>IF(A172="","",SUMIFS('Layout'!$K$8:$K$207,'Layout'!$G$8:$G$207,A172,'Layout'!$L$8:$L$207,"Spares"))</x:f>
      </x:c>
      <x:c r="F172" s="11" t="str">
        <x:f>IF(A172="","",SUM(D172:E172))</x:f>
      </x:c>
      <x:c r="G172" s="11" t="str">
        <x:f>IF(A172="","",'Definitions'!I172+SUMIFS('Assets'!$J$8:$J$207,'Assets'!$B$8:$B$207,A172))</x:f>
      </x:c>
      <x:c r="H172" s="11" t="str">
        <x:f>IF(A172="","",SUMIFS('Orders'!$I$8:$I$207,'Orders'!$D$8:$D$207,A172))</x:f>
      </x:c>
      <x:c r="I172" s="11" t="str">
        <x:f>IF(A172="","",SUMIFS('Orders'!$J$8:$J$207,'Orders'!$D$8:$D$207,A172))</x:f>
      </x:c>
      <x:c r="J172" s="11" t="str">
        <x:f>IF(A172="","",MAX(0,F172-G172))</x:f>
      </x:c>
      <x:c r="K172" s="11" t="str">
        <x:f>IF(A172="","",MAX(0,F172-G172-H172))</x:f>
      </x:c>
      <x:c r="L172" s="11" t="str">
        <x:f>IF(A172="","",'Definitions'!H172)</x:f>
      </x:c>
      <x:c r="M172" s="11" t="str">
        <x:f>IF(A172="","",IF(AND(ISNUMBER(L172),L172&gt;0),ROUNDUP(K172/L172,0),"Set pack size"))</x:f>
      </x:c>
      <x:c r="N172" s="11" t="str">
        <x:f>IF(A172="","",SUMIFS('Shipments'!$H$8:$H$207,'Shipments'!$F$8:$F$207,A172,'Shipments'!$C$8:$C$207,"Outbound"))</x:f>
      </x:c>
      <x:c r="O172" s="11" t="str">
        <x:f>IF(A172="","",MAX(0,F172-N172))</x:f>
      </x:c>
    </x:row>
    <x:row r="173" ht="22" customHeight="1">
      <x:c r="A173" s="9" t="str">
        <x:f>IF(AND('Definitions'!A173&lt;&gt;"",'Definitions'!C173="Part"),'Definitions'!A173,"")</x:f>
      </x:c>
      <x:c r="B173" s="9" t="str">
        <x:f>IF(A173="","",'Definitions'!B173)</x:f>
      </x:c>
      <x:c r="C173" s="9" t="str">
        <x:f>IF(A173="","",'Definitions'!F173)</x:f>
      </x:c>
      <x:c r="D173" s="11" t="str">
        <x:f>IF(A173="","",SUMIFS('Layout'!$K$8:$K$207,'Layout'!$G$8:$G$207,A173,'Layout'!$L$8:$L$207,"Build"))</x:f>
      </x:c>
      <x:c r="E173" s="11" t="str">
        <x:f>IF(A173="","",SUMIFS('Layout'!$K$8:$K$207,'Layout'!$G$8:$G$207,A173,'Layout'!$L$8:$L$207,"Spares"))</x:f>
      </x:c>
      <x:c r="F173" s="11" t="str">
        <x:f>IF(A173="","",SUM(D173:E173))</x:f>
      </x:c>
      <x:c r="G173" s="11" t="str">
        <x:f>IF(A173="","",'Definitions'!I173+SUMIFS('Assets'!$J$8:$J$207,'Assets'!$B$8:$B$207,A173))</x:f>
      </x:c>
      <x:c r="H173" s="11" t="str">
        <x:f>IF(A173="","",SUMIFS('Orders'!$I$8:$I$207,'Orders'!$D$8:$D$207,A173))</x:f>
      </x:c>
      <x:c r="I173" s="11" t="str">
        <x:f>IF(A173="","",SUMIFS('Orders'!$J$8:$J$207,'Orders'!$D$8:$D$207,A173))</x:f>
      </x:c>
      <x:c r="J173" s="11" t="str">
        <x:f>IF(A173="","",MAX(0,F173-G173))</x:f>
      </x:c>
      <x:c r="K173" s="11" t="str">
        <x:f>IF(A173="","",MAX(0,F173-G173-H173))</x:f>
      </x:c>
      <x:c r="L173" s="11" t="str">
        <x:f>IF(A173="","",'Definitions'!H173)</x:f>
      </x:c>
      <x:c r="M173" s="11" t="str">
        <x:f>IF(A173="","",IF(AND(ISNUMBER(L173),L173&gt;0),ROUNDUP(K173/L173,0),"Set pack size"))</x:f>
      </x:c>
      <x:c r="N173" s="11" t="str">
        <x:f>IF(A173="","",SUMIFS('Shipments'!$H$8:$H$207,'Shipments'!$F$8:$F$207,A173,'Shipments'!$C$8:$C$207,"Outbound"))</x:f>
      </x:c>
      <x:c r="O173" s="11" t="str">
        <x:f>IF(A173="","",MAX(0,F173-N173))</x:f>
      </x:c>
    </x:row>
    <x:row r="174" ht="22" customHeight="1">
      <x:c r="A174" s="9" t="str">
        <x:f>IF(AND('Definitions'!A174&lt;&gt;"",'Definitions'!C174="Part"),'Definitions'!A174,"")</x:f>
      </x:c>
      <x:c r="B174" s="9" t="str">
        <x:f>IF(A174="","",'Definitions'!B174)</x:f>
      </x:c>
      <x:c r="C174" s="9" t="str">
        <x:f>IF(A174="","",'Definitions'!F174)</x:f>
      </x:c>
      <x:c r="D174" s="11" t="str">
        <x:f>IF(A174="","",SUMIFS('Layout'!$K$8:$K$207,'Layout'!$G$8:$G$207,A174,'Layout'!$L$8:$L$207,"Build"))</x:f>
      </x:c>
      <x:c r="E174" s="11" t="str">
        <x:f>IF(A174="","",SUMIFS('Layout'!$K$8:$K$207,'Layout'!$G$8:$G$207,A174,'Layout'!$L$8:$L$207,"Spares"))</x:f>
      </x:c>
      <x:c r="F174" s="11" t="str">
        <x:f>IF(A174="","",SUM(D174:E174))</x:f>
      </x:c>
      <x:c r="G174" s="11" t="str">
        <x:f>IF(A174="","",'Definitions'!I174+SUMIFS('Assets'!$J$8:$J$207,'Assets'!$B$8:$B$207,A174))</x:f>
      </x:c>
      <x:c r="H174" s="11" t="str">
        <x:f>IF(A174="","",SUMIFS('Orders'!$I$8:$I$207,'Orders'!$D$8:$D$207,A174))</x:f>
      </x:c>
      <x:c r="I174" s="11" t="str">
        <x:f>IF(A174="","",SUMIFS('Orders'!$J$8:$J$207,'Orders'!$D$8:$D$207,A174))</x:f>
      </x:c>
      <x:c r="J174" s="11" t="str">
        <x:f>IF(A174="","",MAX(0,F174-G174))</x:f>
      </x:c>
      <x:c r="K174" s="11" t="str">
        <x:f>IF(A174="","",MAX(0,F174-G174-H174))</x:f>
      </x:c>
      <x:c r="L174" s="11" t="str">
        <x:f>IF(A174="","",'Definitions'!H174)</x:f>
      </x:c>
      <x:c r="M174" s="11" t="str">
        <x:f>IF(A174="","",IF(AND(ISNUMBER(L174),L174&gt;0),ROUNDUP(K174/L174,0),"Set pack size"))</x:f>
      </x:c>
      <x:c r="N174" s="11" t="str">
        <x:f>IF(A174="","",SUMIFS('Shipments'!$H$8:$H$207,'Shipments'!$F$8:$F$207,A174,'Shipments'!$C$8:$C$207,"Outbound"))</x:f>
      </x:c>
      <x:c r="O174" s="11" t="str">
        <x:f>IF(A174="","",MAX(0,F174-N174))</x:f>
      </x:c>
    </x:row>
    <x:row r="175" ht="22" customHeight="1">
      <x:c r="A175" s="9" t="str">
        <x:f>IF(AND('Definitions'!A175&lt;&gt;"",'Definitions'!C175="Part"),'Definitions'!A175,"")</x:f>
      </x:c>
      <x:c r="B175" s="9" t="str">
        <x:f>IF(A175="","",'Definitions'!B175)</x:f>
      </x:c>
      <x:c r="C175" s="9" t="str">
        <x:f>IF(A175="","",'Definitions'!F175)</x:f>
      </x:c>
      <x:c r="D175" s="11" t="str">
        <x:f>IF(A175="","",SUMIFS('Layout'!$K$8:$K$207,'Layout'!$G$8:$G$207,A175,'Layout'!$L$8:$L$207,"Build"))</x:f>
      </x:c>
      <x:c r="E175" s="11" t="str">
        <x:f>IF(A175="","",SUMIFS('Layout'!$K$8:$K$207,'Layout'!$G$8:$G$207,A175,'Layout'!$L$8:$L$207,"Spares"))</x:f>
      </x:c>
      <x:c r="F175" s="11" t="str">
        <x:f>IF(A175="","",SUM(D175:E175))</x:f>
      </x:c>
      <x:c r="G175" s="11" t="str">
        <x:f>IF(A175="","",'Definitions'!I175+SUMIFS('Assets'!$J$8:$J$207,'Assets'!$B$8:$B$207,A175))</x:f>
      </x:c>
      <x:c r="H175" s="11" t="str">
        <x:f>IF(A175="","",SUMIFS('Orders'!$I$8:$I$207,'Orders'!$D$8:$D$207,A175))</x:f>
      </x:c>
      <x:c r="I175" s="11" t="str">
        <x:f>IF(A175="","",SUMIFS('Orders'!$J$8:$J$207,'Orders'!$D$8:$D$207,A175))</x:f>
      </x:c>
      <x:c r="J175" s="11" t="str">
        <x:f>IF(A175="","",MAX(0,F175-G175))</x:f>
      </x:c>
      <x:c r="K175" s="11" t="str">
        <x:f>IF(A175="","",MAX(0,F175-G175-H175))</x:f>
      </x:c>
      <x:c r="L175" s="11" t="str">
        <x:f>IF(A175="","",'Definitions'!H175)</x:f>
      </x:c>
      <x:c r="M175" s="11" t="str">
        <x:f>IF(A175="","",IF(AND(ISNUMBER(L175),L175&gt;0),ROUNDUP(K175/L175,0),"Set pack size"))</x:f>
      </x:c>
      <x:c r="N175" s="11" t="str">
        <x:f>IF(A175="","",SUMIFS('Shipments'!$H$8:$H$207,'Shipments'!$F$8:$F$207,A175,'Shipments'!$C$8:$C$207,"Outbound"))</x:f>
      </x:c>
      <x:c r="O175" s="11" t="str">
        <x:f>IF(A175="","",MAX(0,F175-N175))</x:f>
      </x:c>
    </x:row>
    <x:row r="176" ht="22" customHeight="1">
      <x:c r="A176" s="9" t="str">
        <x:f>IF(AND('Definitions'!A176&lt;&gt;"",'Definitions'!C176="Part"),'Definitions'!A176,"")</x:f>
      </x:c>
      <x:c r="B176" s="9" t="str">
        <x:f>IF(A176="","",'Definitions'!B176)</x:f>
      </x:c>
      <x:c r="C176" s="9" t="str">
        <x:f>IF(A176="","",'Definitions'!F176)</x:f>
      </x:c>
      <x:c r="D176" s="11" t="str">
        <x:f>IF(A176="","",SUMIFS('Layout'!$K$8:$K$207,'Layout'!$G$8:$G$207,A176,'Layout'!$L$8:$L$207,"Build"))</x:f>
      </x:c>
      <x:c r="E176" s="11" t="str">
        <x:f>IF(A176="","",SUMIFS('Layout'!$K$8:$K$207,'Layout'!$G$8:$G$207,A176,'Layout'!$L$8:$L$207,"Spares"))</x:f>
      </x:c>
      <x:c r="F176" s="11" t="str">
        <x:f>IF(A176="","",SUM(D176:E176))</x:f>
      </x:c>
      <x:c r="G176" s="11" t="str">
        <x:f>IF(A176="","",'Definitions'!I176+SUMIFS('Assets'!$J$8:$J$207,'Assets'!$B$8:$B$207,A176))</x:f>
      </x:c>
      <x:c r="H176" s="11" t="str">
        <x:f>IF(A176="","",SUMIFS('Orders'!$I$8:$I$207,'Orders'!$D$8:$D$207,A176))</x:f>
      </x:c>
      <x:c r="I176" s="11" t="str">
        <x:f>IF(A176="","",SUMIFS('Orders'!$J$8:$J$207,'Orders'!$D$8:$D$207,A176))</x:f>
      </x:c>
      <x:c r="J176" s="11" t="str">
        <x:f>IF(A176="","",MAX(0,F176-G176))</x:f>
      </x:c>
      <x:c r="K176" s="11" t="str">
        <x:f>IF(A176="","",MAX(0,F176-G176-H176))</x:f>
      </x:c>
      <x:c r="L176" s="11" t="str">
        <x:f>IF(A176="","",'Definitions'!H176)</x:f>
      </x:c>
      <x:c r="M176" s="11" t="str">
        <x:f>IF(A176="","",IF(AND(ISNUMBER(L176),L176&gt;0),ROUNDUP(K176/L176,0),"Set pack size"))</x:f>
      </x:c>
      <x:c r="N176" s="11" t="str">
        <x:f>IF(A176="","",SUMIFS('Shipments'!$H$8:$H$207,'Shipments'!$F$8:$F$207,A176,'Shipments'!$C$8:$C$207,"Outbound"))</x:f>
      </x:c>
      <x:c r="O176" s="11" t="str">
        <x:f>IF(A176="","",MAX(0,F176-N176))</x:f>
      </x:c>
    </x:row>
    <x:row r="177" ht="22" customHeight="1">
      <x:c r="A177" s="9" t="str">
        <x:f>IF(AND('Definitions'!A177&lt;&gt;"",'Definitions'!C177="Part"),'Definitions'!A177,"")</x:f>
      </x:c>
      <x:c r="B177" s="9" t="str">
        <x:f>IF(A177="","",'Definitions'!B177)</x:f>
      </x:c>
      <x:c r="C177" s="9" t="str">
        <x:f>IF(A177="","",'Definitions'!F177)</x:f>
      </x:c>
      <x:c r="D177" s="11" t="str">
        <x:f>IF(A177="","",SUMIFS('Layout'!$K$8:$K$207,'Layout'!$G$8:$G$207,A177,'Layout'!$L$8:$L$207,"Build"))</x:f>
      </x:c>
      <x:c r="E177" s="11" t="str">
        <x:f>IF(A177="","",SUMIFS('Layout'!$K$8:$K$207,'Layout'!$G$8:$G$207,A177,'Layout'!$L$8:$L$207,"Spares"))</x:f>
      </x:c>
      <x:c r="F177" s="11" t="str">
        <x:f>IF(A177="","",SUM(D177:E177))</x:f>
      </x:c>
      <x:c r="G177" s="11" t="str">
        <x:f>IF(A177="","",'Definitions'!I177+SUMIFS('Assets'!$J$8:$J$207,'Assets'!$B$8:$B$207,A177))</x:f>
      </x:c>
      <x:c r="H177" s="11" t="str">
        <x:f>IF(A177="","",SUMIFS('Orders'!$I$8:$I$207,'Orders'!$D$8:$D$207,A177))</x:f>
      </x:c>
      <x:c r="I177" s="11" t="str">
        <x:f>IF(A177="","",SUMIFS('Orders'!$J$8:$J$207,'Orders'!$D$8:$D$207,A177))</x:f>
      </x:c>
      <x:c r="J177" s="11" t="str">
        <x:f>IF(A177="","",MAX(0,F177-G177))</x:f>
      </x:c>
      <x:c r="K177" s="11" t="str">
        <x:f>IF(A177="","",MAX(0,F177-G177-H177))</x:f>
      </x:c>
      <x:c r="L177" s="11" t="str">
        <x:f>IF(A177="","",'Definitions'!H177)</x:f>
      </x:c>
      <x:c r="M177" s="11" t="str">
        <x:f>IF(A177="","",IF(AND(ISNUMBER(L177),L177&gt;0),ROUNDUP(K177/L177,0),"Set pack size"))</x:f>
      </x:c>
      <x:c r="N177" s="11" t="str">
        <x:f>IF(A177="","",SUMIFS('Shipments'!$H$8:$H$207,'Shipments'!$F$8:$F$207,A177,'Shipments'!$C$8:$C$207,"Outbound"))</x:f>
      </x:c>
      <x:c r="O177" s="11" t="str">
        <x:f>IF(A177="","",MAX(0,F177-N177))</x:f>
      </x:c>
    </x:row>
    <x:row r="178" ht="22" customHeight="1">
      <x:c r="A178" s="9" t="str">
        <x:f>IF(AND('Definitions'!A178&lt;&gt;"",'Definitions'!C178="Part"),'Definitions'!A178,"")</x:f>
      </x:c>
      <x:c r="B178" s="9" t="str">
        <x:f>IF(A178="","",'Definitions'!B178)</x:f>
      </x:c>
      <x:c r="C178" s="9" t="str">
        <x:f>IF(A178="","",'Definitions'!F178)</x:f>
      </x:c>
      <x:c r="D178" s="11" t="str">
        <x:f>IF(A178="","",SUMIFS('Layout'!$K$8:$K$207,'Layout'!$G$8:$G$207,A178,'Layout'!$L$8:$L$207,"Build"))</x:f>
      </x:c>
      <x:c r="E178" s="11" t="str">
        <x:f>IF(A178="","",SUMIFS('Layout'!$K$8:$K$207,'Layout'!$G$8:$G$207,A178,'Layout'!$L$8:$L$207,"Spares"))</x:f>
      </x:c>
      <x:c r="F178" s="11" t="str">
        <x:f>IF(A178="","",SUM(D178:E178))</x:f>
      </x:c>
      <x:c r="G178" s="11" t="str">
        <x:f>IF(A178="","",'Definitions'!I178+SUMIFS('Assets'!$J$8:$J$207,'Assets'!$B$8:$B$207,A178))</x:f>
      </x:c>
      <x:c r="H178" s="11" t="str">
        <x:f>IF(A178="","",SUMIFS('Orders'!$I$8:$I$207,'Orders'!$D$8:$D$207,A178))</x:f>
      </x:c>
      <x:c r="I178" s="11" t="str">
        <x:f>IF(A178="","",SUMIFS('Orders'!$J$8:$J$207,'Orders'!$D$8:$D$207,A178))</x:f>
      </x:c>
      <x:c r="J178" s="11" t="str">
        <x:f>IF(A178="","",MAX(0,F178-G178))</x:f>
      </x:c>
      <x:c r="K178" s="11" t="str">
        <x:f>IF(A178="","",MAX(0,F178-G178-H178))</x:f>
      </x:c>
      <x:c r="L178" s="11" t="str">
        <x:f>IF(A178="","",'Definitions'!H178)</x:f>
      </x:c>
      <x:c r="M178" s="11" t="str">
        <x:f>IF(A178="","",IF(AND(ISNUMBER(L178),L178&gt;0),ROUNDUP(K178/L178,0),"Set pack size"))</x:f>
      </x:c>
      <x:c r="N178" s="11" t="str">
        <x:f>IF(A178="","",SUMIFS('Shipments'!$H$8:$H$207,'Shipments'!$F$8:$F$207,A178,'Shipments'!$C$8:$C$207,"Outbound"))</x:f>
      </x:c>
      <x:c r="O178" s="11" t="str">
        <x:f>IF(A178="","",MAX(0,F178-N178))</x:f>
      </x:c>
    </x:row>
    <x:row r="179" ht="22" customHeight="1">
      <x:c r="A179" s="9" t="str">
        <x:f>IF(AND('Definitions'!A179&lt;&gt;"",'Definitions'!C179="Part"),'Definitions'!A179,"")</x:f>
      </x:c>
      <x:c r="B179" s="9" t="str">
        <x:f>IF(A179="","",'Definitions'!B179)</x:f>
      </x:c>
      <x:c r="C179" s="9" t="str">
        <x:f>IF(A179="","",'Definitions'!F179)</x:f>
      </x:c>
      <x:c r="D179" s="11" t="str">
        <x:f>IF(A179="","",SUMIFS('Layout'!$K$8:$K$207,'Layout'!$G$8:$G$207,A179,'Layout'!$L$8:$L$207,"Build"))</x:f>
      </x:c>
      <x:c r="E179" s="11" t="str">
        <x:f>IF(A179="","",SUMIFS('Layout'!$K$8:$K$207,'Layout'!$G$8:$G$207,A179,'Layout'!$L$8:$L$207,"Spares"))</x:f>
      </x:c>
      <x:c r="F179" s="11" t="str">
        <x:f>IF(A179="","",SUM(D179:E179))</x:f>
      </x:c>
      <x:c r="G179" s="11" t="str">
        <x:f>IF(A179="","",'Definitions'!I179+SUMIFS('Assets'!$J$8:$J$207,'Assets'!$B$8:$B$207,A179))</x:f>
      </x:c>
      <x:c r="H179" s="11" t="str">
        <x:f>IF(A179="","",SUMIFS('Orders'!$I$8:$I$207,'Orders'!$D$8:$D$207,A179))</x:f>
      </x:c>
      <x:c r="I179" s="11" t="str">
        <x:f>IF(A179="","",SUMIFS('Orders'!$J$8:$J$207,'Orders'!$D$8:$D$207,A179))</x:f>
      </x:c>
      <x:c r="J179" s="11" t="str">
        <x:f>IF(A179="","",MAX(0,F179-G179))</x:f>
      </x:c>
      <x:c r="K179" s="11" t="str">
        <x:f>IF(A179="","",MAX(0,F179-G179-H179))</x:f>
      </x:c>
      <x:c r="L179" s="11" t="str">
        <x:f>IF(A179="","",'Definitions'!H179)</x:f>
      </x:c>
      <x:c r="M179" s="11" t="str">
        <x:f>IF(A179="","",IF(AND(ISNUMBER(L179),L179&gt;0),ROUNDUP(K179/L179,0),"Set pack size"))</x:f>
      </x:c>
      <x:c r="N179" s="11" t="str">
        <x:f>IF(A179="","",SUMIFS('Shipments'!$H$8:$H$207,'Shipments'!$F$8:$F$207,A179,'Shipments'!$C$8:$C$207,"Outbound"))</x:f>
      </x:c>
      <x:c r="O179" s="11" t="str">
        <x:f>IF(A179="","",MAX(0,F179-N179))</x:f>
      </x:c>
    </x:row>
    <x:row r="180" ht="22" customHeight="1">
      <x:c r="A180" s="9" t="str">
        <x:f>IF(AND('Definitions'!A180&lt;&gt;"",'Definitions'!C180="Part"),'Definitions'!A180,"")</x:f>
      </x:c>
      <x:c r="B180" s="9" t="str">
        <x:f>IF(A180="","",'Definitions'!B180)</x:f>
      </x:c>
      <x:c r="C180" s="9" t="str">
        <x:f>IF(A180="","",'Definitions'!F180)</x:f>
      </x:c>
      <x:c r="D180" s="11" t="str">
        <x:f>IF(A180="","",SUMIFS('Layout'!$K$8:$K$207,'Layout'!$G$8:$G$207,A180,'Layout'!$L$8:$L$207,"Build"))</x:f>
      </x:c>
      <x:c r="E180" s="11" t="str">
        <x:f>IF(A180="","",SUMIFS('Layout'!$K$8:$K$207,'Layout'!$G$8:$G$207,A180,'Layout'!$L$8:$L$207,"Spares"))</x:f>
      </x:c>
      <x:c r="F180" s="11" t="str">
        <x:f>IF(A180="","",SUM(D180:E180))</x:f>
      </x:c>
      <x:c r="G180" s="11" t="str">
        <x:f>IF(A180="","",'Definitions'!I180+SUMIFS('Assets'!$J$8:$J$207,'Assets'!$B$8:$B$207,A180))</x:f>
      </x:c>
      <x:c r="H180" s="11" t="str">
        <x:f>IF(A180="","",SUMIFS('Orders'!$I$8:$I$207,'Orders'!$D$8:$D$207,A180))</x:f>
      </x:c>
      <x:c r="I180" s="11" t="str">
        <x:f>IF(A180="","",SUMIFS('Orders'!$J$8:$J$207,'Orders'!$D$8:$D$207,A180))</x:f>
      </x:c>
      <x:c r="J180" s="11" t="str">
        <x:f>IF(A180="","",MAX(0,F180-G180))</x:f>
      </x:c>
      <x:c r="K180" s="11" t="str">
        <x:f>IF(A180="","",MAX(0,F180-G180-H180))</x:f>
      </x:c>
      <x:c r="L180" s="11" t="str">
        <x:f>IF(A180="","",'Definitions'!H180)</x:f>
      </x:c>
      <x:c r="M180" s="11" t="str">
        <x:f>IF(A180="","",IF(AND(ISNUMBER(L180),L180&gt;0),ROUNDUP(K180/L180,0),"Set pack size"))</x:f>
      </x:c>
      <x:c r="N180" s="11" t="str">
        <x:f>IF(A180="","",SUMIFS('Shipments'!$H$8:$H$207,'Shipments'!$F$8:$F$207,A180,'Shipments'!$C$8:$C$207,"Outbound"))</x:f>
      </x:c>
      <x:c r="O180" s="11" t="str">
        <x:f>IF(A180="","",MAX(0,F180-N180))</x:f>
      </x:c>
    </x:row>
    <x:row r="181" ht="22" customHeight="1">
      <x:c r="A181" s="9" t="str">
        <x:f>IF(AND('Definitions'!A181&lt;&gt;"",'Definitions'!C181="Part"),'Definitions'!A181,"")</x:f>
      </x:c>
      <x:c r="B181" s="9" t="str">
        <x:f>IF(A181="","",'Definitions'!B181)</x:f>
      </x:c>
      <x:c r="C181" s="9" t="str">
        <x:f>IF(A181="","",'Definitions'!F181)</x:f>
      </x:c>
      <x:c r="D181" s="11" t="str">
        <x:f>IF(A181="","",SUMIFS('Layout'!$K$8:$K$207,'Layout'!$G$8:$G$207,A181,'Layout'!$L$8:$L$207,"Build"))</x:f>
      </x:c>
      <x:c r="E181" s="11" t="str">
        <x:f>IF(A181="","",SUMIFS('Layout'!$K$8:$K$207,'Layout'!$G$8:$G$207,A181,'Layout'!$L$8:$L$207,"Spares"))</x:f>
      </x:c>
      <x:c r="F181" s="11" t="str">
        <x:f>IF(A181="","",SUM(D181:E181))</x:f>
      </x:c>
      <x:c r="G181" s="11" t="str">
        <x:f>IF(A181="","",'Definitions'!I181+SUMIFS('Assets'!$J$8:$J$207,'Assets'!$B$8:$B$207,A181))</x:f>
      </x:c>
      <x:c r="H181" s="11" t="str">
        <x:f>IF(A181="","",SUMIFS('Orders'!$I$8:$I$207,'Orders'!$D$8:$D$207,A181))</x:f>
      </x:c>
      <x:c r="I181" s="11" t="str">
        <x:f>IF(A181="","",SUMIFS('Orders'!$J$8:$J$207,'Orders'!$D$8:$D$207,A181))</x:f>
      </x:c>
      <x:c r="J181" s="11" t="str">
        <x:f>IF(A181="","",MAX(0,F181-G181))</x:f>
      </x:c>
      <x:c r="K181" s="11" t="str">
        <x:f>IF(A181="","",MAX(0,F181-G181-H181))</x:f>
      </x:c>
      <x:c r="L181" s="11" t="str">
        <x:f>IF(A181="","",'Definitions'!H181)</x:f>
      </x:c>
      <x:c r="M181" s="11" t="str">
        <x:f>IF(A181="","",IF(AND(ISNUMBER(L181),L181&gt;0),ROUNDUP(K181/L181,0),"Set pack size"))</x:f>
      </x:c>
      <x:c r="N181" s="11" t="str">
        <x:f>IF(A181="","",SUMIFS('Shipments'!$H$8:$H$207,'Shipments'!$F$8:$F$207,A181,'Shipments'!$C$8:$C$207,"Outbound"))</x:f>
      </x:c>
      <x:c r="O181" s="11" t="str">
        <x:f>IF(A181="","",MAX(0,F181-N181))</x:f>
      </x:c>
    </x:row>
    <x:row r="182" ht="22" customHeight="1">
      <x:c r="A182" s="9" t="str">
        <x:f>IF(AND('Definitions'!A182&lt;&gt;"",'Definitions'!C182="Part"),'Definitions'!A182,"")</x:f>
      </x:c>
      <x:c r="B182" s="9" t="str">
        <x:f>IF(A182="","",'Definitions'!B182)</x:f>
      </x:c>
      <x:c r="C182" s="9" t="str">
        <x:f>IF(A182="","",'Definitions'!F182)</x:f>
      </x:c>
      <x:c r="D182" s="11" t="str">
        <x:f>IF(A182="","",SUMIFS('Layout'!$K$8:$K$207,'Layout'!$G$8:$G$207,A182,'Layout'!$L$8:$L$207,"Build"))</x:f>
      </x:c>
      <x:c r="E182" s="11" t="str">
        <x:f>IF(A182="","",SUMIFS('Layout'!$K$8:$K$207,'Layout'!$G$8:$G$207,A182,'Layout'!$L$8:$L$207,"Spares"))</x:f>
      </x:c>
      <x:c r="F182" s="11" t="str">
        <x:f>IF(A182="","",SUM(D182:E182))</x:f>
      </x:c>
      <x:c r="G182" s="11" t="str">
        <x:f>IF(A182="","",'Definitions'!I182+SUMIFS('Assets'!$J$8:$J$207,'Assets'!$B$8:$B$207,A182))</x:f>
      </x:c>
      <x:c r="H182" s="11" t="str">
        <x:f>IF(A182="","",SUMIFS('Orders'!$I$8:$I$207,'Orders'!$D$8:$D$207,A182))</x:f>
      </x:c>
      <x:c r="I182" s="11" t="str">
        <x:f>IF(A182="","",SUMIFS('Orders'!$J$8:$J$207,'Orders'!$D$8:$D$207,A182))</x:f>
      </x:c>
      <x:c r="J182" s="11" t="str">
        <x:f>IF(A182="","",MAX(0,F182-G182))</x:f>
      </x:c>
      <x:c r="K182" s="11" t="str">
        <x:f>IF(A182="","",MAX(0,F182-G182-H182))</x:f>
      </x:c>
      <x:c r="L182" s="11" t="str">
        <x:f>IF(A182="","",'Definitions'!H182)</x:f>
      </x:c>
      <x:c r="M182" s="11" t="str">
        <x:f>IF(A182="","",IF(AND(ISNUMBER(L182),L182&gt;0),ROUNDUP(K182/L182,0),"Set pack size"))</x:f>
      </x:c>
      <x:c r="N182" s="11" t="str">
        <x:f>IF(A182="","",SUMIFS('Shipments'!$H$8:$H$207,'Shipments'!$F$8:$F$207,A182,'Shipments'!$C$8:$C$207,"Outbound"))</x:f>
      </x:c>
      <x:c r="O182" s="11" t="str">
        <x:f>IF(A182="","",MAX(0,F182-N182))</x:f>
      </x:c>
    </x:row>
    <x:row r="183" ht="22" customHeight="1">
      <x:c r="A183" s="9" t="str">
        <x:f>IF(AND('Definitions'!A183&lt;&gt;"",'Definitions'!C183="Part"),'Definitions'!A183,"")</x:f>
      </x:c>
      <x:c r="B183" s="9" t="str">
        <x:f>IF(A183="","",'Definitions'!B183)</x:f>
      </x:c>
      <x:c r="C183" s="9" t="str">
        <x:f>IF(A183="","",'Definitions'!F183)</x:f>
      </x:c>
      <x:c r="D183" s="11" t="str">
        <x:f>IF(A183="","",SUMIFS('Layout'!$K$8:$K$207,'Layout'!$G$8:$G$207,A183,'Layout'!$L$8:$L$207,"Build"))</x:f>
      </x:c>
      <x:c r="E183" s="11" t="str">
        <x:f>IF(A183="","",SUMIFS('Layout'!$K$8:$K$207,'Layout'!$G$8:$G$207,A183,'Layout'!$L$8:$L$207,"Spares"))</x:f>
      </x:c>
      <x:c r="F183" s="11" t="str">
        <x:f>IF(A183="","",SUM(D183:E183))</x:f>
      </x:c>
      <x:c r="G183" s="11" t="str">
        <x:f>IF(A183="","",'Definitions'!I183+SUMIFS('Assets'!$J$8:$J$207,'Assets'!$B$8:$B$207,A183))</x:f>
      </x:c>
      <x:c r="H183" s="11" t="str">
        <x:f>IF(A183="","",SUMIFS('Orders'!$I$8:$I$207,'Orders'!$D$8:$D$207,A183))</x:f>
      </x:c>
      <x:c r="I183" s="11" t="str">
        <x:f>IF(A183="","",SUMIFS('Orders'!$J$8:$J$207,'Orders'!$D$8:$D$207,A183))</x:f>
      </x:c>
      <x:c r="J183" s="11" t="str">
        <x:f>IF(A183="","",MAX(0,F183-G183))</x:f>
      </x:c>
      <x:c r="K183" s="11" t="str">
        <x:f>IF(A183="","",MAX(0,F183-G183-H183))</x:f>
      </x:c>
      <x:c r="L183" s="11" t="str">
        <x:f>IF(A183="","",'Definitions'!H183)</x:f>
      </x:c>
      <x:c r="M183" s="11" t="str">
        <x:f>IF(A183="","",IF(AND(ISNUMBER(L183),L183&gt;0),ROUNDUP(K183/L183,0),"Set pack size"))</x:f>
      </x:c>
      <x:c r="N183" s="11" t="str">
        <x:f>IF(A183="","",SUMIFS('Shipments'!$H$8:$H$207,'Shipments'!$F$8:$F$207,A183,'Shipments'!$C$8:$C$207,"Outbound"))</x:f>
      </x:c>
      <x:c r="O183" s="11" t="str">
        <x:f>IF(A183="","",MAX(0,F183-N183))</x:f>
      </x:c>
    </x:row>
    <x:row r="184" ht="22" customHeight="1">
      <x:c r="A184" s="9" t="str">
        <x:f>IF(AND('Definitions'!A184&lt;&gt;"",'Definitions'!C184="Part"),'Definitions'!A184,"")</x:f>
      </x:c>
      <x:c r="B184" s="9" t="str">
        <x:f>IF(A184="","",'Definitions'!B184)</x:f>
      </x:c>
      <x:c r="C184" s="9" t="str">
        <x:f>IF(A184="","",'Definitions'!F184)</x:f>
      </x:c>
      <x:c r="D184" s="11" t="str">
        <x:f>IF(A184="","",SUMIFS('Layout'!$K$8:$K$207,'Layout'!$G$8:$G$207,A184,'Layout'!$L$8:$L$207,"Build"))</x:f>
      </x:c>
      <x:c r="E184" s="11" t="str">
        <x:f>IF(A184="","",SUMIFS('Layout'!$K$8:$K$207,'Layout'!$G$8:$G$207,A184,'Layout'!$L$8:$L$207,"Spares"))</x:f>
      </x:c>
      <x:c r="F184" s="11" t="str">
        <x:f>IF(A184="","",SUM(D184:E184))</x:f>
      </x:c>
      <x:c r="G184" s="11" t="str">
        <x:f>IF(A184="","",'Definitions'!I184+SUMIFS('Assets'!$J$8:$J$207,'Assets'!$B$8:$B$207,A184))</x:f>
      </x:c>
      <x:c r="H184" s="11" t="str">
        <x:f>IF(A184="","",SUMIFS('Orders'!$I$8:$I$207,'Orders'!$D$8:$D$207,A184))</x:f>
      </x:c>
      <x:c r="I184" s="11" t="str">
        <x:f>IF(A184="","",SUMIFS('Orders'!$J$8:$J$207,'Orders'!$D$8:$D$207,A184))</x:f>
      </x:c>
      <x:c r="J184" s="11" t="str">
        <x:f>IF(A184="","",MAX(0,F184-G184))</x:f>
      </x:c>
      <x:c r="K184" s="11" t="str">
        <x:f>IF(A184="","",MAX(0,F184-G184-H184))</x:f>
      </x:c>
      <x:c r="L184" s="11" t="str">
        <x:f>IF(A184="","",'Definitions'!H184)</x:f>
      </x:c>
      <x:c r="M184" s="11" t="str">
        <x:f>IF(A184="","",IF(AND(ISNUMBER(L184),L184&gt;0),ROUNDUP(K184/L184,0),"Set pack size"))</x:f>
      </x:c>
      <x:c r="N184" s="11" t="str">
        <x:f>IF(A184="","",SUMIFS('Shipments'!$H$8:$H$207,'Shipments'!$F$8:$F$207,A184,'Shipments'!$C$8:$C$207,"Outbound"))</x:f>
      </x:c>
      <x:c r="O184" s="11" t="str">
        <x:f>IF(A184="","",MAX(0,F184-N184))</x:f>
      </x:c>
    </x:row>
    <x:row r="185" ht="22" customHeight="1">
      <x:c r="A185" s="9" t="str">
        <x:f>IF(AND('Definitions'!A185&lt;&gt;"",'Definitions'!C185="Part"),'Definitions'!A185,"")</x:f>
      </x:c>
      <x:c r="B185" s="9" t="str">
        <x:f>IF(A185="","",'Definitions'!B185)</x:f>
      </x:c>
      <x:c r="C185" s="9" t="str">
        <x:f>IF(A185="","",'Definitions'!F185)</x:f>
      </x:c>
      <x:c r="D185" s="11" t="str">
        <x:f>IF(A185="","",SUMIFS('Layout'!$K$8:$K$207,'Layout'!$G$8:$G$207,A185,'Layout'!$L$8:$L$207,"Build"))</x:f>
      </x:c>
      <x:c r="E185" s="11" t="str">
        <x:f>IF(A185="","",SUMIFS('Layout'!$K$8:$K$207,'Layout'!$G$8:$G$207,A185,'Layout'!$L$8:$L$207,"Spares"))</x:f>
      </x:c>
      <x:c r="F185" s="11" t="str">
        <x:f>IF(A185="","",SUM(D185:E185))</x:f>
      </x:c>
      <x:c r="G185" s="11" t="str">
        <x:f>IF(A185="","",'Definitions'!I185+SUMIFS('Assets'!$J$8:$J$207,'Assets'!$B$8:$B$207,A185))</x:f>
      </x:c>
      <x:c r="H185" s="11" t="str">
        <x:f>IF(A185="","",SUMIFS('Orders'!$I$8:$I$207,'Orders'!$D$8:$D$207,A185))</x:f>
      </x:c>
      <x:c r="I185" s="11" t="str">
        <x:f>IF(A185="","",SUMIFS('Orders'!$J$8:$J$207,'Orders'!$D$8:$D$207,A185))</x:f>
      </x:c>
      <x:c r="J185" s="11" t="str">
        <x:f>IF(A185="","",MAX(0,F185-G185))</x:f>
      </x:c>
      <x:c r="K185" s="11" t="str">
        <x:f>IF(A185="","",MAX(0,F185-G185-H185))</x:f>
      </x:c>
      <x:c r="L185" s="11" t="str">
        <x:f>IF(A185="","",'Definitions'!H185)</x:f>
      </x:c>
      <x:c r="M185" s="11" t="str">
        <x:f>IF(A185="","",IF(AND(ISNUMBER(L185),L185&gt;0),ROUNDUP(K185/L185,0),"Set pack size"))</x:f>
      </x:c>
      <x:c r="N185" s="11" t="str">
        <x:f>IF(A185="","",SUMIFS('Shipments'!$H$8:$H$207,'Shipments'!$F$8:$F$207,A185,'Shipments'!$C$8:$C$207,"Outbound"))</x:f>
      </x:c>
      <x:c r="O185" s="11" t="str">
        <x:f>IF(A185="","",MAX(0,F185-N185))</x:f>
      </x:c>
    </x:row>
    <x:row r="186" ht="22" customHeight="1">
      <x:c r="A186" s="9" t="str">
        <x:f>IF(AND('Definitions'!A186&lt;&gt;"",'Definitions'!C186="Part"),'Definitions'!A186,"")</x:f>
      </x:c>
      <x:c r="B186" s="9" t="str">
        <x:f>IF(A186="","",'Definitions'!B186)</x:f>
      </x:c>
      <x:c r="C186" s="9" t="str">
        <x:f>IF(A186="","",'Definitions'!F186)</x:f>
      </x:c>
      <x:c r="D186" s="11" t="str">
        <x:f>IF(A186="","",SUMIFS('Layout'!$K$8:$K$207,'Layout'!$G$8:$G$207,A186,'Layout'!$L$8:$L$207,"Build"))</x:f>
      </x:c>
      <x:c r="E186" s="11" t="str">
        <x:f>IF(A186="","",SUMIFS('Layout'!$K$8:$K$207,'Layout'!$G$8:$G$207,A186,'Layout'!$L$8:$L$207,"Spares"))</x:f>
      </x:c>
      <x:c r="F186" s="11" t="str">
        <x:f>IF(A186="","",SUM(D186:E186))</x:f>
      </x:c>
      <x:c r="G186" s="11" t="str">
        <x:f>IF(A186="","",'Definitions'!I186+SUMIFS('Assets'!$J$8:$J$207,'Assets'!$B$8:$B$207,A186))</x:f>
      </x:c>
      <x:c r="H186" s="11" t="str">
        <x:f>IF(A186="","",SUMIFS('Orders'!$I$8:$I$207,'Orders'!$D$8:$D$207,A186))</x:f>
      </x:c>
      <x:c r="I186" s="11" t="str">
        <x:f>IF(A186="","",SUMIFS('Orders'!$J$8:$J$207,'Orders'!$D$8:$D$207,A186))</x:f>
      </x:c>
      <x:c r="J186" s="11" t="str">
        <x:f>IF(A186="","",MAX(0,F186-G186))</x:f>
      </x:c>
      <x:c r="K186" s="11" t="str">
        <x:f>IF(A186="","",MAX(0,F186-G186-H186))</x:f>
      </x:c>
      <x:c r="L186" s="11" t="str">
        <x:f>IF(A186="","",'Definitions'!H186)</x:f>
      </x:c>
      <x:c r="M186" s="11" t="str">
        <x:f>IF(A186="","",IF(AND(ISNUMBER(L186),L186&gt;0),ROUNDUP(K186/L186,0),"Set pack size"))</x:f>
      </x:c>
      <x:c r="N186" s="11" t="str">
        <x:f>IF(A186="","",SUMIFS('Shipments'!$H$8:$H$207,'Shipments'!$F$8:$F$207,A186,'Shipments'!$C$8:$C$207,"Outbound"))</x:f>
      </x:c>
      <x:c r="O186" s="11" t="str">
        <x:f>IF(A186="","",MAX(0,F186-N186))</x:f>
      </x:c>
    </x:row>
    <x:row r="187" ht="22" customHeight="1">
      <x:c r="A187" s="9" t="str">
        <x:f>IF(AND('Definitions'!A187&lt;&gt;"",'Definitions'!C187="Part"),'Definitions'!A187,"")</x:f>
      </x:c>
      <x:c r="B187" s="9" t="str">
        <x:f>IF(A187="","",'Definitions'!B187)</x:f>
      </x:c>
      <x:c r="C187" s="9" t="str">
        <x:f>IF(A187="","",'Definitions'!F187)</x:f>
      </x:c>
      <x:c r="D187" s="11" t="str">
        <x:f>IF(A187="","",SUMIFS('Layout'!$K$8:$K$207,'Layout'!$G$8:$G$207,A187,'Layout'!$L$8:$L$207,"Build"))</x:f>
      </x:c>
      <x:c r="E187" s="11" t="str">
        <x:f>IF(A187="","",SUMIFS('Layout'!$K$8:$K$207,'Layout'!$G$8:$G$207,A187,'Layout'!$L$8:$L$207,"Spares"))</x:f>
      </x:c>
      <x:c r="F187" s="11" t="str">
        <x:f>IF(A187="","",SUM(D187:E187))</x:f>
      </x:c>
      <x:c r="G187" s="11" t="str">
        <x:f>IF(A187="","",'Definitions'!I187+SUMIFS('Assets'!$J$8:$J$207,'Assets'!$B$8:$B$207,A187))</x:f>
      </x:c>
      <x:c r="H187" s="11" t="str">
        <x:f>IF(A187="","",SUMIFS('Orders'!$I$8:$I$207,'Orders'!$D$8:$D$207,A187))</x:f>
      </x:c>
      <x:c r="I187" s="11" t="str">
        <x:f>IF(A187="","",SUMIFS('Orders'!$J$8:$J$207,'Orders'!$D$8:$D$207,A187))</x:f>
      </x:c>
      <x:c r="J187" s="11" t="str">
        <x:f>IF(A187="","",MAX(0,F187-G187))</x:f>
      </x:c>
      <x:c r="K187" s="11" t="str">
        <x:f>IF(A187="","",MAX(0,F187-G187-H187))</x:f>
      </x:c>
      <x:c r="L187" s="11" t="str">
        <x:f>IF(A187="","",'Definitions'!H187)</x:f>
      </x:c>
      <x:c r="M187" s="11" t="str">
        <x:f>IF(A187="","",IF(AND(ISNUMBER(L187),L187&gt;0),ROUNDUP(K187/L187,0),"Set pack size"))</x:f>
      </x:c>
      <x:c r="N187" s="11" t="str">
        <x:f>IF(A187="","",SUMIFS('Shipments'!$H$8:$H$207,'Shipments'!$F$8:$F$207,A187,'Shipments'!$C$8:$C$207,"Outbound"))</x:f>
      </x:c>
      <x:c r="O187" s="11" t="str">
        <x:f>IF(A187="","",MAX(0,F187-N187))</x:f>
      </x:c>
    </x:row>
    <x:row r="188" ht="22" customHeight="1">
      <x:c r="A188" s="9" t="str">
        <x:f>IF(AND('Definitions'!A188&lt;&gt;"",'Definitions'!C188="Part"),'Definitions'!A188,"")</x:f>
      </x:c>
      <x:c r="B188" s="9" t="str">
        <x:f>IF(A188="","",'Definitions'!B188)</x:f>
      </x:c>
      <x:c r="C188" s="9" t="str">
        <x:f>IF(A188="","",'Definitions'!F188)</x:f>
      </x:c>
      <x:c r="D188" s="11" t="str">
        <x:f>IF(A188="","",SUMIFS('Layout'!$K$8:$K$207,'Layout'!$G$8:$G$207,A188,'Layout'!$L$8:$L$207,"Build"))</x:f>
      </x:c>
      <x:c r="E188" s="11" t="str">
        <x:f>IF(A188="","",SUMIFS('Layout'!$K$8:$K$207,'Layout'!$G$8:$G$207,A188,'Layout'!$L$8:$L$207,"Spares"))</x:f>
      </x:c>
      <x:c r="F188" s="11" t="str">
        <x:f>IF(A188="","",SUM(D188:E188))</x:f>
      </x:c>
      <x:c r="G188" s="11" t="str">
        <x:f>IF(A188="","",'Definitions'!I188+SUMIFS('Assets'!$J$8:$J$207,'Assets'!$B$8:$B$207,A188))</x:f>
      </x:c>
      <x:c r="H188" s="11" t="str">
        <x:f>IF(A188="","",SUMIFS('Orders'!$I$8:$I$207,'Orders'!$D$8:$D$207,A188))</x:f>
      </x:c>
      <x:c r="I188" s="11" t="str">
        <x:f>IF(A188="","",SUMIFS('Orders'!$J$8:$J$207,'Orders'!$D$8:$D$207,A188))</x:f>
      </x:c>
      <x:c r="J188" s="11" t="str">
        <x:f>IF(A188="","",MAX(0,F188-G188))</x:f>
      </x:c>
      <x:c r="K188" s="11" t="str">
        <x:f>IF(A188="","",MAX(0,F188-G188-H188))</x:f>
      </x:c>
      <x:c r="L188" s="11" t="str">
        <x:f>IF(A188="","",'Definitions'!H188)</x:f>
      </x:c>
      <x:c r="M188" s="11" t="str">
        <x:f>IF(A188="","",IF(AND(ISNUMBER(L188),L188&gt;0),ROUNDUP(K188/L188,0),"Set pack size"))</x:f>
      </x:c>
      <x:c r="N188" s="11" t="str">
        <x:f>IF(A188="","",SUMIFS('Shipments'!$H$8:$H$207,'Shipments'!$F$8:$F$207,A188,'Shipments'!$C$8:$C$207,"Outbound"))</x:f>
      </x:c>
      <x:c r="O188" s="11" t="str">
        <x:f>IF(A188="","",MAX(0,F188-N188))</x:f>
      </x:c>
    </x:row>
    <x:row r="189" ht="22" customHeight="1">
      <x:c r="A189" s="9" t="str">
        <x:f>IF(AND('Definitions'!A189&lt;&gt;"",'Definitions'!C189="Part"),'Definitions'!A189,"")</x:f>
      </x:c>
      <x:c r="B189" s="9" t="str">
        <x:f>IF(A189="","",'Definitions'!B189)</x:f>
      </x:c>
      <x:c r="C189" s="9" t="str">
        <x:f>IF(A189="","",'Definitions'!F189)</x:f>
      </x:c>
      <x:c r="D189" s="11" t="str">
        <x:f>IF(A189="","",SUMIFS('Layout'!$K$8:$K$207,'Layout'!$G$8:$G$207,A189,'Layout'!$L$8:$L$207,"Build"))</x:f>
      </x:c>
      <x:c r="E189" s="11" t="str">
        <x:f>IF(A189="","",SUMIFS('Layout'!$K$8:$K$207,'Layout'!$G$8:$G$207,A189,'Layout'!$L$8:$L$207,"Spares"))</x:f>
      </x:c>
      <x:c r="F189" s="11" t="str">
        <x:f>IF(A189="","",SUM(D189:E189))</x:f>
      </x:c>
      <x:c r="G189" s="11" t="str">
        <x:f>IF(A189="","",'Definitions'!I189+SUMIFS('Assets'!$J$8:$J$207,'Assets'!$B$8:$B$207,A189))</x:f>
      </x:c>
      <x:c r="H189" s="11" t="str">
        <x:f>IF(A189="","",SUMIFS('Orders'!$I$8:$I$207,'Orders'!$D$8:$D$207,A189))</x:f>
      </x:c>
      <x:c r="I189" s="11" t="str">
        <x:f>IF(A189="","",SUMIFS('Orders'!$J$8:$J$207,'Orders'!$D$8:$D$207,A189))</x:f>
      </x:c>
      <x:c r="J189" s="11" t="str">
        <x:f>IF(A189="","",MAX(0,F189-G189))</x:f>
      </x:c>
      <x:c r="K189" s="11" t="str">
        <x:f>IF(A189="","",MAX(0,F189-G189-H189))</x:f>
      </x:c>
      <x:c r="L189" s="11" t="str">
        <x:f>IF(A189="","",'Definitions'!H189)</x:f>
      </x:c>
      <x:c r="M189" s="11" t="str">
        <x:f>IF(A189="","",IF(AND(ISNUMBER(L189),L189&gt;0),ROUNDUP(K189/L189,0),"Set pack size"))</x:f>
      </x:c>
      <x:c r="N189" s="11" t="str">
        <x:f>IF(A189="","",SUMIFS('Shipments'!$H$8:$H$207,'Shipments'!$F$8:$F$207,A189,'Shipments'!$C$8:$C$207,"Outbound"))</x:f>
      </x:c>
      <x:c r="O189" s="11" t="str">
        <x:f>IF(A189="","",MAX(0,F189-N189))</x:f>
      </x:c>
    </x:row>
    <x:row r="190" ht="22" customHeight="1">
      <x:c r="A190" s="9" t="str">
        <x:f>IF(AND('Definitions'!A190&lt;&gt;"",'Definitions'!C190="Part"),'Definitions'!A190,"")</x:f>
      </x:c>
      <x:c r="B190" s="9" t="str">
        <x:f>IF(A190="","",'Definitions'!B190)</x:f>
      </x:c>
      <x:c r="C190" s="9" t="str">
        <x:f>IF(A190="","",'Definitions'!F190)</x:f>
      </x:c>
      <x:c r="D190" s="11" t="str">
        <x:f>IF(A190="","",SUMIFS('Layout'!$K$8:$K$207,'Layout'!$G$8:$G$207,A190,'Layout'!$L$8:$L$207,"Build"))</x:f>
      </x:c>
      <x:c r="E190" s="11" t="str">
        <x:f>IF(A190="","",SUMIFS('Layout'!$K$8:$K$207,'Layout'!$G$8:$G$207,A190,'Layout'!$L$8:$L$207,"Spares"))</x:f>
      </x:c>
      <x:c r="F190" s="11" t="str">
        <x:f>IF(A190="","",SUM(D190:E190))</x:f>
      </x:c>
      <x:c r="G190" s="11" t="str">
        <x:f>IF(A190="","",'Definitions'!I190+SUMIFS('Assets'!$J$8:$J$207,'Assets'!$B$8:$B$207,A190))</x:f>
      </x:c>
      <x:c r="H190" s="11" t="str">
        <x:f>IF(A190="","",SUMIFS('Orders'!$I$8:$I$207,'Orders'!$D$8:$D$207,A190))</x:f>
      </x:c>
      <x:c r="I190" s="11" t="str">
        <x:f>IF(A190="","",SUMIFS('Orders'!$J$8:$J$207,'Orders'!$D$8:$D$207,A190))</x:f>
      </x:c>
      <x:c r="J190" s="11" t="str">
        <x:f>IF(A190="","",MAX(0,F190-G190))</x:f>
      </x:c>
      <x:c r="K190" s="11" t="str">
        <x:f>IF(A190="","",MAX(0,F190-G190-H190))</x:f>
      </x:c>
      <x:c r="L190" s="11" t="str">
        <x:f>IF(A190="","",'Definitions'!H190)</x:f>
      </x:c>
      <x:c r="M190" s="11" t="str">
        <x:f>IF(A190="","",IF(AND(ISNUMBER(L190),L190&gt;0),ROUNDUP(K190/L190,0),"Set pack size"))</x:f>
      </x:c>
      <x:c r="N190" s="11" t="str">
        <x:f>IF(A190="","",SUMIFS('Shipments'!$H$8:$H$207,'Shipments'!$F$8:$F$207,A190,'Shipments'!$C$8:$C$207,"Outbound"))</x:f>
      </x:c>
      <x:c r="O190" s="11" t="str">
        <x:f>IF(A190="","",MAX(0,F190-N190))</x:f>
      </x:c>
    </x:row>
    <x:row r="191" ht="22" customHeight="1">
      <x:c r="A191" s="9" t="str">
        <x:f>IF(AND('Definitions'!A191&lt;&gt;"",'Definitions'!C191="Part"),'Definitions'!A191,"")</x:f>
      </x:c>
      <x:c r="B191" s="9" t="str">
        <x:f>IF(A191="","",'Definitions'!B191)</x:f>
      </x:c>
      <x:c r="C191" s="9" t="str">
        <x:f>IF(A191="","",'Definitions'!F191)</x:f>
      </x:c>
      <x:c r="D191" s="11" t="str">
        <x:f>IF(A191="","",SUMIFS('Layout'!$K$8:$K$207,'Layout'!$G$8:$G$207,A191,'Layout'!$L$8:$L$207,"Build"))</x:f>
      </x:c>
      <x:c r="E191" s="11" t="str">
        <x:f>IF(A191="","",SUMIFS('Layout'!$K$8:$K$207,'Layout'!$G$8:$G$207,A191,'Layout'!$L$8:$L$207,"Spares"))</x:f>
      </x:c>
      <x:c r="F191" s="11" t="str">
        <x:f>IF(A191="","",SUM(D191:E191))</x:f>
      </x:c>
      <x:c r="G191" s="11" t="str">
        <x:f>IF(A191="","",'Definitions'!I191+SUMIFS('Assets'!$J$8:$J$207,'Assets'!$B$8:$B$207,A191))</x:f>
      </x:c>
      <x:c r="H191" s="11" t="str">
        <x:f>IF(A191="","",SUMIFS('Orders'!$I$8:$I$207,'Orders'!$D$8:$D$207,A191))</x:f>
      </x:c>
      <x:c r="I191" s="11" t="str">
        <x:f>IF(A191="","",SUMIFS('Orders'!$J$8:$J$207,'Orders'!$D$8:$D$207,A191))</x:f>
      </x:c>
      <x:c r="J191" s="11" t="str">
        <x:f>IF(A191="","",MAX(0,F191-G191))</x:f>
      </x:c>
      <x:c r="K191" s="11" t="str">
        <x:f>IF(A191="","",MAX(0,F191-G191-H191))</x:f>
      </x:c>
      <x:c r="L191" s="11" t="str">
        <x:f>IF(A191="","",'Definitions'!H191)</x:f>
      </x:c>
      <x:c r="M191" s="11" t="str">
        <x:f>IF(A191="","",IF(AND(ISNUMBER(L191),L191&gt;0),ROUNDUP(K191/L191,0),"Set pack size"))</x:f>
      </x:c>
      <x:c r="N191" s="11" t="str">
        <x:f>IF(A191="","",SUMIFS('Shipments'!$H$8:$H$207,'Shipments'!$F$8:$F$207,A191,'Shipments'!$C$8:$C$207,"Outbound"))</x:f>
      </x:c>
      <x:c r="O191" s="11" t="str">
        <x:f>IF(A191="","",MAX(0,F191-N191))</x:f>
      </x:c>
    </x:row>
    <x:row r="192" ht="22" customHeight="1">
      <x:c r="A192" s="9" t="str">
        <x:f>IF(AND('Definitions'!A192&lt;&gt;"",'Definitions'!C192="Part"),'Definitions'!A192,"")</x:f>
      </x:c>
      <x:c r="B192" s="9" t="str">
        <x:f>IF(A192="","",'Definitions'!B192)</x:f>
      </x:c>
      <x:c r="C192" s="9" t="str">
        <x:f>IF(A192="","",'Definitions'!F192)</x:f>
      </x:c>
      <x:c r="D192" s="11" t="str">
        <x:f>IF(A192="","",SUMIFS('Layout'!$K$8:$K$207,'Layout'!$G$8:$G$207,A192,'Layout'!$L$8:$L$207,"Build"))</x:f>
      </x:c>
      <x:c r="E192" s="11" t="str">
        <x:f>IF(A192="","",SUMIFS('Layout'!$K$8:$K$207,'Layout'!$G$8:$G$207,A192,'Layout'!$L$8:$L$207,"Spares"))</x:f>
      </x:c>
      <x:c r="F192" s="11" t="str">
        <x:f>IF(A192="","",SUM(D192:E192))</x:f>
      </x:c>
      <x:c r="G192" s="11" t="str">
        <x:f>IF(A192="","",'Definitions'!I192+SUMIFS('Assets'!$J$8:$J$207,'Assets'!$B$8:$B$207,A192))</x:f>
      </x:c>
      <x:c r="H192" s="11" t="str">
        <x:f>IF(A192="","",SUMIFS('Orders'!$I$8:$I$207,'Orders'!$D$8:$D$207,A192))</x:f>
      </x:c>
      <x:c r="I192" s="11" t="str">
        <x:f>IF(A192="","",SUMIFS('Orders'!$J$8:$J$207,'Orders'!$D$8:$D$207,A192))</x:f>
      </x:c>
      <x:c r="J192" s="11" t="str">
        <x:f>IF(A192="","",MAX(0,F192-G192))</x:f>
      </x:c>
      <x:c r="K192" s="11" t="str">
        <x:f>IF(A192="","",MAX(0,F192-G192-H192))</x:f>
      </x:c>
      <x:c r="L192" s="11" t="str">
        <x:f>IF(A192="","",'Definitions'!H192)</x:f>
      </x:c>
      <x:c r="M192" s="11" t="str">
        <x:f>IF(A192="","",IF(AND(ISNUMBER(L192),L192&gt;0),ROUNDUP(K192/L192,0),"Set pack size"))</x:f>
      </x:c>
      <x:c r="N192" s="11" t="str">
        <x:f>IF(A192="","",SUMIFS('Shipments'!$H$8:$H$207,'Shipments'!$F$8:$F$207,A192,'Shipments'!$C$8:$C$207,"Outbound"))</x:f>
      </x:c>
      <x:c r="O192" s="11" t="str">
        <x:f>IF(A192="","",MAX(0,F192-N192))</x:f>
      </x:c>
    </x:row>
    <x:row r="193" ht="22" customHeight="1">
      <x:c r="A193" s="9" t="str">
        <x:f>IF(AND('Definitions'!A193&lt;&gt;"",'Definitions'!C193="Part"),'Definitions'!A193,"")</x:f>
      </x:c>
      <x:c r="B193" s="9" t="str">
        <x:f>IF(A193="","",'Definitions'!B193)</x:f>
      </x:c>
      <x:c r="C193" s="9" t="str">
        <x:f>IF(A193="","",'Definitions'!F193)</x:f>
      </x:c>
      <x:c r="D193" s="11" t="str">
        <x:f>IF(A193="","",SUMIFS('Layout'!$K$8:$K$207,'Layout'!$G$8:$G$207,A193,'Layout'!$L$8:$L$207,"Build"))</x:f>
      </x:c>
      <x:c r="E193" s="11" t="str">
        <x:f>IF(A193="","",SUMIFS('Layout'!$K$8:$K$207,'Layout'!$G$8:$G$207,A193,'Layout'!$L$8:$L$207,"Spares"))</x:f>
      </x:c>
      <x:c r="F193" s="11" t="str">
        <x:f>IF(A193="","",SUM(D193:E193))</x:f>
      </x:c>
      <x:c r="G193" s="11" t="str">
        <x:f>IF(A193="","",'Definitions'!I193+SUMIFS('Assets'!$J$8:$J$207,'Assets'!$B$8:$B$207,A193))</x:f>
      </x:c>
      <x:c r="H193" s="11" t="str">
        <x:f>IF(A193="","",SUMIFS('Orders'!$I$8:$I$207,'Orders'!$D$8:$D$207,A193))</x:f>
      </x:c>
      <x:c r="I193" s="11" t="str">
        <x:f>IF(A193="","",SUMIFS('Orders'!$J$8:$J$207,'Orders'!$D$8:$D$207,A193))</x:f>
      </x:c>
      <x:c r="J193" s="11" t="str">
        <x:f>IF(A193="","",MAX(0,F193-G193))</x:f>
      </x:c>
      <x:c r="K193" s="11" t="str">
        <x:f>IF(A193="","",MAX(0,F193-G193-H193))</x:f>
      </x:c>
      <x:c r="L193" s="11" t="str">
        <x:f>IF(A193="","",'Definitions'!H193)</x:f>
      </x:c>
      <x:c r="M193" s="11" t="str">
        <x:f>IF(A193="","",IF(AND(ISNUMBER(L193),L193&gt;0),ROUNDUP(K193/L193,0),"Set pack size"))</x:f>
      </x:c>
      <x:c r="N193" s="11" t="str">
        <x:f>IF(A193="","",SUMIFS('Shipments'!$H$8:$H$207,'Shipments'!$F$8:$F$207,A193,'Shipments'!$C$8:$C$207,"Outbound"))</x:f>
      </x:c>
      <x:c r="O193" s="11" t="str">
        <x:f>IF(A193="","",MAX(0,F193-N193))</x:f>
      </x:c>
    </x:row>
    <x:row r="194" ht="22" customHeight="1">
      <x:c r="A194" s="9" t="str">
        <x:f>IF(AND('Definitions'!A194&lt;&gt;"",'Definitions'!C194="Part"),'Definitions'!A194,"")</x:f>
      </x:c>
      <x:c r="B194" s="9" t="str">
        <x:f>IF(A194="","",'Definitions'!B194)</x:f>
      </x:c>
      <x:c r="C194" s="9" t="str">
        <x:f>IF(A194="","",'Definitions'!F194)</x:f>
      </x:c>
      <x:c r="D194" s="11" t="str">
        <x:f>IF(A194="","",SUMIFS('Layout'!$K$8:$K$207,'Layout'!$G$8:$G$207,A194,'Layout'!$L$8:$L$207,"Build"))</x:f>
      </x:c>
      <x:c r="E194" s="11" t="str">
        <x:f>IF(A194="","",SUMIFS('Layout'!$K$8:$K$207,'Layout'!$G$8:$G$207,A194,'Layout'!$L$8:$L$207,"Spares"))</x:f>
      </x:c>
      <x:c r="F194" s="11" t="str">
        <x:f>IF(A194="","",SUM(D194:E194))</x:f>
      </x:c>
      <x:c r="G194" s="11" t="str">
        <x:f>IF(A194="","",'Definitions'!I194+SUMIFS('Assets'!$J$8:$J$207,'Assets'!$B$8:$B$207,A194))</x:f>
      </x:c>
      <x:c r="H194" s="11" t="str">
        <x:f>IF(A194="","",SUMIFS('Orders'!$I$8:$I$207,'Orders'!$D$8:$D$207,A194))</x:f>
      </x:c>
      <x:c r="I194" s="11" t="str">
        <x:f>IF(A194="","",SUMIFS('Orders'!$J$8:$J$207,'Orders'!$D$8:$D$207,A194))</x:f>
      </x:c>
      <x:c r="J194" s="11" t="str">
        <x:f>IF(A194="","",MAX(0,F194-G194))</x:f>
      </x:c>
      <x:c r="K194" s="11" t="str">
        <x:f>IF(A194="","",MAX(0,F194-G194-H194))</x:f>
      </x:c>
      <x:c r="L194" s="11" t="str">
        <x:f>IF(A194="","",'Definitions'!H194)</x:f>
      </x:c>
      <x:c r="M194" s="11" t="str">
        <x:f>IF(A194="","",IF(AND(ISNUMBER(L194),L194&gt;0),ROUNDUP(K194/L194,0),"Set pack size"))</x:f>
      </x:c>
      <x:c r="N194" s="11" t="str">
        <x:f>IF(A194="","",SUMIFS('Shipments'!$H$8:$H$207,'Shipments'!$F$8:$F$207,A194,'Shipments'!$C$8:$C$207,"Outbound"))</x:f>
      </x:c>
      <x:c r="O194" s="11" t="str">
        <x:f>IF(A194="","",MAX(0,F194-N194))</x:f>
      </x:c>
    </x:row>
    <x:row r="195" ht="22" customHeight="1">
      <x:c r="A195" s="9" t="str">
        <x:f>IF(AND('Definitions'!A195&lt;&gt;"",'Definitions'!C195="Part"),'Definitions'!A195,"")</x:f>
      </x:c>
      <x:c r="B195" s="9" t="str">
        <x:f>IF(A195="","",'Definitions'!B195)</x:f>
      </x:c>
      <x:c r="C195" s="9" t="str">
        <x:f>IF(A195="","",'Definitions'!F195)</x:f>
      </x:c>
      <x:c r="D195" s="11" t="str">
        <x:f>IF(A195="","",SUMIFS('Layout'!$K$8:$K$207,'Layout'!$G$8:$G$207,A195,'Layout'!$L$8:$L$207,"Build"))</x:f>
      </x:c>
      <x:c r="E195" s="11" t="str">
        <x:f>IF(A195="","",SUMIFS('Layout'!$K$8:$K$207,'Layout'!$G$8:$G$207,A195,'Layout'!$L$8:$L$207,"Spares"))</x:f>
      </x:c>
      <x:c r="F195" s="11" t="str">
        <x:f>IF(A195="","",SUM(D195:E195))</x:f>
      </x:c>
      <x:c r="G195" s="11" t="str">
        <x:f>IF(A195="","",'Definitions'!I195+SUMIFS('Assets'!$J$8:$J$207,'Assets'!$B$8:$B$207,A195))</x:f>
      </x:c>
      <x:c r="H195" s="11" t="str">
        <x:f>IF(A195="","",SUMIFS('Orders'!$I$8:$I$207,'Orders'!$D$8:$D$207,A195))</x:f>
      </x:c>
      <x:c r="I195" s="11" t="str">
        <x:f>IF(A195="","",SUMIFS('Orders'!$J$8:$J$207,'Orders'!$D$8:$D$207,A195))</x:f>
      </x:c>
      <x:c r="J195" s="11" t="str">
        <x:f>IF(A195="","",MAX(0,F195-G195))</x:f>
      </x:c>
      <x:c r="K195" s="11" t="str">
        <x:f>IF(A195="","",MAX(0,F195-G195-H195))</x:f>
      </x:c>
      <x:c r="L195" s="11" t="str">
        <x:f>IF(A195="","",'Definitions'!H195)</x:f>
      </x:c>
      <x:c r="M195" s="11" t="str">
        <x:f>IF(A195="","",IF(AND(ISNUMBER(L195),L195&gt;0),ROUNDUP(K195/L195,0),"Set pack size"))</x:f>
      </x:c>
      <x:c r="N195" s="11" t="str">
        <x:f>IF(A195="","",SUMIFS('Shipments'!$H$8:$H$207,'Shipments'!$F$8:$F$207,A195,'Shipments'!$C$8:$C$207,"Outbound"))</x:f>
      </x:c>
      <x:c r="O195" s="11" t="str">
        <x:f>IF(A195="","",MAX(0,F195-N195))</x:f>
      </x:c>
    </x:row>
    <x:row r="196" ht="22" customHeight="1">
      <x:c r="A196" s="9" t="str">
        <x:f>IF(AND('Definitions'!A196&lt;&gt;"",'Definitions'!C196="Part"),'Definitions'!A196,"")</x:f>
      </x:c>
      <x:c r="B196" s="9" t="str">
        <x:f>IF(A196="","",'Definitions'!B196)</x:f>
      </x:c>
      <x:c r="C196" s="9" t="str">
        <x:f>IF(A196="","",'Definitions'!F196)</x:f>
      </x:c>
      <x:c r="D196" s="11" t="str">
        <x:f>IF(A196="","",SUMIFS('Layout'!$K$8:$K$207,'Layout'!$G$8:$G$207,A196,'Layout'!$L$8:$L$207,"Build"))</x:f>
      </x:c>
      <x:c r="E196" s="11" t="str">
        <x:f>IF(A196="","",SUMIFS('Layout'!$K$8:$K$207,'Layout'!$G$8:$G$207,A196,'Layout'!$L$8:$L$207,"Spares"))</x:f>
      </x:c>
      <x:c r="F196" s="11" t="str">
        <x:f>IF(A196="","",SUM(D196:E196))</x:f>
      </x:c>
      <x:c r="G196" s="11" t="str">
        <x:f>IF(A196="","",'Definitions'!I196+SUMIFS('Assets'!$J$8:$J$207,'Assets'!$B$8:$B$207,A196))</x:f>
      </x:c>
      <x:c r="H196" s="11" t="str">
        <x:f>IF(A196="","",SUMIFS('Orders'!$I$8:$I$207,'Orders'!$D$8:$D$207,A196))</x:f>
      </x:c>
      <x:c r="I196" s="11" t="str">
        <x:f>IF(A196="","",SUMIFS('Orders'!$J$8:$J$207,'Orders'!$D$8:$D$207,A196))</x:f>
      </x:c>
      <x:c r="J196" s="11" t="str">
        <x:f>IF(A196="","",MAX(0,F196-G196))</x:f>
      </x:c>
      <x:c r="K196" s="11" t="str">
        <x:f>IF(A196="","",MAX(0,F196-G196-H196))</x:f>
      </x:c>
      <x:c r="L196" s="11" t="str">
        <x:f>IF(A196="","",'Definitions'!H196)</x:f>
      </x:c>
      <x:c r="M196" s="11" t="str">
        <x:f>IF(A196="","",IF(AND(ISNUMBER(L196),L196&gt;0),ROUNDUP(K196/L196,0),"Set pack size"))</x:f>
      </x:c>
      <x:c r="N196" s="11" t="str">
        <x:f>IF(A196="","",SUMIFS('Shipments'!$H$8:$H$207,'Shipments'!$F$8:$F$207,A196,'Shipments'!$C$8:$C$207,"Outbound"))</x:f>
      </x:c>
      <x:c r="O196" s="11" t="str">
        <x:f>IF(A196="","",MAX(0,F196-N196))</x:f>
      </x:c>
    </x:row>
    <x:row r="197" ht="22" customHeight="1">
      <x:c r="A197" s="9" t="str">
        <x:f>IF(AND('Definitions'!A197&lt;&gt;"",'Definitions'!C197="Part"),'Definitions'!A197,"")</x:f>
      </x:c>
      <x:c r="B197" s="9" t="str">
        <x:f>IF(A197="","",'Definitions'!B197)</x:f>
      </x:c>
      <x:c r="C197" s="9" t="str">
        <x:f>IF(A197="","",'Definitions'!F197)</x:f>
      </x:c>
      <x:c r="D197" s="11" t="str">
        <x:f>IF(A197="","",SUMIFS('Layout'!$K$8:$K$207,'Layout'!$G$8:$G$207,A197,'Layout'!$L$8:$L$207,"Build"))</x:f>
      </x:c>
      <x:c r="E197" s="11" t="str">
        <x:f>IF(A197="","",SUMIFS('Layout'!$K$8:$K$207,'Layout'!$G$8:$G$207,A197,'Layout'!$L$8:$L$207,"Spares"))</x:f>
      </x:c>
      <x:c r="F197" s="11" t="str">
        <x:f>IF(A197="","",SUM(D197:E197))</x:f>
      </x:c>
      <x:c r="G197" s="11" t="str">
        <x:f>IF(A197="","",'Definitions'!I197+SUMIFS('Assets'!$J$8:$J$207,'Assets'!$B$8:$B$207,A197))</x:f>
      </x:c>
      <x:c r="H197" s="11" t="str">
        <x:f>IF(A197="","",SUMIFS('Orders'!$I$8:$I$207,'Orders'!$D$8:$D$207,A197))</x:f>
      </x:c>
      <x:c r="I197" s="11" t="str">
        <x:f>IF(A197="","",SUMIFS('Orders'!$J$8:$J$207,'Orders'!$D$8:$D$207,A197))</x:f>
      </x:c>
      <x:c r="J197" s="11" t="str">
        <x:f>IF(A197="","",MAX(0,F197-G197))</x:f>
      </x:c>
      <x:c r="K197" s="11" t="str">
        <x:f>IF(A197="","",MAX(0,F197-G197-H197))</x:f>
      </x:c>
      <x:c r="L197" s="11" t="str">
        <x:f>IF(A197="","",'Definitions'!H197)</x:f>
      </x:c>
      <x:c r="M197" s="11" t="str">
        <x:f>IF(A197="","",IF(AND(ISNUMBER(L197),L197&gt;0),ROUNDUP(K197/L197,0),"Set pack size"))</x:f>
      </x:c>
      <x:c r="N197" s="11" t="str">
        <x:f>IF(A197="","",SUMIFS('Shipments'!$H$8:$H$207,'Shipments'!$F$8:$F$207,A197,'Shipments'!$C$8:$C$207,"Outbound"))</x:f>
      </x:c>
      <x:c r="O197" s="11" t="str">
        <x:f>IF(A197="","",MAX(0,F197-N197))</x:f>
      </x:c>
    </x:row>
    <x:row r="198" ht="22" customHeight="1">
      <x:c r="A198" s="9" t="str">
        <x:f>IF(AND('Definitions'!A198&lt;&gt;"",'Definitions'!C198="Part"),'Definitions'!A198,"")</x:f>
      </x:c>
      <x:c r="B198" s="9" t="str">
        <x:f>IF(A198="","",'Definitions'!B198)</x:f>
      </x:c>
      <x:c r="C198" s="9" t="str">
        <x:f>IF(A198="","",'Definitions'!F198)</x:f>
      </x:c>
      <x:c r="D198" s="11" t="str">
        <x:f>IF(A198="","",SUMIFS('Layout'!$K$8:$K$207,'Layout'!$G$8:$G$207,A198,'Layout'!$L$8:$L$207,"Build"))</x:f>
      </x:c>
      <x:c r="E198" s="11" t="str">
        <x:f>IF(A198="","",SUMIFS('Layout'!$K$8:$K$207,'Layout'!$G$8:$G$207,A198,'Layout'!$L$8:$L$207,"Spares"))</x:f>
      </x:c>
      <x:c r="F198" s="11" t="str">
        <x:f>IF(A198="","",SUM(D198:E198))</x:f>
      </x:c>
      <x:c r="G198" s="11" t="str">
        <x:f>IF(A198="","",'Definitions'!I198+SUMIFS('Assets'!$J$8:$J$207,'Assets'!$B$8:$B$207,A198))</x:f>
      </x:c>
      <x:c r="H198" s="11" t="str">
        <x:f>IF(A198="","",SUMIFS('Orders'!$I$8:$I$207,'Orders'!$D$8:$D$207,A198))</x:f>
      </x:c>
      <x:c r="I198" s="11" t="str">
        <x:f>IF(A198="","",SUMIFS('Orders'!$J$8:$J$207,'Orders'!$D$8:$D$207,A198))</x:f>
      </x:c>
      <x:c r="J198" s="11" t="str">
        <x:f>IF(A198="","",MAX(0,F198-G198))</x:f>
      </x:c>
      <x:c r="K198" s="11" t="str">
        <x:f>IF(A198="","",MAX(0,F198-G198-H198))</x:f>
      </x:c>
      <x:c r="L198" s="11" t="str">
        <x:f>IF(A198="","",'Definitions'!H198)</x:f>
      </x:c>
      <x:c r="M198" s="11" t="str">
        <x:f>IF(A198="","",IF(AND(ISNUMBER(L198),L198&gt;0),ROUNDUP(K198/L198,0),"Set pack size"))</x:f>
      </x:c>
      <x:c r="N198" s="11" t="str">
        <x:f>IF(A198="","",SUMIFS('Shipments'!$H$8:$H$207,'Shipments'!$F$8:$F$207,A198,'Shipments'!$C$8:$C$207,"Outbound"))</x:f>
      </x:c>
      <x:c r="O198" s="11" t="str">
        <x:f>IF(A198="","",MAX(0,F198-N198))</x:f>
      </x:c>
    </x:row>
    <x:row r="199" ht="22" customHeight="1">
      <x:c r="A199" s="9" t="str">
        <x:f>IF(AND('Definitions'!A199&lt;&gt;"",'Definitions'!C199="Part"),'Definitions'!A199,"")</x:f>
      </x:c>
      <x:c r="B199" s="9" t="str">
        <x:f>IF(A199="","",'Definitions'!B199)</x:f>
      </x:c>
      <x:c r="C199" s="9" t="str">
        <x:f>IF(A199="","",'Definitions'!F199)</x:f>
      </x:c>
      <x:c r="D199" s="11" t="str">
        <x:f>IF(A199="","",SUMIFS('Layout'!$K$8:$K$207,'Layout'!$G$8:$G$207,A199,'Layout'!$L$8:$L$207,"Build"))</x:f>
      </x:c>
      <x:c r="E199" s="11" t="str">
        <x:f>IF(A199="","",SUMIFS('Layout'!$K$8:$K$207,'Layout'!$G$8:$G$207,A199,'Layout'!$L$8:$L$207,"Spares"))</x:f>
      </x:c>
      <x:c r="F199" s="11" t="str">
        <x:f>IF(A199="","",SUM(D199:E199))</x:f>
      </x:c>
      <x:c r="G199" s="11" t="str">
        <x:f>IF(A199="","",'Definitions'!I199+SUMIFS('Assets'!$J$8:$J$207,'Assets'!$B$8:$B$207,A199))</x:f>
      </x:c>
      <x:c r="H199" s="11" t="str">
        <x:f>IF(A199="","",SUMIFS('Orders'!$I$8:$I$207,'Orders'!$D$8:$D$207,A199))</x:f>
      </x:c>
      <x:c r="I199" s="11" t="str">
        <x:f>IF(A199="","",SUMIFS('Orders'!$J$8:$J$207,'Orders'!$D$8:$D$207,A199))</x:f>
      </x:c>
      <x:c r="J199" s="11" t="str">
        <x:f>IF(A199="","",MAX(0,F199-G199))</x:f>
      </x:c>
      <x:c r="K199" s="11" t="str">
        <x:f>IF(A199="","",MAX(0,F199-G199-H199))</x:f>
      </x:c>
      <x:c r="L199" s="11" t="str">
        <x:f>IF(A199="","",'Definitions'!H199)</x:f>
      </x:c>
      <x:c r="M199" s="11" t="str">
        <x:f>IF(A199="","",IF(AND(ISNUMBER(L199),L199&gt;0),ROUNDUP(K199/L199,0),"Set pack size"))</x:f>
      </x:c>
      <x:c r="N199" s="11" t="str">
        <x:f>IF(A199="","",SUMIFS('Shipments'!$H$8:$H$207,'Shipments'!$F$8:$F$207,A199,'Shipments'!$C$8:$C$207,"Outbound"))</x:f>
      </x:c>
      <x:c r="O199" s="11" t="str">
        <x:f>IF(A199="","",MAX(0,F199-N199))</x:f>
      </x:c>
    </x:row>
    <x:row r="200" ht="22" customHeight="1">
      <x:c r="A200" s="9" t="str">
        <x:f>IF(AND('Definitions'!A200&lt;&gt;"",'Definitions'!C200="Part"),'Definitions'!A200,"")</x:f>
      </x:c>
      <x:c r="B200" s="9" t="str">
        <x:f>IF(A200="","",'Definitions'!B200)</x:f>
      </x:c>
      <x:c r="C200" s="9" t="str">
        <x:f>IF(A200="","",'Definitions'!F200)</x:f>
      </x:c>
      <x:c r="D200" s="11" t="str">
        <x:f>IF(A200="","",SUMIFS('Layout'!$K$8:$K$207,'Layout'!$G$8:$G$207,A200,'Layout'!$L$8:$L$207,"Build"))</x:f>
      </x:c>
      <x:c r="E200" s="11" t="str">
        <x:f>IF(A200="","",SUMIFS('Layout'!$K$8:$K$207,'Layout'!$G$8:$G$207,A200,'Layout'!$L$8:$L$207,"Spares"))</x:f>
      </x:c>
      <x:c r="F200" s="11" t="str">
        <x:f>IF(A200="","",SUM(D200:E200))</x:f>
      </x:c>
      <x:c r="G200" s="11" t="str">
        <x:f>IF(A200="","",'Definitions'!I200+SUMIFS('Assets'!$J$8:$J$207,'Assets'!$B$8:$B$207,A200))</x:f>
      </x:c>
      <x:c r="H200" s="11" t="str">
        <x:f>IF(A200="","",SUMIFS('Orders'!$I$8:$I$207,'Orders'!$D$8:$D$207,A200))</x:f>
      </x:c>
      <x:c r="I200" s="11" t="str">
        <x:f>IF(A200="","",SUMIFS('Orders'!$J$8:$J$207,'Orders'!$D$8:$D$207,A200))</x:f>
      </x:c>
      <x:c r="J200" s="11" t="str">
        <x:f>IF(A200="","",MAX(0,F200-G200))</x:f>
      </x:c>
      <x:c r="K200" s="11" t="str">
        <x:f>IF(A200="","",MAX(0,F200-G200-H200))</x:f>
      </x:c>
      <x:c r="L200" s="11" t="str">
        <x:f>IF(A200="","",'Definitions'!H200)</x:f>
      </x:c>
      <x:c r="M200" s="11" t="str">
        <x:f>IF(A200="","",IF(AND(ISNUMBER(L200),L200&gt;0),ROUNDUP(K200/L200,0),"Set pack size"))</x:f>
      </x:c>
      <x:c r="N200" s="11" t="str">
        <x:f>IF(A200="","",SUMIFS('Shipments'!$H$8:$H$207,'Shipments'!$F$8:$F$207,A200,'Shipments'!$C$8:$C$207,"Outbound"))</x:f>
      </x:c>
      <x:c r="O200" s="11" t="str">
        <x:f>IF(A200="","",MAX(0,F200-N200))</x:f>
      </x:c>
    </x:row>
    <x:row r="201" ht="22" customHeight="1">
      <x:c r="A201" s="9" t="str">
        <x:f>IF(AND('Definitions'!A201&lt;&gt;"",'Definitions'!C201="Part"),'Definitions'!A201,"")</x:f>
      </x:c>
      <x:c r="B201" s="9" t="str">
        <x:f>IF(A201="","",'Definitions'!B201)</x:f>
      </x:c>
      <x:c r="C201" s="9" t="str">
        <x:f>IF(A201="","",'Definitions'!F201)</x:f>
      </x:c>
      <x:c r="D201" s="11" t="str">
        <x:f>IF(A201="","",SUMIFS('Layout'!$K$8:$K$207,'Layout'!$G$8:$G$207,A201,'Layout'!$L$8:$L$207,"Build"))</x:f>
      </x:c>
      <x:c r="E201" s="11" t="str">
        <x:f>IF(A201="","",SUMIFS('Layout'!$K$8:$K$207,'Layout'!$G$8:$G$207,A201,'Layout'!$L$8:$L$207,"Spares"))</x:f>
      </x:c>
      <x:c r="F201" s="11" t="str">
        <x:f>IF(A201="","",SUM(D201:E201))</x:f>
      </x:c>
      <x:c r="G201" s="11" t="str">
        <x:f>IF(A201="","",'Definitions'!I201+SUMIFS('Assets'!$J$8:$J$207,'Assets'!$B$8:$B$207,A201))</x:f>
      </x:c>
      <x:c r="H201" s="11" t="str">
        <x:f>IF(A201="","",SUMIFS('Orders'!$I$8:$I$207,'Orders'!$D$8:$D$207,A201))</x:f>
      </x:c>
      <x:c r="I201" s="11" t="str">
        <x:f>IF(A201="","",SUMIFS('Orders'!$J$8:$J$207,'Orders'!$D$8:$D$207,A201))</x:f>
      </x:c>
      <x:c r="J201" s="11" t="str">
        <x:f>IF(A201="","",MAX(0,F201-G201))</x:f>
      </x:c>
      <x:c r="K201" s="11" t="str">
        <x:f>IF(A201="","",MAX(0,F201-G201-H201))</x:f>
      </x:c>
      <x:c r="L201" s="11" t="str">
        <x:f>IF(A201="","",'Definitions'!H201)</x:f>
      </x:c>
      <x:c r="M201" s="11" t="str">
        <x:f>IF(A201="","",IF(AND(ISNUMBER(L201),L201&gt;0),ROUNDUP(K201/L201,0),"Set pack size"))</x:f>
      </x:c>
      <x:c r="N201" s="11" t="str">
        <x:f>IF(A201="","",SUMIFS('Shipments'!$H$8:$H$207,'Shipments'!$F$8:$F$207,A201,'Shipments'!$C$8:$C$207,"Outbound"))</x:f>
      </x:c>
      <x:c r="O201" s="11" t="str">
        <x:f>IF(A201="","",MAX(0,F201-N201))</x:f>
      </x:c>
    </x:row>
    <x:row r="202" ht="22" customHeight="1">
      <x:c r="A202" s="9" t="str">
        <x:f>IF(AND('Definitions'!A202&lt;&gt;"",'Definitions'!C202="Part"),'Definitions'!A202,"")</x:f>
      </x:c>
      <x:c r="B202" s="9" t="str">
        <x:f>IF(A202="","",'Definitions'!B202)</x:f>
      </x:c>
      <x:c r="C202" s="9" t="str">
        <x:f>IF(A202="","",'Definitions'!F202)</x:f>
      </x:c>
      <x:c r="D202" s="11" t="str">
        <x:f>IF(A202="","",SUMIFS('Layout'!$K$8:$K$207,'Layout'!$G$8:$G$207,A202,'Layout'!$L$8:$L$207,"Build"))</x:f>
      </x:c>
      <x:c r="E202" s="11" t="str">
        <x:f>IF(A202="","",SUMIFS('Layout'!$K$8:$K$207,'Layout'!$G$8:$G$207,A202,'Layout'!$L$8:$L$207,"Spares"))</x:f>
      </x:c>
      <x:c r="F202" s="11" t="str">
        <x:f>IF(A202="","",SUM(D202:E202))</x:f>
      </x:c>
      <x:c r="G202" s="11" t="str">
        <x:f>IF(A202="","",'Definitions'!I202+SUMIFS('Assets'!$J$8:$J$207,'Assets'!$B$8:$B$207,A202))</x:f>
      </x:c>
      <x:c r="H202" s="11" t="str">
        <x:f>IF(A202="","",SUMIFS('Orders'!$I$8:$I$207,'Orders'!$D$8:$D$207,A202))</x:f>
      </x:c>
      <x:c r="I202" s="11" t="str">
        <x:f>IF(A202="","",SUMIFS('Orders'!$J$8:$J$207,'Orders'!$D$8:$D$207,A202))</x:f>
      </x:c>
      <x:c r="J202" s="11" t="str">
        <x:f>IF(A202="","",MAX(0,F202-G202))</x:f>
      </x:c>
      <x:c r="K202" s="11" t="str">
        <x:f>IF(A202="","",MAX(0,F202-G202-H202))</x:f>
      </x:c>
      <x:c r="L202" s="11" t="str">
        <x:f>IF(A202="","",'Definitions'!H202)</x:f>
      </x:c>
      <x:c r="M202" s="11" t="str">
        <x:f>IF(A202="","",IF(AND(ISNUMBER(L202),L202&gt;0),ROUNDUP(K202/L202,0),"Set pack size"))</x:f>
      </x:c>
      <x:c r="N202" s="11" t="str">
        <x:f>IF(A202="","",SUMIFS('Shipments'!$H$8:$H$207,'Shipments'!$F$8:$F$207,A202,'Shipments'!$C$8:$C$207,"Outbound"))</x:f>
      </x:c>
      <x:c r="O202" s="11" t="str">
        <x:f>IF(A202="","",MAX(0,F202-N202))</x:f>
      </x:c>
    </x:row>
    <x:row r="203" ht="22" customHeight="1">
      <x:c r="A203" s="9" t="str">
        <x:f>IF(AND('Definitions'!A203&lt;&gt;"",'Definitions'!C203="Part"),'Definitions'!A203,"")</x:f>
      </x:c>
      <x:c r="B203" s="9" t="str">
        <x:f>IF(A203="","",'Definitions'!B203)</x:f>
      </x:c>
      <x:c r="C203" s="9" t="str">
        <x:f>IF(A203="","",'Definitions'!F203)</x:f>
      </x:c>
      <x:c r="D203" s="11" t="str">
        <x:f>IF(A203="","",SUMIFS('Layout'!$K$8:$K$207,'Layout'!$G$8:$G$207,A203,'Layout'!$L$8:$L$207,"Build"))</x:f>
      </x:c>
      <x:c r="E203" s="11" t="str">
        <x:f>IF(A203="","",SUMIFS('Layout'!$K$8:$K$207,'Layout'!$G$8:$G$207,A203,'Layout'!$L$8:$L$207,"Spares"))</x:f>
      </x:c>
      <x:c r="F203" s="11" t="str">
        <x:f>IF(A203="","",SUM(D203:E203))</x:f>
      </x:c>
      <x:c r="G203" s="11" t="str">
        <x:f>IF(A203="","",'Definitions'!I203+SUMIFS('Assets'!$J$8:$J$207,'Assets'!$B$8:$B$207,A203))</x:f>
      </x:c>
      <x:c r="H203" s="11" t="str">
        <x:f>IF(A203="","",SUMIFS('Orders'!$I$8:$I$207,'Orders'!$D$8:$D$207,A203))</x:f>
      </x:c>
      <x:c r="I203" s="11" t="str">
        <x:f>IF(A203="","",SUMIFS('Orders'!$J$8:$J$207,'Orders'!$D$8:$D$207,A203))</x:f>
      </x:c>
      <x:c r="J203" s="11" t="str">
        <x:f>IF(A203="","",MAX(0,F203-G203))</x:f>
      </x:c>
      <x:c r="K203" s="11" t="str">
        <x:f>IF(A203="","",MAX(0,F203-G203-H203))</x:f>
      </x:c>
      <x:c r="L203" s="11" t="str">
        <x:f>IF(A203="","",'Definitions'!H203)</x:f>
      </x:c>
      <x:c r="M203" s="11" t="str">
        <x:f>IF(A203="","",IF(AND(ISNUMBER(L203),L203&gt;0),ROUNDUP(K203/L203,0),"Set pack size"))</x:f>
      </x:c>
      <x:c r="N203" s="11" t="str">
        <x:f>IF(A203="","",SUMIFS('Shipments'!$H$8:$H$207,'Shipments'!$F$8:$F$207,A203,'Shipments'!$C$8:$C$207,"Outbound"))</x:f>
      </x:c>
      <x:c r="O203" s="11" t="str">
        <x:f>IF(A203="","",MAX(0,F203-N203))</x:f>
      </x:c>
    </x:row>
    <x:row r="204" ht="22" customHeight="1">
      <x:c r="A204" s="9" t="str">
        <x:f>IF(AND('Definitions'!A204&lt;&gt;"",'Definitions'!C204="Part"),'Definitions'!A204,"")</x:f>
      </x:c>
      <x:c r="B204" s="9" t="str">
        <x:f>IF(A204="","",'Definitions'!B204)</x:f>
      </x:c>
      <x:c r="C204" s="9" t="str">
        <x:f>IF(A204="","",'Definitions'!F204)</x:f>
      </x:c>
      <x:c r="D204" s="11" t="str">
        <x:f>IF(A204="","",SUMIFS('Layout'!$K$8:$K$207,'Layout'!$G$8:$G$207,A204,'Layout'!$L$8:$L$207,"Build"))</x:f>
      </x:c>
      <x:c r="E204" s="11" t="str">
        <x:f>IF(A204="","",SUMIFS('Layout'!$K$8:$K$207,'Layout'!$G$8:$G$207,A204,'Layout'!$L$8:$L$207,"Spares"))</x:f>
      </x:c>
      <x:c r="F204" s="11" t="str">
        <x:f>IF(A204="","",SUM(D204:E204))</x:f>
      </x:c>
      <x:c r="G204" s="11" t="str">
        <x:f>IF(A204="","",'Definitions'!I204+SUMIFS('Assets'!$J$8:$J$207,'Assets'!$B$8:$B$207,A204))</x:f>
      </x:c>
      <x:c r="H204" s="11" t="str">
        <x:f>IF(A204="","",SUMIFS('Orders'!$I$8:$I$207,'Orders'!$D$8:$D$207,A204))</x:f>
      </x:c>
      <x:c r="I204" s="11" t="str">
        <x:f>IF(A204="","",SUMIFS('Orders'!$J$8:$J$207,'Orders'!$D$8:$D$207,A204))</x:f>
      </x:c>
      <x:c r="J204" s="11" t="str">
        <x:f>IF(A204="","",MAX(0,F204-G204))</x:f>
      </x:c>
      <x:c r="K204" s="11" t="str">
        <x:f>IF(A204="","",MAX(0,F204-G204-H204))</x:f>
      </x:c>
      <x:c r="L204" s="11" t="str">
        <x:f>IF(A204="","",'Definitions'!H204)</x:f>
      </x:c>
      <x:c r="M204" s="11" t="str">
        <x:f>IF(A204="","",IF(AND(ISNUMBER(L204),L204&gt;0),ROUNDUP(K204/L204,0),"Set pack size"))</x:f>
      </x:c>
      <x:c r="N204" s="11" t="str">
        <x:f>IF(A204="","",SUMIFS('Shipments'!$H$8:$H$207,'Shipments'!$F$8:$F$207,A204,'Shipments'!$C$8:$C$207,"Outbound"))</x:f>
      </x:c>
      <x:c r="O204" s="11" t="str">
        <x:f>IF(A204="","",MAX(0,F204-N204))</x:f>
      </x:c>
    </x:row>
    <x:row r="205" ht="22" customHeight="1">
      <x:c r="A205" s="9" t="str">
        <x:f>IF(AND('Definitions'!A205&lt;&gt;"",'Definitions'!C205="Part"),'Definitions'!A205,"")</x:f>
      </x:c>
      <x:c r="B205" s="9" t="str">
        <x:f>IF(A205="","",'Definitions'!B205)</x:f>
      </x:c>
      <x:c r="C205" s="9" t="str">
        <x:f>IF(A205="","",'Definitions'!F205)</x:f>
      </x:c>
      <x:c r="D205" s="11" t="str">
        <x:f>IF(A205="","",SUMIFS('Layout'!$K$8:$K$207,'Layout'!$G$8:$G$207,A205,'Layout'!$L$8:$L$207,"Build"))</x:f>
      </x:c>
      <x:c r="E205" s="11" t="str">
        <x:f>IF(A205="","",SUMIFS('Layout'!$K$8:$K$207,'Layout'!$G$8:$G$207,A205,'Layout'!$L$8:$L$207,"Spares"))</x:f>
      </x:c>
      <x:c r="F205" s="11" t="str">
        <x:f>IF(A205="","",SUM(D205:E205))</x:f>
      </x:c>
      <x:c r="G205" s="11" t="str">
        <x:f>IF(A205="","",'Definitions'!I205+SUMIFS('Assets'!$J$8:$J$207,'Assets'!$B$8:$B$207,A205))</x:f>
      </x:c>
      <x:c r="H205" s="11" t="str">
        <x:f>IF(A205="","",SUMIFS('Orders'!$I$8:$I$207,'Orders'!$D$8:$D$207,A205))</x:f>
      </x:c>
      <x:c r="I205" s="11" t="str">
        <x:f>IF(A205="","",SUMIFS('Orders'!$J$8:$J$207,'Orders'!$D$8:$D$207,A205))</x:f>
      </x:c>
      <x:c r="J205" s="11" t="str">
        <x:f>IF(A205="","",MAX(0,F205-G205))</x:f>
      </x:c>
      <x:c r="K205" s="11" t="str">
        <x:f>IF(A205="","",MAX(0,F205-G205-H205))</x:f>
      </x:c>
      <x:c r="L205" s="11" t="str">
        <x:f>IF(A205="","",'Definitions'!H205)</x:f>
      </x:c>
      <x:c r="M205" s="11" t="str">
        <x:f>IF(A205="","",IF(AND(ISNUMBER(L205),L205&gt;0),ROUNDUP(K205/L205,0),"Set pack size"))</x:f>
      </x:c>
      <x:c r="N205" s="11" t="str">
        <x:f>IF(A205="","",SUMIFS('Shipments'!$H$8:$H$207,'Shipments'!$F$8:$F$207,A205,'Shipments'!$C$8:$C$207,"Outbound"))</x:f>
      </x:c>
      <x:c r="O205" s="11" t="str">
        <x:f>IF(A205="","",MAX(0,F205-N205))</x:f>
      </x:c>
    </x:row>
    <x:row r="206" ht="22" customHeight="1">
      <x:c r="A206" s="9" t="str">
        <x:f>IF(AND('Definitions'!A206&lt;&gt;"",'Definitions'!C206="Part"),'Definitions'!A206,"")</x:f>
      </x:c>
      <x:c r="B206" s="9" t="str">
        <x:f>IF(A206="","",'Definitions'!B206)</x:f>
      </x:c>
      <x:c r="C206" s="9" t="str">
        <x:f>IF(A206="","",'Definitions'!F206)</x:f>
      </x:c>
      <x:c r="D206" s="11" t="str">
        <x:f>IF(A206="","",SUMIFS('Layout'!$K$8:$K$207,'Layout'!$G$8:$G$207,A206,'Layout'!$L$8:$L$207,"Build"))</x:f>
      </x:c>
      <x:c r="E206" s="11" t="str">
        <x:f>IF(A206="","",SUMIFS('Layout'!$K$8:$K$207,'Layout'!$G$8:$G$207,A206,'Layout'!$L$8:$L$207,"Spares"))</x:f>
      </x:c>
      <x:c r="F206" s="11" t="str">
        <x:f>IF(A206="","",SUM(D206:E206))</x:f>
      </x:c>
      <x:c r="G206" s="11" t="str">
        <x:f>IF(A206="","",'Definitions'!I206+SUMIFS('Assets'!$J$8:$J$207,'Assets'!$B$8:$B$207,A206))</x:f>
      </x:c>
      <x:c r="H206" s="11" t="str">
        <x:f>IF(A206="","",SUMIFS('Orders'!$I$8:$I$207,'Orders'!$D$8:$D$207,A206))</x:f>
      </x:c>
      <x:c r="I206" s="11" t="str">
        <x:f>IF(A206="","",SUMIFS('Orders'!$J$8:$J$207,'Orders'!$D$8:$D$207,A206))</x:f>
      </x:c>
      <x:c r="J206" s="11" t="str">
        <x:f>IF(A206="","",MAX(0,F206-G206))</x:f>
      </x:c>
      <x:c r="K206" s="11" t="str">
        <x:f>IF(A206="","",MAX(0,F206-G206-H206))</x:f>
      </x:c>
      <x:c r="L206" s="11" t="str">
        <x:f>IF(A206="","",'Definitions'!H206)</x:f>
      </x:c>
      <x:c r="M206" s="11" t="str">
        <x:f>IF(A206="","",IF(AND(ISNUMBER(L206),L206&gt;0),ROUNDUP(K206/L206,0),"Set pack size"))</x:f>
      </x:c>
      <x:c r="N206" s="11" t="str">
        <x:f>IF(A206="","",SUMIFS('Shipments'!$H$8:$H$207,'Shipments'!$F$8:$F$207,A206,'Shipments'!$C$8:$C$207,"Outbound"))</x:f>
      </x:c>
      <x:c r="O206" s="11" t="str">
        <x:f>IF(A206="","",MAX(0,F206-N206))</x:f>
      </x:c>
    </x:row>
    <x:row r="207" ht="22" customHeight="1">
      <x:c r="A207" s="9" t="str">
        <x:f>IF(AND('Definitions'!A207&lt;&gt;"",'Definitions'!C207="Part"),'Definitions'!A207,"")</x:f>
      </x:c>
      <x:c r="B207" s="9" t="str">
        <x:f>IF(A207="","",'Definitions'!B207)</x:f>
      </x:c>
      <x:c r="C207" s="9" t="str">
        <x:f>IF(A207="","",'Definitions'!F207)</x:f>
      </x:c>
      <x:c r="D207" s="11" t="str">
        <x:f>IF(A207="","",SUMIFS('Layout'!$K$8:$K$207,'Layout'!$G$8:$G$207,A207,'Layout'!$L$8:$L$207,"Build"))</x:f>
      </x:c>
      <x:c r="E207" s="11" t="str">
        <x:f>IF(A207="","",SUMIFS('Layout'!$K$8:$K$207,'Layout'!$G$8:$G$207,A207,'Layout'!$L$8:$L$207,"Spares"))</x:f>
      </x:c>
      <x:c r="F207" s="11" t="str">
        <x:f>IF(A207="","",SUM(D207:E207))</x:f>
      </x:c>
      <x:c r="G207" s="11" t="str">
        <x:f>IF(A207="","",'Definitions'!I207+SUMIFS('Assets'!$J$8:$J$207,'Assets'!$B$8:$B$207,A207))</x:f>
      </x:c>
      <x:c r="H207" s="11" t="str">
        <x:f>IF(A207="","",SUMIFS('Orders'!$I$8:$I$207,'Orders'!$D$8:$D$207,A207))</x:f>
      </x:c>
      <x:c r="I207" s="11" t="str">
        <x:f>IF(A207="","",SUMIFS('Orders'!$J$8:$J$207,'Orders'!$D$8:$D$207,A207))</x:f>
      </x:c>
      <x:c r="J207" s="11" t="str">
        <x:f>IF(A207="","",MAX(0,F207-G207))</x:f>
      </x:c>
      <x:c r="K207" s="11" t="str">
        <x:f>IF(A207="","",MAX(0,F207-G207-H207))</x:f>
      </x:c>
      <x:c r="L207" s="11" t="str">
        <x:f>IF(A207="","",'Definitions'!H207)</x:f>
      </x:c>
      <x:c r="M207" s="11" t="str">
        <x:f>IF(A207="","",IF(AND(ISNUMBER(L207),L207&gt;0),ROUNDUP(K207/L207,0),"Set pack size"))</x:f>
      </x:c>
      <x:c r="N207" s="11" t="str">
        <x:f>IF(A207="","",SUMIFS('Shipments'!$H$8:$H$207,'Shipments'!$F$8:$F$207,A207,'Shipments'!$C$8:$C$207,"Outbound"))</x:f>
      </x:c>
      <x:c r="O207" s="11" t="str">
        <x:f>IF(A207="","",MAX(0,F207-N207))</x:f>
      </x:c>
    </x:row>
  </x:sheetData>
  <x:conditionalFormatting sqref="J8:J207">
    <x:cfRule type="cellIs" dxfId="7" priority="1" operator="greaterThan">
      <x:formula>0</x:formula>
    </x:cfRule>
  </x:conditionalFormatting>
  <x:conditionalFormatting sqref="K8:K207">
    <x:cfRule type="cellIs" dxfId="8" priority="2" operator="greaterThan">
      <x:formula>0</x:formula>
    </x:cfRule>
  </x:conditionalFormatting>
  <x:conditionalFormatting sqref="O8:O207">
    <x:cfRule type="cellIs" dxfId="9" priority="3" operator="greaterThan">
      <x:formula>0</x:formula>
    </x:cfRule>
  </x:conditionalFormatting>
  <x:conditionalFormatting sqref="B6:B6">
    <x:cfRule type="cellIs" dxfId="10" priority="4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bfbf2db99b45c8"/>
  </x:tableParts>
</x:worksheet>
</file>

<file path=xl/worksheets/sheet2.xml><?xml version="1.0" encoding="utf-8"?>
<x:worksheet xmlns:x="http://schemas.openxmlformats.org/spreadsheetml/2006/main">
  <x:sheetPr>
    <x:tabColor rgb="FFCAD4DF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9" hidden="0" customWidth="1"/>
    <x:col min="2" max="2" width="48" hidden="0" customWidth="1"/>
    <x:col min="3" max="3" width="18" hidden="0" customWidth="1"/>
    <x:col min="4" max="4" width="18" hidden="0" customWidth="1"/>
    <x:col min="5" max="5" width="15" hidden="0" customWidth="1"/>
    <x:col min="6" max="6" width="37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Hardware by role</x:v>
      </x:c>
      <x:c r="B2" s="2"/>
      <x:c r="C2" s="2"/>
      <x:c r="D2" s="2"/>
      <x:c r="E2" s="2"/>
      <x:c r="F2" s="2"/>
    </x:row>
    <x:row r="3" ht="22" customHeight="1">
      <x:c r="A3" s="2"/>
      <x:c r="B3" s="2"/>
      <x:c r="C3" s="2"/>
      <x:c r="D3" s="2"/>
      <x:c r="E3" s="2"/>
      <x:c r="F3" s="2"/>
    </x:row>
    <x:row r="4" ht="22" customHeight="1">
      <x:c r="A4" s="4" t="str">
        <x:v>Read the planned hardware as a tree. Edit the source roles and quantities on Layout and Recipes.</x:v>
      </x:c>
      <x:c r="B4" s="2"/>
      <x:c r="C4" s="2"/>
      <x:c r="D4" s="2"/>
      <x:c r="E4" s="2"/>
      <x:c r="F4" s="2"/>
    </x:row>
    <x:row r="5" ht="22" customHeight="1">
      <x:c r="A5" s="4" t="str">
        <x:v>Amber cells are editable. Grey cells contain formulas. All populated records are illustrative.</x:v>
      </x:c>
      <x:c r="B5" s="2"/>
      <x:c r="C5" s="2"/>
      <x:c r="D5" s="2"/>
      <x:c r="E5" s="2"/>
      <x:c r="F5" s="2"/>
    </x:row>
    <x:row r="6" ht="22" customHeight="1">
      <x:c r="A6" s="2"/>
      <x:c r="B6" s="2"/>
      <x:c r="C6" s="2"/>
      <x:c r="D6" s="2"/>
      <x:c r="E6" s="2"/>
      <x:c r="F6" s="2"/>
    </x:row>
    <x:row r="7" ht="40" customHeight="1">
      <x:c r="A7" s="8" t="str">
        <x:v>Role ID</x:v>
      </x:c>
      <x:c r="B7" s="8" t="str">
        <x:v>Component hierarchy</x:v>
      </x:c>
      <x:c r="C7" s="8" t="str">
        <x:v>Qty per parent</x:v>
      </x:c>
      <x:c r="D7" s="8" t="str">
        <x:v>Required qty</x:v>
      </x:c>
      <x:c r="E7" s="8" t="str">
        <x:v>Purpose</x:v>
      </x:c>
      <x:c r="F7" s="8" t="str">
        <x:v>Check</x:v>
      </x:c>
    </x:row>
    <x:row r="8" ht="22" customHeight="1">
      <x:c r="A8" s="9" t="str">
        <x:f>IF('Layout'!A8="","",'Layout'!A8)</x:f>
        <x:v>vccu1</x:v>
      </x:c>
      <x:c r="B8" s="9" t="str">
        <x:f>IF('Layout'!A8="","",'Layout'!H8)</x:f>
        <x:v>VCCU</x:v>
      </x:c>
      <x:c r="C8" s="11" t="n">
        <x:f>IF('Layout'!A8="","",'Layout'!J8)</x:f>
        <x:v>1</x:v>
      </x:c>
      <x:c r="D8" s="11" t="n">
        <x:f>IF('Layout'!A8="","",'Layout'!K8)</x:f>
        <x:v>1</x:v>
      </x:c>
      <x:c r="E8" s="9" t="str">
        <x:f>IF('Layout'!A8="","",'Layout'!L8)</x:f>
        <x:v>Build</x:v>
      </x:c>
      <x:c r="F8" s="9" t="str">
        <x:f>IF('Layout'!A8="","",'Layout'!N8)</x:f>
        <x:v>OK</x:v>
      </x:c>
    </x:row>
    <x:row r="9" ht="22" customHeight="1">
      <x:c r="A9" s="9" t="str">
        <x:f>IF('Layout'!A9="","",'Layout'!A9)</x:f>
        <x:v>vccu1:switch1</x:v>
      </x:c>
      <x:c r="B9" s="9" t="str">
        <x:f>IF('Layout'!A9="","",'Layout'!H9)</x:f>
        <x:v>    Switch</x:v>
      </x:c>
      <x:c r="C9" s="11" t="n">
        <x:f>IF('Layout'!A9="","",'Layout'!J9)</x:f>
        <x:v>1</x:v>
      </x:c>
      <x:c r="D9" s="11" t="n">
        <x:f>IF('Layout'!A9="","",'Layout'!K9)</x:f>
        <x:v>1</x:v>
      </x:c>
      <x:c r="E9" s="9" t="str">
        <x:f>IF('Layout'!A9="","",'Layout'!L9)</x:f>
        <x:v>Build</x:v>
      </x:c>
      <x:c r="F9" s="9" t="str">
        <x:f>IF('Layout'!A9="","",'Layout'!N9)</x:f>
        <x:v>OK</x:v>
      </x:c>
    </x:row>
    <x:row r="10" ht="22" customHeight="1">
      <x:c r="A10" s="9" t="str">
        <x:f>IF('Layout'!A10="","",'Layout'!A10)</x:f>
        <x:v>vccu1:switch1:links</x:v>
      </x:c>
      <x:c r="B10" s="9" t="str">
        <x:f>IF('Layout'!A10="","",'Layout'!H10)</x:f>
        <x:v>        Optical link</x:v>
      </x:c>
      <x:c r="C10" s="11" t="n">
        <x:f>IF('Layout'!A10="","",'Layout'!J10)</x:f>
        <x:v>4</x:v>
      </x:c>
      <x:c r="D10" s="11" t="n">
        <x:f>IF('Layout'!A10="","",'Layout'!K10)</x:f>
        <x:v>4</x:v>
      </x:c>
      <x:c r="E10" s="9" t="str">
        <x:f>IF('Layout'!A10="","",'Layout'!L10)</x:f>
        <x:v>Build</x:v>
      </x:c>
      <x:c r="F10" s="9" t="str">
        <x:f>IF('Layout'!A10="","",'Layout'!N10)</x:f>
        <x:v>OK</x:v>
      </x:c>
    </x:row>
    <x:row r="11" ht="22" customHeight="1">
      <x:c r="A11" s="9" t="str">
        <x:f>IF('Layout'!A11="","",'Layout'!A11)</x:f>
        <x:v>vccu1:switch1:links:transceivers</x:v>
      </x:c>
      <x:c r="B11" s="9" t="str">
        <x:f>IF('Layout'!A11="","",'Layout'!H11)</x:f>
        <x:v>            Transceiver</x:v>
      </x:c>
      <x:c r="C11" s="11" t="n">
        <x:f>IF('Layout'!A11="","",'Layout'!J11)</x:f>
        <x:v>2</x:v>
      </x:c>
      <x:c r="D11" s="11" t="n">
        <x:f>IF('Layout'!A11="","",'Layout'!K11)</x:f>
        <x:v>8</x:v>
      </x:c>
      <x:c r="E11" s="9" t="str">
        <x:f>IF('Layout'!A11="","",'Layout'!L11)</x:f>
        <x:v>Build</x:v>
      </x:c>
      <x:c r="F11" s="9" t="str">
        <x:f>IF('Layout'!A11="","",'Layout'!N11)</x:f>
        <x:v>OK</x:v>
      </x:c>
    </x:row>
    <x:row r="12" ht="22" customHeight="1">
      <x:c r="A12" s="9" t="str">
        <x:f>IF('Layout'!A12="","",'Layout'!A12)</x:f>
        <x:v>vccu1:switch1:links:fibre</x:v>
      </x:c>
      <x:c r="B12" s="9" t="str">
        <x:f>IF('Layout'!A12="","",'Layout'!H12)</x:f>
        <x:v>            Fibre patch lead</x:v>
      </x:c>
      <x:c r="C12" s="11" t="n">
        <x:f>IF('Layout'!A12="","",'Layout'!J12)</x:f>
        <x:v>1</x:v>
      </x:c>
      <x:c r="D12" s="11" t="n">
        <x:f>IF('Layout'!A12="","",'Layout'!K12)</x:f>
        <x:v>4</x:v>
      </x:c>
      <x:c r="E12" s="9" t="str">
        <x:f>IF('Layout'!A12="","",'Layout'!L12)</x:f>
        <x:v>Build</x:v>
      </x:c>
      <x:c r="F12" s="9" t="str">
        <x:f>IF('Layout'!A12="","",'Layout'!N12)</x:f>
        <x:v>OK</x:v>
      </x:c>
    </x:row>
    <x:row r="13" ht="22" customHeight="1">
      <x:c r="A13" s="9" t="str">
        <x:f>IF('Layout'!A13="","",'Layout'!A13)</x:f>
        <x:v>vccu1:switch1:power</x:v>
      </x:c>
      <x:c r="B13" s="9" t="str">
        <x:f>IF('Layout'!A13="","",'Layout'!H13)</x:f>
        <x:v>        Power lead</x:v>
      </x:c>
      <x:c r="C13" s="11" t="n">
        <x:f>IF('Layout'!A13="","",'Layout'!J13)</x:f>
        <x:v>2</x:v>
      </x:c>
      <x:c r="D13" s="11" t="n">
        <x:f>IF('Layout'!A13="","",'Layout'!K13)</x:f>
        <x:v>2</x:v>
      </x:c>
      <x:c r="E13" s="9" t="str">
        <x:f>IF('Layout'!A13="","",'Layout'!L13)</x:f>
        <x:v>Build</x:v>
      </x:c>
      <x:c r="F13" s="9" t="str">
        <x:f>IF('Layout'!A13="","",'Layout'!N13)</x:f>
        <x:v>OK</x:v>
      </x:c>
    </x:row>
    <x:row r="14" ht="22" customHeight="1">
      <x:c r="A14" s="9" t="str">
        <x:f>IF('Layout'!A14="","",'Layout'!A14)</x:f>
        <x:v>vccu1:fhs1</x:v>
      </x:c>
      <x:c r="B14" s="9" t="str">
        <x:f>IF('Layout'!A14="","",'Layout'!H14)</x:f>
        <x:v>    FHS server</x:v>
      </x:c>
      <x:c r="C14" s="11" t="n">
        <x:f>IF('Layout'!A14="","",'Layout'!J14)</x:f>
        <x:v>1</x:v>
      </x:c>
      <x:c r="D14" s="11" t="n">
        <x:f>IF('Layout'!A14="","",'Layout'!K14)</x:f>
        <x:v>1</x:v>
      </x:c>
      <x:c r="E14" s="9" t="str">
        <x:f>IF('Layout'!A14="","",'Layout'!L14)</x:f>
        <x:v>Build</x:v>
      </x:c>
      <x:c r="F14" s="9" t="str">
        <x:f>IF('Layout'!A14="","",'Layout'!N14)</x:f>
        <x:v>OK</x:v>
      </x:c>
    </x:row>
    <x:row r="15" ht="22" customHeight="1">
      <x:c r="A15" s="9" t="str">
        <x:f>IF('Layout'!A15="","",'Layout'!A15)</x:f>
        <x:v>vccu1:fhs1:power</x:v>
      </x:c>
      <x:c r="B15" s="9" t="str">
        <x:f>IF('Layout'!A15="","",'Layout'!H15)</x:f>
        <x:v>        Power lead</x:v>
      </x:c>
      <x:c r="C15" s="11" t="n">
        <x:f>IF('Layout'!A15="","",'Layout'!J15)</x:f>
        <x:v>2</x:v>
      </x:c>
      <x:c r="D15" s="11" t="n">
        <x:f>IF('Layout'!A15="","",'Layout'!K15)</x:f>
        <x:v>2</x:v>
      </x:c>
      <x:c r="E15" s="9" t="str">
        <x:f>IF('Layout'!A15="","",'Layout'!L15)</x:f>
        <x:v>Build</x:v>
      </x:c>
      <x:c r="F15" s="9" t="str">
        <x:f>IF('Layout'!A15="","",'Layout'!N15)</x:f>
        <x:v>OK</x:v>
      </x:c>
    </x:row>
    <x:row r="16" ht="22" customHeight="1">
      <x:c r="A16" s="9" t="str">
        <x:f>IF('Layout'!A16="","",'Layout'!A16)</x:f>
        <x:v>vccu1:fhs1:rails</x:v>
      </x:c>
      <x:c r="B16" s="9" t="str">
        <x:f>IF('Layout'!A16="","",'Layout'!H16)</x:f>
        <x:v>        Rack rail kit</x:v>
      </x:c>
      <x:c r="C16" s="11" t="n">
        <x:f>IF('Layout'!A16="","",'Layout'!J16)</x:f>
        <x:v>1</x:v>
      </x:c>
      <x:c r="D16" s="11" t="n">
        <x:f>IF('Layout'!A16="","",'Layout'!K16)</x:f>
        <x:v>1</x:v>
      </x:c>
      <x:c r="E16" s="9" t="str">
        <x:f>IF('Layout'!A16="","",'Layout'!L16)</x:f>
        <x:v>Build</x:v>
      </x:c>
      <x:c r="F16" s="9" t="str">
        <x:f>IF('Layout'!A16="","",'Layout'!N16)</x:f>
        <x:v>OK</x:v>
      </x:c>
    </x:row>
    <x:row r="17" ht="22" customHeight="1">
      <x:c r="A17" s="9" t="str">
        <x:f>IF('Layout'!A17="","",'Layout'!A17)</x:f>
        <x:v>vccu1:fhs2</x:v>
      </x:c>
      <x:c r="B17" s="9" t="str">
        <x:f>IF('Layout'!A17="","",'Layout'!H17)</x:f>
        <x:v>    FHS server</x:v>
      </x:c>
      <x:c r="C17" s="11" t="n">
        <x:f>IF('Layout'!A17="","",'Layout'!J17)</x:f>
        <x:v>1</x:v>
      </x:c>
      <x:c r="D17" s="11" t="n">
        <x:f>IF('Layout'!A17="","",'Layout'!K17)</x:f>
        <x:v>1</x:v>
      </x:c>
      <x:c r="E17" s="9" t="str">
        <x:f>IF('Layout'!A17="","",'Layout'!L17)</x:f>
        <x:v>Build</x:v>
      </x:c>
      <x:c r="F17" s="9" t="str">
        <x:f>IF('Layout'!A17="","",'Layout'!N17)</x:f>
        <x:v>OK</x:v>
      </x:c>
    </x:row>
    <x:row r="18" ht="22" customHeight="1">
      <x:c r="A18" s="9" t="str">
        <x:f>IF('Layout'!A18="","",'Layout'!A18)</x:f>
        <x:v>vccu1:fhs2:power</x:v>
      </x:c>
      <x:c r="B18" s="9" t="str">
        <x:f>IF('Layout'!A18="","",'Layout'!H18)</x:f>
        <x:v>        Power lead</x:v>
      </x:c>
      <x:c r="C18" s="11" t="n">
        <x:f>IF('Layout'!A18="","",'Layout'!J18)</x:f>
        <x:v>2</x:v>
      </x:c>
      <x:c r="D18" s="11" t="n">
        <x:f>IF('Layout'!A18="","",'Layout'!K18)</x:f>
        <x:v>2</x:v>
      </x:c>
      <x:c r="E18" s="9" t="str">
        <x:f>IF('Layout'!A18="","",'Layout'!L18)</x:f>
        <x:v>Build</x:v>
      </x:c>
      <x:c r="F18" s="9" t="str">
        <x:f>IF('Layout'!A18="","",'Layout'!N18)</x:f>
        <x:v>OK</x:v>
      </x:c>
    </x:row>
    <x:row r="19" ht="22" customHeight="1">
      <x:c r="A19" s="9" t="str">
        <x:f>IF('Layout'!A19="","",'Layout'!A19)</x:f>
        <x:v>vccu1:fhs2:rails</x:v>
      </x:c>
      <x:c r="B19" s="9" t="str">
        <x:f>IF('Layout'!A19="","",'Layout'!H19)</x:f>
        <x:v>        Rack rail kit</x:v>
      </x:c>
      <x:c r="C19" s="11" t="n">
        <x:f>IF('Layout'!A19="","",'Layout'!J19)</x:f>
        <x:v>1</x:v>
      </x:c>
      <x:c r="D19" s="11" t="n">
        <x:f>IF('Layout'!A19="","",'Layout'!K19)</x:f>
        <x:v>1</x:v>
      </x:c>
      <x:c r="E19" s="9" t="str">
        <x:f>IF('Layout'!A19="","",'Layout'!L19)</x:f>
        <x:v>Build</x:v>
      </x:c>
      <x:c r="F19" s="9" t="str">
        <x:f>IF('Layout'!A19="","",'Layout'!N19)</x:f>
        <x:v>OK</x:v>
      </x:c>
    </x:row>
    <x:row r="20" ht="22" customHeight="1">
      <x:c r="A20" s="9" t="str">
        <x:f>IF('Layout'!A20="","",'Layout'!A20)</x:f>
        <x:v>vccu2</x:v>
      </x:c>
      <x:c r="B20" s="9" t="str">
        <x:f>IF('Layout'!A20="","",'Layout'!H20)</x:f>
        <x:v>VCCU</x:v>
      </x:c>
      <x:c r="C20" s="11" t="n">
        <x:f>IF('Layout'!A20="","",'Layout'!J20)</x:f>
        <x:v>1</x:v>
      </x:c>
      <x:c r="D20" s="11" t="n">
        <x:f>IF('Layout'!A20="","",'Layout'!K20)</x:f>
        <x:v>1</x:v>
      </x:c>
      <x:c r="E20" s="9" t="str">
        <x:f>IF('Layout'!A20="","",'Layout'!L20)</x:f>
        <x:v>Build</x:v>
      </x:c>
      <x:c r="F20" s="9" t="str">
        <x:f>IF('Layout'!A20="","",'Layout'!N20)</x:f>
        <x:v>OK</x:v>
      </x:c>
    </x:row>
    <x:row r="21" ht="22" customHeight="1">
      <x:c r="A21" s="9" t="str">
        <x:f>IF('Layout'!A21="","",'Layout'!A21)</x:f>
        <x:v>vccu2:switch1</x:v>
      </x:c>
      <x:c r="B21" s="9" t="str">
        <x:f>IF('Layout'!A21="","",'Layout'!H21)</x:f>
        <x:v>    Switch</x:v>
      </x:c>
      <x:c r="C21" s="11" t="n">
        <x:f>IF('Layout'!A21="","",'Layout'!J21)</x:f>
        <x:v>1</x:v>
      </x:c>
      <x:c r="D21" s="11" t="n">
        <x:f>IF('Layout'!A21="","",'Layout'!K21)</x:f>
        <x:v>1</x:v>
      </x:c>
      <x:c r="E21" s="9" t="str">
        <x:f>IF('Layout'!A21="","",'Layout'!L21)</x:f>
        <x:v>Build</x:v>
      </x:c>
      <x:c r="F21" s="9" t="str">
        <x:f>IF('Layout'!A21="","",'Layout'!N21)</x:f>
        <x:v>OK</x:v>
      </x:c>
    </x:row>
    <x:row r="22" ht="22" customHeight="1">
      <x:c r="A22" s="9" t="str">
        <x:f>IF('Layout'!A22="","",'Layout'!A22)</x:f>
        <x:v>vccu2:switch1:links</x:v>
      </x:c>
      <x:c r="B22" s="9" t="str">
        <x:f>IF('Layout'!A22="","",'Layout'!H22)</x:f>
        <x:v>        Optical link</x:v>
      </x:c>
      <x:c r="C22" s="11" t="n">
        <x:f>IF('Layout'!A22="","",'Layout'!J22)</x:f>
        <x:v>4</x:v>
      </x:c>
      <x:c r="D22" s="11" t="n">
        <x:f>IF('Layout'!A22="","",'Layout'!K22)</x:f>
        <x:v>4</x:v>
      </x:c>
      <x:c r="E22" s="9" t="str">
        <x:f>IF('Layout'!A22="","",'Layout'!L22)</x:f>
        <x:v>Build</x:v>
      </x:c>
      <x:c r="F22" s="9" t="str">
        <x:f>IF('Layout'!A22="","",'Layout'!N22)</x:f>
        <x:v>OK</x:v>
      </x:c>
    </x:row>
    <x:row r="23" ht="22" customHeight="1">
      <x:c r="A23" s="9" t="str">
        <x:f>IF('Layout'!A23="","",'Layout'!A23)</x:f>
        <x:v>vccu2:switch1:links:transceivers</x:v>
      </x:c>
      <x:c r="B23" s="9" t="str">
        <x:f>IF('Layout'!A23="","",'Layout'!H23)</x:f>
        <x:v>            Transceiver</x:v>
      </x:c>
      <x:c r="C23" s="11" t="n">
        <x:f>IF('Layout'!A23="","",'Layout'!J23)</x:f>
        <x:v>2</x:v>
      </x:c>
      <x:c r="D23" s="11" t="n">
        <x:f>IF('Layout'!A23="","",'Layout'!K23)</x:f>
        <x:v>8</x:v>
      </x:c>
      <x:c r="E23" s="9" t="str">
        <x:f>IF('Layout'!A23="","",'Layout'!L23)</x:f>
        <x:v>Build</x:v>
      </x:c>
      <x:c r="F23" s="9" t="str">
        <x:f>IF('Layout'!A23="","",'Layout'!N23)</x:f>
        <x:v>OK</x:v>
      </x:c>
    </x:row>
    <x:row r="24" ht="22" customHeight="1">
      <x:c r="A24" s="9" t="str">
        <x:f>IF('Layout'!A24="","",'Layout'!A24)</x:f>
        <x:v>vccu2:switch1:links:fibre</x:v>
      </x:c>
      <x:c r="B24" s="9" t="str">
        <x:f>IF('Layout'!A24="","",'Layout'!H24)</x:f>
        <x:v>            Fibre patch lead</x:v>
      </x:c>
      <x:c r="C24" s="11" t="n">
        <x:f>IF('Layout'!A24="","",'Layout'!J24)</x:f>
        <x:v>1</x:v>
      </x:c>
      <x:c r="D24" s="11" t="n">
        <x:f>IF('Layout'!A24="","",'Layout'!K24)</x:f>
        <x:v>4</x:v>
      </x:c>
      <x:c r="E24" s="9" t="str">
        <x:f>IF('Layout'!A24="","",'Layout'!L24)</x:f>
        <x:v>Build</x:v>
      </x:c>
      <x:c r="F24" s="9" t="str">
        <x:f>IF('Layout'!A24="","",'Layout'!N24)</x:f>
        <x:v>OK</x:v>
      </x:c>
    </x:row>
    <x:row r="25" ht="22" customHeight="1">
      <x:c r="A25" s="9" t="str">
        <x:f>IF('Layout'!A25="","",'Layout'!A25)</x:f>
        <x:v>vccu2:switch1:power</x:v>
      </x:c>
      <x:c r="B25" s="9" t="str">
        <x:f>IF('Layout'!A25="","",'Layout'!H25)</x:f>
        <x:v>        Power lead</x:v>
      </x:c>
      <x:c r="C25" s="11" t="n">
        <x:f>IF('Layout'!A25="","",'Layout'!J25)</x:f>
        <x:v>2</x:v>
      </x:c>
      <x:c r="D25" s="11" t="n">
        <x:f>IF('Layout'!A25="","",'Layout'!K25)</x:f>
        <x:v>2</x:v>
      </x:c>
      <x:c r="E25" s="9" t="str">
        <x:f>IF('Layout'!A25="","",'Layout'!L25)</x:f>
        <x:v>Build</x:v>
      </x:c>
      <x:c r="F25" s="9" t="str">
        <x:f>IF('Layout'!A25="","",'Layout'!N25)</x:f>
        <x:v>OK</x:v>
      </x:c>
    </x:row>
    <x:row r="26" ht="22" customHeight="1">
      <x:c r="A26" s="9" t="str">
        <x:f>IF('Layout'!A26="","",'Layout'!A26)</x:f>
        <x:v>vccu2:fhs1</x:v>
      </x:c>
      <x:c r="B26" s="9" t="str">
        <x:f>IF('Layout'!A26="","",'Layout'!H26)</x:f>
        <x:v>    FHS server</x:v>
      </x:c>
      <x:c r="C26" s="11" t="n">
        <x:f>IF('Layout'!A26="","",'Layout'!J26)</x:f>
        <x:v>1</x:v>
      </x:c>
      <x:c r="D26" s="11" t="n">
        <x:f>IF('Layout'!A26="","",'Layout'!K26)</x:f>
        <x:v>1</x:v>
      </x:c>
      <x:c r="E26" s="9" t="str">
        <x:f>IF('Layout'!A26="","",'Layout'!L26)</x:f>
        <x:v>Build</x:v>
      </x:c>
      <x:c r="F26" s="9" t="str">
        <x:f>IF('Layout'!A26="","",'Layout'!N26)</x:f>
        <x:v>OK</x:v>
      </x:c>
    </x:row>
    <x:row r="27" ht="22" customHeight="1">
      <x:c r="A27" s="9" t="str">
        <x:f>IF('Layout'!A27="","",'Layout'!A27)</x:f>
        <x:v>vccu2:fhs1:power</x:v>
      </x:c>
      <x:c r="B27" s="9" t="str">
        <x:f>IF('Layout'!A27="","",'Layout'!H27)</x:f>
        <x:v>        Power lead</x:v>
      </x:c>
      <x:c r="C27" s="11" t="n">
        <x:f>IF('Layout'!A27="","",'Layout'!J27)</x:f>
        <x:v>2</x:v>
      </x:c>
      <x:c r="D27" s="11" t="n">
        <x:f>IF('Layout'!A27="","",'Layout'!K27)</x:f>
        <x:v>2</x:v>
      </x:c>
      <x:c r="E27" s="9" t="str">
        <x:f>IF('Layout'!A27="","",'Layout'!L27)</x:f>
        <x:v>Build</x:v>
      </x:c>
      <x:c r="F27" s="9" t="str">
        <x:f>IF('Layout'!A27="","",'Layout'!N27)</x:f>
        <x:v>OK</x:v>
      </x:c>
    </x:row>
    <x:row r="28" ht="22" customHeight="1">
      <x:c r="A28" s="9" t="str">
        <x:f>IF('Layout'!A28="","",'Layout'!A28)</x:f>
        <x:v>vccu2:fhs1:rails</x:v>
      </x:c>
      <x:c r="B28" s="9" t="str">
        <x:f>IF('Layout'!A28="","",'Layout'!H28)</x:f>
        <x:v>        Rack rail kit</x:v>
      </x:c>
      <x:c r="C28" s="11" t="n">
        <x:f>IF('Layout'!A28="","",'Layout'!J28)</x:f>
        <x:v>1</x:v>
      </x:c>
      <x:c r="D28" s="11" t="n">
        <x:f>IF('Layout'!A28="","",'Layout'!K28)</x:f>
        <x:v>1</x:v>
      </x:c>
      <x:c r="E28" s="9" t="str">
        <x:f>IF('Layout'!A28="","",'Layout'!L28)</x:f>
        <x:v>Build</x:v>
      </x:c>
      <x:c r="F28" s="9" t="str">
        <x:f>IF('Layout'!A28="","",'Layout'!N28)</x:f>
        <x:v>OK</x:v>
      </x:c>
    </x:row>
    <x:row r="29" ht="22" customHeight="1">
      <x:c r="A29" s="9" t="str">
        <x:f>IF('Layout'!A29="","",'Layout'!A29)</x:f>
        <x:v>vccu2:fhs2</x:v>
      </x:c>
      <x:c r="B29" s="9" t="str">
        <x:f>IF('Layout'!A29="","",'Layout'!H29)</x:f>
        <x:v>    FHS server</x:v>
      </x:c>
      <x:c r="C29" s="11" t="n">
        <x:f>IF('Layout'!A29="","",'Layout'!J29)</x:f>
        <x:v>1</x:v>
      </x:c>
      <x:c r="D29" s="11" t="n">
        <x:f>IF('Layout'!A29="","",'Layout'!K29)</x:f>
        <x:v>1</x:v>
      </x:c>
      <x:c r="E29" s="9" t="str">
        <x:f>IF('Layout'!A29="","",'Layout'!L29)</x:f>
        <x:v>Build</x:v>
      </x:c>
      <x:c r="F29" s="9" t="str">
        <x:f>IF('Layout'!A29="","",'Layout'!N29)</x:f>
        <x:v>OK</x:v>
      </x:c>
    </x:row>
    <x:row r="30" ht="22" customHeight="1">
      <x:c r="A30" s="9" t="str">
        <x:f>IF('Layout'!A30="","",'Layout'!A30)</x:f>
        <x:v>vccu2:fhs2:power</x:v>
      </x:c>
      <x:c r="B30" s="9" t="str">
        <x:f>IF('Layout'!A30="","",'Layout'!H30)</x:f>
        <x:v>        Power lead</x:v>
      </x:c>
      <x:c r="C30" s="11" t="n">
        <x:f>IF('Layout'!A30="","",'Layout'!J30)</x:f>
        <x:v>2</x:v>
      </x:c>
      <x:c r="D30" s="11" t="n">
        <x:f>IF('Layout'!A30="","",'Layout'!K30)</x:f>
        <x:v>2</x:v>
      </x:c>
      <x:c r="E30" s="9" t="str">
        <x:f>IF('Layout'!A30="","",'Layout'!L30)</x:f>
        <x:v>Build</x:v>
      </x:c>
      <x:c r="F30" s="9" t="str">
        <x:f>IF('Layout'!A30="","",'Layout'!N30)</x:f>
        <x:v>OK</x:v>
      </x:c>
    </x:row>
    <x:row r="31" ht="22" customHeight="1">
      <x:c r="A31" s="9" t="str">
        <x:f>IF('Layout'!A31="","",'Layout'!A31)</x:f>
        <x:v>vccu2:fhs2:rails</x:v>
      </x:c>
      <x:c r="B31" s="9" t="str">
        <x:f>IF('Layout'!A31="","",'Layout'!H31)</x:f>
        <x:v>        Rack rail kit</x:v>
      </x:c>
      <x:c r="C31" s="11" t="n">
        <x:f>IF('Layout'!A31="","",'Layout'!J31)</x:f>
        <x:v>1</x:v>
      </x:c>
      <x:c r="D31" s="11" t="n">
        <x:f>IF('Layout'!A31="","",'Layout'!K31)</x:f>
        <x:v>1</x:v>
      </x:c>
      <x:c r="E31" s="9" t="str">
        <x:f>IF('Layout'!A31="","",'Layout'!L31)</x:f>
        <x:v>Build</x:v>
      </x:c>
      <x:c r="F31" s="9" t="str">
        <x:f>IF('Layout'!A31="","",'Layout'!N31)</x:f>
        <x:v>OK</x:v>
      </x:c>
    </x:row>
    <x:row r="32" ht="22" customHeight="1">
      <x:c r="A32" s="9" t="str">
        <x:f>IF('Layout'!A32="","",'Layout'!A32)</x:f>
        <x:v>meshbox1</x:v>
      </x:c>
      <x:c r="B32" s="9" t="str">
        <x:f>IF('Layout'!A32="","",'Layout'!H32)</x:f>
        <x:v>Mesh box</x:v>
      </x:c>
      <x:c r="C32" s="11" t="n">
        <x:f>IF('Layout'!A32="","",'Layout'!J32)</x:f>
        <x:v>1</x:v>
      </x:c>
      <x:c r="D32" s="11" t="n">
        <x:f>IF('Layout'!A32="","",'Layout'!K32)</x:f>
        <x:v>1</x:v>
      </x:c>
      <x:c r="E32" s="9" t="str">
        <x:f>IF('Layout'!A32="","",'Layout'!L32)</x:f>
        <x:v>Build</x:v>
      </x:c>
      <x:c r="F32" s="9" t="str">
        <x:f>IF('Layout'!A32="","",'Layout'!N32)</x:f>
        <x:v>OK</x:v>
      </x:c>
    </x:row>
    <x:row r="33" ht="22" customHeight="1">
      <x:c r="A33" s="9" t="str">
        <x:f>IF('Layout'!A33="","",'Layout'!A33)</x:f>
        <x:v>meshbox1:rails</x:v>
      </x:c>
      <x:c r="B33" s="9" t="str">
        <x:f>IF('Layout'!A33="","",'Layout'!H33)</x:f>
        <x:v>    Rack rail kit</x:v>
      </x:c>
      <x:c r="C33" s="11" t="n">
        <x:f>IF('Layout'!A33="","",'Layout'!J33)</x:f>
        <x:v>1</x:v>
      </x:c>
      <x:c r="D33" s="11" t="n">
        <x:f>IF('Layout'!A33="","",'Layout'!K33)</x:f>
        <x:v>1</x:v>
      </x:c>
      <x:c r="E33" s="9" t="str">
        <x:f>IF('Layout'!A33="","",'Layout'!L33)</x:f>
        <x:v>Build</x:v>
      </x:c>
      <x:c r="F33" s="9" t="str">
        <x:f>IF('Layout'!A33="","",'Layout'!N33)</x:f>
        <x:v>OK</x:v>
      </x:c>
    </x:row>
    <x:row r="34" ht="22" customHeight="1">
      <x:c r="A34" s="9" t="str">
        <x:f>IF('Layout'!A34="","",'Layout'!A34)</x:f>
        <x:v>rack1</x:v>
      </x:c>
      <x:c r="B34" s="9" t="str">
        <x:f>IF('Layout'!A34="","",'Layout'!H34)</x:f>
        <x:v>Rack</x:v>
      </x:c>
      <x:c r="C34" s="11" t="n">
        <x:f>IF('Layout'!A34="","",'Layout'!J34)</x:f>
        <x:v>1</x:v>
      </x:c>
      <x:c r="D34" s="11" t="n">
        <x:f>IF('Layout'!A34="","",'Layout'!K34)</x:f>
        <x:v>1</x:v>
      </x:c>
      <x:c r="E34" s="9" t="str">
        <x:f>IF('Layout'!A34="","",'Layout'!L34)</x:f>
        <x:v>Build</x:v>
      </x:c>
      <x:c r="F34" s="9" t="str">
        <x:f>IF('Layout'!A34="","",'Layout'!N34)</x:f>
        <x:v>OK</x:v>
      </x:c>
    </x:row>
    <x:row r="35" ht="22" customHeight="1">
      <x:c r="A35" s="9" t="str">
        <x:f>IF('Layout'!A35="","",'Layout'!A35)</x:f>
        <x:v>rack1:pdu</x:v>
      </x:c>
      <x:c r="B35" s="9" t="str">
        <x:f>IF('Layout'!A35="","",'Layout'!H35)</x:f>
        <x:v>    PDU</x:v>
      </x:c>
      <x:c r="C35" s="11" t="n">
        <x:f>IF('Layout'!A35="","",'Layout'!J35)</x:f>
        <x:v>2</x:v>
      </x:c>
      <x:c r="D35" s="11" t="n">
        <x:f>IF('Layout'!A35="","",'Layout'!K35)</x:f>
        <x:v>2</x:v>
      </x:c>
      <x:c r="E35" s="9" t="str">
        <x:f>IF('Layout'!A35="","",'Layout'!L35)</x:f>
        <x:v>Build</x:v>
      </x:c>
      <x:c r="F35" s="9" t="str">
        <x:f>IF('Layout'!A35="","",'Layout'!N35)</x:f>
        <x:v>OK</x:v>
      </x:c>
    </x:row>
    <x:row r="36" ht="22" customHeight="1">
      <x:c r="A36" s="9" t="str">
        <x:f>IF('Layout'!A36="","",'Layout'!A36)</x:f>
        <x:v>rack1:cable-management</x:v>
      </x:c>
      <x:c r="B36" s="9" t="str">
        <x:f>IF('Layout'!A36="","",'Layout'!H36)</x:f>
        <x:v>    Cable management kit</x:v>
      </x:c>
      <x:c r="C36" s="11" t="n">
        <x:f>IF('Layout'!A36="","",'Layout'!J36)</x:f>
        <x:v>2</x:v>
      </x:c>
      <x:c r="D36" s="11" t="n">
        <x:f>IF('Layout'!A36="","",'Layout'!K36)</x:f>
        <x:v>2</x:v>
      </x:c>
      <x:c r="E36" s="9" t="str">
        <x:f>IF('Layout'!A36="","",'Layout'!L36)</x:f>
        <x:v>Build</x:v>
      </x:c>
      <x:c r="F36" s="9" t="str">
        <x:f>IF('Layout'!A36="","",'Layout'!N36)</x:f>
        <x:v>OK</x:v>
      </x:c>
    </x:row>
    <x:row r="37" ht="22" customHeight="1">
      <x:c r="A37" s="9" t="str">
        <x:f>IF('Layout'!A37="","",'Layout'!A37)</x:f>
        <x:v>rack1:grounding</x:v>
      </x:c>
      <x:c r="B37" s="9" t="str">
        <x:f>IF('Layout'!A37="","",'Layout'!H37)</x:f>
        <x:v>    Grounding kit</x:v>
      </x:c>
      <x:c r="C37" s="11" t="n">
        <x:f>IF('Layout'!A37="","",'Layout'!J37)</x:f>
        <x:v>1</x:v>
      </x:c>
      <x:c r="D37" s="11" t="n">
        <x:f>IF('Layout'!A37="","",'Layout'!K37)</x:f>
        <x:v>1</x:v>
      </x:c>
      <x:c r="E37" s="9" t="str">
        <x:f>IF('Layout'!A37="","",'Layout'!L37)</x:f>
        <x:v>Build</x:v>
      </x:c>
      <x:c r="F37" s="9" t="str">
        <x:f>IF('Layout'!A37="","",'Layout'!N37)</x:f>
        <x:v>OK</x:v>
      </x:c>
    </x:row>
    <x:row r="38" ht="22" customHeight="1">
      <x:c r="A38" s="9" t="str">
        <x:f>IF('Layout'!A38="","",'Layout'!A38)</x:f>
        <x:v>rack1:labels</x:v>
      </x:c>
      <x:c r="B38" s="9" t="str">
        <x:f>IF('Layout'!A38="","",'Layout'!H38)</x:f>
        <x:v>    Label pack</x:v>
      </x:c>
      <x:c r="C38" s="11" t="n">
        <x:f>IF('Layout'!A38="","",'Layout'!J38)</x:f>
        <x:v>1</x:v>
      </x:c>
      <x:c r="D38" s="11" t="n">
        <x:f>IF('Layout'!A38="","",'Layout'!K38)</x:f>
        <x:v>1</x:v>
      </x:c>
      <x:c r="E38" s="9" t="str">
        <x:f>IF('Layout'!A38="","",'Layout'!L38)</x:f>
        <x:v>Build</x:v>
      </x:c>
      <x:c r="F38" s="9" t="str">
        <x:f>IF('Layout'!A38="","",'Layout'!N38)</x:f>
        <x:v>OK</x:v>
      </x:c>
    </x:row>
    <x:row r="39" ht="22" customHeight="1">
      <x:c r="A39" s="9" t="str">
        <x:f>IF('Layout'!A39="","",'Layout'!A39)</x:f>
        <x:v>spares</x:v>
      </x:c>
      <x:c r="B39" s="9" t="str">
        <x:f>IF('Layout'!A39="","",'Layout'!H39)</x:f>
        <x:v>Deployment spares</x:v>
      </x:c>
      <x:c r="C39" s="11" t="n">
        <x:f>IF('Layout'!A39="","",'Layout'!J39)</x:f>
        <x:v>1</x:v>
      </x:c>
      <x:c r="D39" s="11" t="n">
        <x:f>IF('Layout'!A39="","",'Layout'!K39)</x:f>
        <x:v>1</x:v>
      </x:c>
      <x:c r="E39" s="9" t="str">
        <x:f>IF('Layout'!A39="","",'Layout'!L39)</x:f>
        <x:v>Spares</x:v>
      </x:c>
      <x:c r="F39" s="9" t="str">
        <x:f>IF('Layout'!A39="","",'Layout'!N39)</x:f>
        <x:v>OK</x:v>
      </x:c>
    </x:row>
    <x:row r="40" ht="22" customHeight="1">
      <x:c r="A40" s="9" t="str">
        <x:f>IF('Layout'!A40="","",'Layout'!A40)</x:f>
        <x:v>spares:fibre</x:v>
      </x:c>
      <x:c r="B40" s="9" t="str">
        <x:f>IF('Layout'!A40="","",'Layout'!H40)</x:f>
        <x:v>    Fibre patch lead</x:v>
      </x:c>
      <x:c r="C40" s="11" t="n">
        <x:f>IF('Layout'!A40="","",'Layout'!J40)</x:f>
        <x:v>2</x:v>
      </x:c>
      <x:c r="D40" s="11" t="n">
        <x:f>IF('Layout'!A40="","",'Layout'!K40)</x:f>
        <x:v>2</x:v>
      </x:c>
      <x:c r="E40" s="9" t="str">
        <x:f>IF('Layout'!A40="","",'Layout'!L40)</x:f>
        <x:v>Spares</x:v>
      </x:c>
      <x:c r="F40" s="9" t="str">
        <x:f>IF('Layout'!A40="","",'Layout'!N40)</x:f>
        <x:v>OK</x:v>
      </x:c>
    </x:row>
    <x:row r="41" ht="22" customHeight="1">
      <x:c r="A41" s="9" t="str">
        <x:f>IF('Layout'!A41="","",'Layout'!A41)</x:f>
        <x:v>spares:power</x:v>
      </x:c>
      <x:c r="B41" s="9" t="str">
        <x:f>IF('Layout'!A41="","",'Layout'!H41)</x:f>
        <x:v>    Power lead</x:v>
      </x:c>
      <x:c r="C41" s="11" t="n">
        <x:f>IF('Layout'!A41="","",'Layout'!J41)</x:f>
        <x:v>2</x:v>
      </x:c>
      <x:c r="D41" s="11" t="n">
        <x:f>IF('Layout'!A41="","",'Layout'!K41)</x:f>
        <x:v>2</x:v>
      </x:c>
      <x:c r="E41" s="9" t="str">
        <x:f>IF('Layout'!A41="","",'Layout'!L41)</x:f>
        <x:v>Spares</x:v>
      </x:c>
      <x:c r="F41" s="9" t="str">
        <x:f>IF('Layout'!A41="","",'Layout'!N41)</x:f>
        <x:v>OK</x:v>
      </x:c>
    </x:row>
    <x:row r="42" ht="22" customHeight="1">
      <x:c r="A42" s="9" t="str">
        <x:f>IF('Layout'!A42="","",'Layout'!A42)</x:f>
        <x:v>spares:transceivers</x:v>
      </x:c>
      <x:c r="B42" s="9" t="str">
        <x:f>IF('Layout'!A42="","",'Layout'!H42)</x:f>
        <x:v>    Transceiver</x:v>
      </x:c>
      <x:c r="C42" s="11" t="n">
        <x:f>IF('Layout'!A42="","",'Layout'!J42)</x:f>
        <x:v>2</x:v>
      </x:c>
      <x:c r="D42" s="11" t="n">
        <x:f>IF('Layout'!A42="","",'Layout'!K42)</x:f>
        <x:v>2</x:v>
      </x:c>
      <x:c r="E42" s="9" t="str">
        <x:f>IF('Layout'!A42="","",'Layout'!L42)</x:f>
        <x:v>Spares</x:v>
      </x:c>
      <x:c r="F42" s="9" t="str">
        <x:f>IF('Layout'!A42="","",'Layout'!N42)</x:f>
        <x:v>OK</x:v>
      </x:c>
    </x:row>
    <x:row r="43" ht="22" customHeight="1">
      <x:c r="A43" s="9" t="str">
        <x:f>IF('Layout'!A43="","",'Layout'!A43)</x:f>
      </x:c>
      <x:c r="B43" s="9" t="str">
        <x:f>IF('Layout'!A43="","",'Layout'!H43)</x:f>
      </x:c>
      <x:c r="C43" s="11" t="str">
        <x:f>IF('Layout'!A43="","",'Layout'!J43)</x:f>
      </x:c>
      <x:c r="D43" s="11" t="str">
        <x:f>IF('Layout'!A43="","",'Layout'!K43)</x:f>
      </x:c>
      <x:c r="E43" s="9" t="str">
        <x:f>IF('Layout'!A43="","",'Layout'!L43)</x:f>
      </x:c>
      <x:c r="F43" s="9" t="str">
        <x:f>IF('Layout'!A43="","",'Layout'!N43)</x:f>
      </x:c>
    </x:row>
    <x:row r="44" ht="22" customHeight="1">
      <x:c r="A44" s="9" t="str">
        <x:f>IF('Layout'!A44="","",'Layout'!A44)</x:f>
      </x:c>
      <x:c r="B44" s="9" t="str">
        <x:f>IF('Layout'!A44="","",'Layout'!H44)</x:f>
      </x:c>
      <x:c r="C44" s="11" t="str">
        <x:f>IF('Layout'!A44="","",'Layout'!J44)</x:f>
      </x:c>
      <x:c r="D44" s="11" t="str">
        <x:f>IF('Layout'!A44="","",'Layout'!K44)</x:f>
      </x:c>
      <x:c r="E44" s="9" t="str">
        <x:f>IF('Layout'!A44="","",'Layout'!L44)</x:f>
      </x:c>
      <x:c r="F44" s="9" t="str">
        <x:f>IF('Layout'!A44="","",'Layout'!N44)</x:f>
      </x:c>
    </x:row>
    <x:row r="45" ht="22" customHeight="1">
      <x:c r="A45" s="9" t="str">
        <x:f>IF('Layout'!A45="","",'Layout'!A45)</x:f>
      </x:c>
      <x:c r="B45" s="9" t="str">
        <x:f>IF('Layout'!A45="","",'Layout'!H45)</x:f>
      </x:c>
      <x:c r="C45" s="11" t="str">
        <x:f>IF('Layout'!A45="","",'Layout'!J45)</x:f>
      </x:c>
      <x:c r="D45" s="11" t="str">
        <x:f>IF('Layout'!A45="","",'Layout'!K45)</x:f>
      </x:c>
      <x:c r="E45" s="9" t="str">
        <x:f>IF('Layout'!A45="","",'Layout'!L45)</x:f>
      </x:c>
      <x:c r="F45" s="9" t="str">
        <x:f>IF('Layout'!A45="","",'Layout'!N45)</x:f>
      </x:c>
    </x:row>
    <x:row r="46" ht="22" customHeight="1">
      <x:c r="A46" s="9" t="str">
        <x:f>IF('Layout'!A46="","",'Layout'!A46)</x:f>
      </x:c>
      <x:c r="B46" s="9" t="str">
        <x:f>IF('Layout'!A46="","",'Layout'!H46)</x:f>
      </x:c>
      <x:c r="C46" s="11" t="str">
        <x:f>IF('Layout'!A46="","",'Layout'!J46)</x:f>
      </x:c>
      <x:c r="D46" s="11" t="str">
        <x:f>IF('Layout'!A46="","",'Layout'!K46)</x:f>
      </x:c>
      <x:c r="E46" s="9" t="str">
        <x:f>IF('Layout'!A46="","",'Layout'!L46)</x:f>
      </x:c>
      <x:c r="F46" s="9" t="str">
        <x:f>IF('Layout'!A46="","",'Layout'!N46)</x:f>
      </x:c>
    </x:row>
    <x:row r="47" ht="22" customHeight="1">
      <x:c r="A47" s="9" t="str">
        <x:f>IF('Layout'!A47="","",'Layout'!A47)</x:f>
      </x:c>
      <x:c r="B47" s="9" t="str">
        <x:f>IF('Layout'!A47="","",'Layout'!H47)</x:f>
      </x:c>
      <x:c r="C47" s="11" t="str">
        <x:f>IF('Layout'!A47="","",'Layout'!J47)</x:f>
      </x:c>
      <x:c r="D47" s="11" t="str">
        <x:f>IF('Layout'!A47="","",'Layout'!K47)</x:f>
      </x:c>
      <x:c r="E47" s="9" t="str">
        <x:f>IF('Layout'!A47="","",'Layout'!L47)</x:f>
      </x:c>
      <x:c r="F47" s="9" t="str">
        <x:f>IF('Layout'!A47="","",'Layout'!N47)</x:f>
      </x:c>
    </x:row>
    <x:row r="48" ht="22" customHeight="1">
      <x:c r="A48" s="9" t="str">
        <x:f>IF('Layout'!A48="","",'Layout'!A48)</x:f>
      </x:c>
      <x:c r="B48" s="9" t="str">
        <x:f>IF('Layout'!A48="","",'Layout'!H48)</x:f>
      </x:c>
      <x:c r="C48" s="11" t="str">
        <x:f>IF('Layout'!A48="","",'Layout'!J48)</x:f>
      </x:c>
      <x:c r="D48" s="11" t="str">
        <x:f>IF('Layout'!A48="","",'Layout'!K48)</x:f>
      </x:c>
      <x:c r="E48" s="9" t="str">
        <x:f>IF('Layout'!A48="","",'Layout'!L48)</x:f>
      </x:c>
      <x:c r="F48" s="9" t="str">
        <x:f>IF('Layout'!A48="","",'Layout'!N48)</x:f>
      </x:c>
    </x:row>
    <x:row r="49" ht="22" customHeight="1">
      <x:c r="A49" s="9" t="str">
        <x:f>IF('Layout'!A49="","",'Layout'!A49)</x:f>
      </x:c>
      <x:c r="B49" s="9" t="str">
        <x:f>IF('Layout'!A49="","",'Layout'!H49)</x:f>
      </x:c>
      <x:c r="C49" s="11" t="str">
        <x:f>IF('Layout'!A49="","",'Layout'!J49)</x:f>
      </x:c>
      <x:c r="D49" s="11" t="str">
        <x:f>IF('Layout'!A49="","",'Layout'!K49)</x:f>
      </x:c>
      <x:c r="E49" s="9" t="str">
        <x:f>IF('Layout'!A49="","",'Layout'!L49)</x:f>
      </x:c>
      <x:c r="F49" s="9" t="str">
        <x:f>IF('Layout'!A49="","",'Layout'!N49)</x:f>
      </x:c>
    </x:row>
    <x:row r="50" ht="22" customHeight="1">
      <x:c r="A50" s="9" t="str">
        <x:f>IF('Layout'!A50="","",'Layout'!A50)</x:f>
      </x:c>
      <x:c r="B50" s="9" t="str">
        <x:f>IF('Layout'!A50="","",'Layout'!H50)</x:f>
      </x:c>
      <x:c r="C50" s="11" t="str">
        <x:f>IF('Layout'!A50="","",'Layout'!J50)</x:f>
      </x:c>
      <x:c r="D50" s="11" t="str">
        <x:f>IF('Layout'!A50="","",'Layout'!K50)</x:f>
      </x:c>
      <x:c r="E50" s="9" t="str">
        <x:f>IF('Layout'!A50="","",'Layout'!L50)</x:f>
      </x:c>
      <x:c r="F50" s="9" t="str">
        <x:f>IF('Layout'!A50="","",'Layout'!N50)</x:f>
      </x:c>
    </x:row>
    <x:row r="51" ht="22" customHeight="1">
      <x:c r="A51" s="9" t="str">
        <x:f>IF('Layout'!A51="","",'Layout'!A51)</x:f>
      </x:c>
      <x:c r="B51" s="9" t="str">
        <x:f>IF('Layout'!A51="","",'Layout'!H51)</x:f>
      </x:c>
      <x:c r="C51" s="11" t="str">
        <x:f>IF('Layout'!A51="","",'Layout'!J51)</x:f>
      </x:c>
      <x:c r="D51" s="11" t="str">
        <x:f>IF('Layout'!A51="","",'Layout'!K51)</x:f>
      </x:c>
      <x:c r="E51" s="9" t="str">
        <x:f>IF('Layout'!A51="","",'Layout'!L51)</x:f>
      </x:c>
      <x:c r="F51" s="9" t="str">
        <x:f>IF('Layout'!A51="","",'Layout'!N51)</x:f>
      </x:c>
    </x:row>
    <x:row r="52" ht="22" customHeight="1">
      <x:c r="A52" s="9" t="str">
        <x:f>IF('Layout'!A52="","",'Layout'!A52)</x:f>
      </x:c>
      <x:c r="B52" s="9" t="str">
        <x:f>IF('Layout'!A52="","",'Layout'!H52)</x:f>
      </x:c>
      <x:c r="C52" s="11" t="str">
        <x:f>IF('Layout'!A52="","",'Layout'!J52)</x:f>
      </x:c>
      <x:c r="D52" s="11" t="str">
        <x:f>IF('Layout'!A52="","",'Layout'!K52)</x:f>
      </x:c>
      <x:c r="E52" s="9" t="str">
        <x:f>IF('Layout'!A52="","",'Layout'!L52)</x:f>
      </x:c>
      <x:c r="F52" s="9" t="str">
        <x:f>IF('Layout'!A52="","",'Layout'!N52)</x:f>
      </x:c>
    </x:row>
    <x:row r="53" ht="22" customHeight="1">
      <x:c r="A53" s="9" t="str">
        <x:f>IF('Layout'!A53="","",'Layout'!A53)</x:f>
      </x:c>
      <x:c r="B53" s="9" t="str">
        <x:f>IF('Layout'!A53="","",'Layout'!H53)</x:f>
      </x:c>
      <x:c r="C53" s="11" t="str">
        <x:f>IF('Layout'!A53="","",'Layout'!J53)</x:f>
      </x:c>
      <x:c r="D53" s="11" t="str">
        <x:f>IF('Layout'!A53="","",'Layout'!K53)</x:f>
      </x:c>
      <x:c r="E53" s="9" t="str">
        <x:f>IF('Layout'!A53="","",'Layout'!L53)</x:f>
      </x:c>
      <x:c r="F53" s="9" t="str">
        <x:f>IF('Layout'!A53="","",'Layout'!N53)</x:f>
      </x:c>
    </x:row>
    <x:row r="54" ht="22" customHeight="1">
      <x:c r="A54" s="9" t="str">
        <x:f>IF('Layout'!A54="","",'Layout'!A54)</x:f>
      </x:c>
      <x:c r="B54" s="9" t="str">
        <x:f>IF('Layout'!A54="","",'Layout'!H54)</x:f>
      </x:c>
      <x:c r="C54" s="11" t="str">
        <x:f>IF('Layout'!A54="","",'Layout'!J54)</x:f>
      </x:c>
      <x:c r="D54" s="11" t="str">
        <x:f>IF('Layout'!A54="","",'Layout'!K54)</x:f>
      </x:c>
      <x:c r="E54" s="9" t="str">
        <x:f>IF('Layout'!A54="","",'Layout'!L54)</x:f>
      </x:c>
      <x:c r="F54" s="9" t="str">
        <x:f>IF('Layout'!A54="","",'Layout'!N54)</x:f>
      </x:c>
    </x:row>
    <x:row r="55" ht="22" customHeight="1">
      <x:c r="A55" s="9" t="str">
        <x:f>IF('Layout'!A55="","",'Layout'!A55)</x:f>
      </x:c>
      <x:c r="B55" s="9" t="str">
        <x:f>IF('Layout'!A55="","",'Layout'!H55)</x:f>
      </x:c>
      <x:c r="C55" s="11" t="str">
        <x:f>IF('Layout'!A55="","",'Layout'!J55)</x:f>
      </x:c>
      <x:c r="D55" s="11" t="str">
        <x:f>IF('Layout'!A55="","",'Layout'!K55)</x:f>
      </x:c>
      <x:c r="E55" s="9" t="str">
        <x:f>IF('Layout'!A55="","",'Layout'!L55)</x:f>
      </x:c>
      <x:c r="F55" s="9" t="str">
        <x:f>IF('Layout'!A55="","",'Layout'!N55)</x:f>
      </x:c>
    </x:row>
    <x:row r="56" ht="22" customHeight="1">
      <x:c r="A56" s="9" t="str">
        <x:f>IF('Layout'!A56="","",'Layout'!A56)</x:f>
      </x:c>
      <x:c r="B56" s="9" t="str">
        <x:f>IF('Layout'!A56="","",'Layout'!H56)</x:f>
      </x:c>
      <x:c r="C56" s="11" t="str">
        <x:f>IF('Layout'!A56="","",'Layout'!J56)</x:f>
      </x:c>
      <x:c r="D56" s="11" t="str">
        <x:f>IF('Layout'!A56="","",'Layout'!K56)</x:f>
      </x:c>
      <x:c r="E56" s="9" t="str">
        <x:f>IF('Layout'!A56="","",'Layout'!L56)</x:f>
      </x:c>
      <x:c r="F56" s="9" t="str">
        <x:f>IF('Layout'!A56="","",'Layout'!N56)</x:f>
      </x:c>
    </x:row>
    <x:row r="57" ht="22" customHeight="1">
      <x:c r="A57" s="9" t="str">
        <x:f>IF('Layout'!A57="","",'Layout'!A57)</x:f>
      </x:c>
      <x:c r="B57" s="9" t="str">
        <x:f>IF('Layout'!A57="","",'Layout'!H57)</x:f>
      </x:c>
      <x:c r="C57" s="11" t="str">
        <x:f>IF('Layout'!A57="","",'Layout'!J57)</x:f>
      </x:c>
      <x:c r="D57" s="11" t="str">
        <x:f>IF('Layout'!A57="","",'Layout'!K57)</x:f>
      </x:c>
      <x:c r="E57" s="9" t="str">
        <x:f>IF('Layout'!A57="","",'Layout'!L57)</x:f>
      </x:c>
      <x:c r="F57" s="9" t="str">
        <x:f>IF('Layout'!A57="","",'Layout'!N57)</x:f>
      </x:c>
    </x:row>
    <x:row r="58" ht="22" customHeight="1">
      <x:c r="A58" s="9" t="str">
        <x:f>IF('Layout'!A58="","",'Layout'!A58)</x:f>
      </x:c>
      <x:c r="B58" s="9" t="str">
        <x:f>IF('Layout'!A58="","",'Layout'!H58)</x:f>
      </x:c>
      <x:c r="C58" s="11" t="str">
        <x:f>IF('Layout'!A58="","",'Layout'!J58)</x:f>
      </x:c>
      <x:c r="D58" s="11" t="str">
        <x:f>IF('Layout'!A58="","",'Layout'!K58)</x:f>
      </x:c>
      <x:c r="E58" s="9" t="str">
        <x:f>IF('Layout'!A58="","",'Layout'!L58)</x:f>
      </x:c>
      <x:c r="F58" s="9" t="str">
        <x:f>IF('Layout'!A58="","",'Layout'!N58)</x:f>
      </x:c>
    </x:row>
    <x:row r="59" ht="22" customHeight="1">
      <x:c r="A59" s="9" t="str">
        <x:f>IF('Layout'!A59="","",'Layout'!A59)</x:f>
      </x:c>
      <x:c r="B59" s="9" t="str">
        <x:f>IF('Layout'!A59="","",'Layout'!H59)</x:f>
      </x:c>
      <x:c r="C59" s="11" t="str">
        <x:f>IF('Layout'!A59="","",'Layout'!J59)</x:f>
      </x:c>
      <x:c r="D59" s="11" t="str">
        <x:f>IF('Layout'!A59="","",'Layout'!K59)</x:f>
      </x:c>
      <x:c r="E59" s="9" t="str">
        <x:f>IF('Layout'!A59="","",'Layout'!L59)</x:f>
      </x:c>
      <x:c r="F59" s="9" t="str">
        <x:f>IF('Layout'!A59="","",'Layout'!N59)</x:f>
      </x:c>
    </x:row>
    <x:row r="60" ht="22" customHeight="1">
      <x:c r="A60" s="9" t="str">
        <x:f>IF('Layout'!A60="","",'Layout'!A60)</x:f>
      </x:c>
      <x:c r="B60" s="9" t="str">
        <x:f>IF('Layout'!A60="","",'Layout'!H60)</x:f>
      </x:c>
      <x:c r="C60" s="11" t="str">
        <x:f>IF('Layout'!A60="","",'Layout'!J60)</x:f>
      </x:c>
      <x:c r="D60" s="11" t="str">
        <x:f>IF('Layout'!A60="","",'Layout'!K60)</x:f>
      </x:c>
      <x:c r="E60" s="9" t="str">
        <x:f>IF('Layout'!A60="","",'Layout'!L60)</x:f>
      </x:c>
      <x:c r="F60" s="9" t="str">
        <x:f>IF('Layout'!A60="","",'Layout'!N60)</x:f>
      </x:c>
    </x:row>
    <x:row r="61" ht="22" customHeight="1">
      <x:c r="A61" s="9" t="str">
        <x:f>IF('Layout'!A61="","",'Layout'!A61)</x:f>
      </x:c>
      <x:c r="B61" s="9" t="str">
        <x:f>IF('Layout'!A61="","",'Layout'!H61)</x:f>
      </x:c>
      <x:c r="C61" s="11" t="str">
        <x:f>IF('Layout'!A61="","",'Layout'!J61)</x:f>
      </x:c>
      <x:c r="D61" s="11" t="str">
        <x:f>IF('Layout'!A61="","",'Layout'!K61)</x:f>
      </x:c>
      <x:c r="E61" s="9" t="str">
        <x:f>IF('Layout'!A61="","",'Layout'!L61)</x:f>
      </x:c>
      <x:c r="F61" s="9" t="str">
        <x:f>IF('Layout'!A61="","",'Layout'!N61)</x:f>
      </x:c>
    </x:row>
    <x:row r="62" ht="22" customHeight="1">
      <x:c r="A62" s="9" t="str">
        <x:f>IF('Layout'!A62="","",'Layout'!A62)</x:f>
      </x:c>
      <x:c r="B62" s="9" t="str">
        <x:f>IF('Layout'!A62="","",'Layout'!H62)</x:f>
      </x:c>
      <x:c r="C62" s="11" t="str">
        <x:f>IF('Layout'!A62="","",'Layout'!J62)</x:f>
      </x:c>
      <x:c r="D62" s="11" t="str">
        <x:f>IF('Layout'!A62="","",'Layout'!K62)</x:f>
      </x:c>
      <x:c r="E62" s="9" t="str">
        <x:f>IF('Layout'!A62="","",'Layout'!L62)</x:f>
      </x:c>
      <x:c r="F62" s="9" t="str">
        <x:f>IF('Layout'!A62="","",'Layout'!N62)</x:f>
      </x:c>
    </x:row>
    <x:row r="63" ht="22" customHeight="1">
      <x:c r="A63" s="9" t="str">
        <x:f>IF('Layout'!A63="","",'Layout'!A63)</x:f>
      </x:c>
      <x:c r="B63" s="9" t="str">
        <x:f>IF('Layout'!A63="","",'Layout'!H63)</x:f>
      </x:c>
      <x:c r="C63" s="11" t="str">
        <x:f>IF('Layout'!A63="","",'Layout'!J63)</x:f>
      </x:c>
      <x:c r="D63" s="11" t="str">
        <x:f>IF('Layout'!A63="","",'Layout'!K63)</x:f>
      </x:c>
      <x:c r="E63" s="9" t="str">
        <x:f>IF('Layout'!A63="","",'Layout'!L63)</x:f>
      </x:c>
      <x:c r="F63" s="9" t="str">
        <x:f>IF('Layout'!A63="","",'Layout'!N63)</x:f>
      </x:c>
    </x:row>
    <x:row r="64" ht="22" customHeight="1">
      <x:c r="A64" s="9" t="str">
        <x:f>IF('Layout'!A64="","",'Layout'!A64)</x:f>
      </x:c>
      <x:c r="B64" s="9" t="str">
        <x:f>IF('Layout'!A64="","",'Layout'!H64)</x:f>
      </x:c>
      <x:c r="C64" s="11" t="str">
        <x:f>IF('Layout'!A64="","",'Layout'!J64)</x:f>
      </x:c>
      <x:c r="D64" s="11" t="str">
        <x:f>IF('Layout'!A64="","",'Layout'!K64)</x:f>
      </x:c>
      <x:c r="E64" s="9" t="str">
        <x:f>IF('Layout'!A64="","",'Layout'!L64)</x:f>
      </x:c>
      <x:c r="F64" s="9" t="str">
        <x:f>IF('Layout'!A64="","",'Layout'!N64)</x:f>
      </x:c>
    </x:row>
    <x:row r="65" ht="22" customHeight="1">
      <x:c r="A65" s="9" t="str">
        <x:f>IF('Layout'!A65="","",'Layout'!A65)</x:f>
      </x:c>
      <x:c r="B65" s="9" t="str">
        <x:f>IF('Layout'!A65="","",'Layout'!H65)</x:f>
      </x:c>
      <x:c r="C65" s="11" t="str">
        <x:f>IF('Layout'!A65="","",'Layout'!J65)</x:f>
      </x:c>
      <x:c r="D65" s="11" t="str">
        <x:f>IF('Layout'!A65="","",'Layout'!K65)</x:f>
      </x:c>
      <x:c r="E65" s="9" t="str">
        <x:f>IF('Layout'!A65="","",'Layout'!L65)</x:f>
      </x:c>
      <x:c r="F65" s="9" t="str">
        <x:f>IF('Layout'!A65="","",'Layout'!N65)</x:f>
      </x:c>
    </x:row>
    <x:row r="66" ht="22" customHeight="1">
      <x:c r="A66" s="9" t="str">
        <x:f>IF('Layout'!A66="","",'Layout'!A66)</x:f>
      </x:c>
      <x:c r="B66" s="9" t="str">
        <x:f>IF('Layout'!A66="","",'Layout'!H66)</x:f>
      </x:c>
      <x:c r="C66" s="11" t="str">
        <x:f>IF('Layout'!A66="","",'Layout'!J66)</x:f>
      </x:c>
      <x:c r="D66" s="11" t="str">
        <x:f>IF('Layout'!A66="","",'Layout'!K66)</x:f>
      </x:c>
      <x:c r="E66" s="9" t="str">
        <x:f>IF('Layout'!A66="","",'Layout'!L66)</x:f>
      </x:c>
      <x:c r="F66" s="9" t="str">
        <x:f>IF('Layout'!A66="","",'Layout'!N66)</x:f>
      </x:c>
    </x:row>
    <x:row r="67" ht="22" customHeight="1">
      <x:c r="A67" s="9" t="str">
        <x:f>IF('Layout'!A67="","",'Layout'!A67)</x:f>
      </x:c>
      <x:c r="B67" s="9" t="str">
        <x:f>IF('Layout'!A67="","",'Layout'!H67)</x:f>
      </x:c>
      <x:c r="C67" s="11" t="str">
        <x:f>IF('Layout'!A67="","",'Layout'!J67)</x:f>
      </x:c>
      <x:c r="D67" s="11" t="str">
        <x:f>IF('Layout'!A67="","",'Layout'!K67)</x:f>
      </x:c>
      <x:c r="E67" s="9" t="str">
        <x:f>IF('Layout'!A67="","",'Layout'!L67)</x:f>
      </x:c>
      <x:c r="F67" s="9" t="str">
        <x:f>IF('Layout'!A67="","",'Layout'!N67)</x:f>
      </x:c>
    </x:row>
    <x:row r="68" ht="22" customHeight="1">
      <x:c r="A68" s="9" t="str">
        <x:f>IF('Layout'!A68="","",'Layout'!A68)</x:f>
      </x:c>
      <x:c r="B68" s="9" t="str">
        <x:f>IF('Layout'!A68="","",'Layout'!H68)</x:f>
      </x:c>
      <x:c r="C68" s="11" t="str">
        <x:f>IF('Layout'!A68="","",'Layout'!J68)</x:f>
      </x:c>
      <x:c r="D68" s="11" t="str">
        <x:f>IF('Layout'!A68="","",'Layout'!K68)</x:f>
      </x:c>
      <x:c r="E68" s="9" t="str">
        <x:f>IF('Layout'!A68="","",'Layout'!L68)</x:f>
      </x:c>
      <x:c r="F68" s="9" t="str">
        <x:f>IF('Layout'!A68="","",'Layout'!N68)</x:f>
      </x:c>
    </x:row>
    <x:row r="69" ht="22" customHeight="1">
      <x:c r="A69" s="9" t="str">
        <x:f>IF('Layout'!A69="","",'Layout'!A69)</x:f>
      </x:c>
      <x:c r="B69" s="9" t="str">
        <x:f>IF('Layout'!A69="","",'Layout'!H69)</x:f>
      </x:c>
      <x:c r="C69" s="11" t="str">
        <x:f>IF('Layout'!A69="","",'Layout'!J69)</x:f>
      </x:c>
      <x:c r="D69" s="11" t="str">
        <x:f>IF('Layout'!A69="","",'Layout'!K69)</x:f>
      </x:c>
      <x:c r="E69" s="9" t="str">
        <x:f>IF('Layout'!A69="","",'Layout'!L69)</x:f>
      </x:c>
      <x:c r="F69" s="9" t="str">
        <x:f>IF('Layout'!A69="","",'Layout'!N69)</x:f>
      </x:c>
    </x:row>
    <x:row r="70" ht="22" customHeight="1">
      <x:c r="A70" s="9" t="str">
        <x:f>IF('Layout'!A70="","",'Layout'!A70)</x:f>
      </x:c>
      <x:c r="B70" s="9" t="str">
        <x:f>IF('Layout'!A70="","",'Layout'!H70)</x:f>
      </x:c>
      <x:c r="C70" s="11" t="str">
        <x:f>IF('Layout'!A70="","",'Layout'!J70)</x:f>
      </x:c>
      <x:c r="D70" s="11" t="str">
        <x:f>IF('Layout'!A70="","",'Layout'!K70)</x:f>
      </x:c>
      <x:c r="E70" s="9" t="str">
        <x:f>IF('Layout'!A70="","",'Layout'!L70)</x:f>
      </x:c>
      <x:c r="F70" s="9" t="str">
        <x:f>IF('Layout'!A70="","",'Layout'!N70)</x:f>
      </x:c>
    </x:row>
    <x:row r="71" ht="22" customHeight="1">
      <x:c r="A71" s="9" t="str">
        <x:f>IF('Layout'!A71="","",'Layout'!A71)</x:f>
      </x:c>
      <x:c r="B71" s="9" t="str">
        <x:f>IF('Layout'!A71="","",'Layout'!H71)</x:f>
      </x:c>
      <x:c r="C71" s="11" t="str">
        <x:f>IF('Layout'!A71="","",'Layout'!J71)</x:f>
      </x:c>
      <x:c r="D71" s="11" t="str">
        <x:f>IF('Layout'!A71="","",'Layout'!K71)</x:f>
      </x:c>
      <x:c r="E71" s="9" t="str">
        <x:f>IF('Layout'!A71="","",'Layout'!L71)</x:f>
      </x:c>
      <x:c r="F71" s="9" t="str">
        <x:f>IF('Layout'!A71="","",'Layout'!N71)</x:f>
      </x:c>
    </x:row>
    <x:row r="72" ht="22" customHeight="1">
      <x:c r="A72" s="9" t="str">
        <x:f>IF('Layout'!A72="","",'Layout'!A72)</x:f>
      </x:c>
      <x:c r="B72" s="9" t="str">
        <x:f>IF('Layout'!A72="","",'Layout'!H72)</x:f>
      </x:c>
      <x:c r="C72" s="11" t="str">
        <x:f>IF('Layout'!A72="","",'Layout'!J72)</x:f>
      </x:c>
      <x:c r="D72" s="11" t="str">
        <x:f>IF('Layout'!A72="","",'Layout'!K72)</x:f>
      </x:c>
      <x:c r="E72" s="9" t="str">
        <x:f>IF('Layout'!A72="","",'Layout'!L72)</x:f>
      </x:c>
      <x:c r="F72" s="9" t="str">
        <x:f>IF('Layout'!A72="","",'Layout'!N72)</x:f>
      </x:c>
    </x:row>
    <x:row r="73" ht="22" customHeight="1">
      <x:c r="A73" s="9" t="str">
        <x:f>IF('Layout'!A73="","",'Layout'!A73)</x:f>
      </x:c>
      <x:c r="B73" s="9" t="str">
        <x:f>IF('Layout'!A73="","",'Layout'!H73)</x:f>
      </x:c>
      <x:c r="C73" s="11" t="str">
        <x:f>IF('Layout'!A73="","",'Layout'!J73)</x:f>
      </x:c>
      <x:c r="D73" s="11" t="str">
        <x:f>IF('Layout'!A73="","",'Layout'!K73)</x:f>
      </x:c>
      <x:c r="E73" s="9" t="str">
        <x:f>IF('Layout'!A73="","",'Layout'!L73)</x:f>
      </x:c>
      <x:c r="F73" s="9" t="str">
        <x:f>IF('Layout'!A73="","",'Layout'!N73)</x:f>
      </x:c>
    </x:row>
    <x:row r="74" ht="22" customHeight="1">
      <x:c r="A74" s="9" t="str">
        <x:f>IF('Layout'!A74="","",'Layout'!A74)</x:f>
      </x:c>
      <x:c r="B74" s="9" t="str">
        <x:f>IF('Layout'!A74="","",'Layout'!H74)</x:f>
      </x:c>
      <x:c r="C74" s="11" t="str">
        <x:f>IF('Layout'!A74="","",'Layout'!J74)</x:f>
      </x:c>
      <x:c r="D74" s="11" t="str">
        <x:f>IF('Layout'!A74="","",'Layout'!K74)</x:f>
      </x:c>
      <x:c r="E74" s="9" t="str">
        <x:f>IF('Layout'!A74="","",'Layout'!L74)</x:f>
      </x:c>
      <x:c r="F74" s="9" t="str">
        <x:f>IF('Layout'!A74="","",'Layout'!N74)</x:f>
      </x:c>
    </x:row>
    <x:row r="75" ht="22" customHeight="1">
      <x:c r="A75" s="9" t="str">
        <x:f>IF('Layout'!A75="","",'Layout'!A75)</x:f>
      </x:c>
      <x:c r="B75" s="9" t="str">
        <x:f>IF('Layout'!A75="","",'Layout'!H75)</x:f>
      </x:c>
      <x:c r="C75" s="11" t="str">
        <x:f>IF('Layout'!A75="","",'Layout'!J75)</x:f>
      </x:c>
      <x:c r="D75" s="11" t="str">
        <x:f>IF('Layout'!A75="","",'Layout'!K75)</x:f>
      </x:c>
      <x:c r="E75" s="9" t="str">
        <x:f>IF('Layout'!A75="","",'Layout'!L75)</x:f>
      </x:c>
      <x:c r="F75" s="9" t="str">
        <x:f>IF('Layout'!A75="","",'Layout'!N75)</x:f>
      </x:c>
    </x:row>
    <x:row r="76" ht="22" customHeight="1">
      <x:c r="A76" s="9" t="str">
        <x:f>IF('Layout'!A76="","",'Layout'!A76)</x:f>
      </x:c>
      <x:c r="B76" s="9" t="str">
        <x:f>IF('Layout'!A76="","",'Layout'!H76)</x:f>
      </x:c>
      <x:c r="C76" s="11" t="str">
        <x:f>IF('Layout'!A76="","",'Layout'!J76)</x:f>
      </x:c>
      <x:c r="D76" s="11" t="str">
        <x:f>IF('Layout'!A76="","",'Layout'!K76)</x:f>
      </x:c>
      <x:c r="E76" s="9" t="str">
        <x:f>IF('Layout'!A76="","",'Layout'!L76)</x:f>
      </x:c>
      <x:c r="F76" s="9" t="str">
        <x:f>IF('Layout'!A76="","",'Layout'!N76)</x:f>
      </x:c>
    </x:row>
    <x:row r="77" ht="22" customHeight="1">
      <x:c r="A77" s="9" t="str">
        <x:f>IF('Layout'!A77="","",'Layout'!A77)</x:f>
      </x:c>
      <x:c r="B77" s="9" t="str">
        <x:f>IF('Layout'!A77="","",'Layout'!H77)</x:f>
      </x:c>
      <x:c r="C77" s="11" t="str">
        <x:f>IF('Layout'!A77="","",'Layout'!J77)</x:f>
      </x:c>
      <x:c r="D77" s="11" t="str">
        <x:f>IF('Layout'!A77="","",'Layout'!K77)</x:f>
      </x:c>
      <x:c r="E77" s="9" t="str">
        <x:f>IF('Layout'!A77="","",'Layout'!L77)</x:f>
      </x:c>
      <x:c r="F77" s="9" t="str">
        <x:f>IF('Layout'!A77="","",'Layout'!N77)</x:f>
      </x:c>
    </x:row>
    <x:row r="78" ht="22" customHeight="1">
      <x:c r="A78" s="9" t="str">
        <x:f>IF('Layout'!A78="","",'Layout'!A78)</x:f>
      </x:c>
      <x:c r="B78" s="9" t="str">
        <x:f>IF('Layout'!A78="","",'Layout'!H78)</x:f>
      </x:c>
      <x:c r="C78" s="11" t="str">
        <x:f>IF('Layout'!A78="","",'Layout'!J78)</x:f>
      </x:c>
      <x:c r="D78" s="11" t="str">
        <x:f>IF('Layout'!A78="","",'Layout'!K78)</x:f>
      </x:c>
      <x:c r="E78" s="9" t="str">
        <x:f>IF('Layout'!A78="","",'Layout'!L78)</x:f>
      </x:c>
      <x:c r="F78" s="9" t="str">
        <x:f>IF('Layout'!A78="","",'Layout'!N78)</x:f>
      </x:c>
    </x:row>
    <x:row r="79" ht="22" customHeight="1">
      <x:c r="A79" s="9" t="str">
        <x:f>IF('Layout'!A79="","",'Layout'!A79)</x:f>
      </x:c>
      <x:c r="B79" s="9" t="str">
        <x:f>IF('Layout'!A79="","",'Layout'!H79)</x:f>
      </x:c>
      <x:c r="C79" s="11" t="str">
        <x:f>IF('Layout'!A79="","",'Layout'!J79)</x:f>
      </x:c>
      <x:c r="D79" s="11" t="str">
        <x:f>IF('Layout'!A79="","",'Layout'!K79)</x:f>
      </x:c>
      <x:c r="E79" s="9" t="str">
        <x:f>IF('Layout'!A79="","",'Layout'!L79)</x:f>
      </x:c>
      <x:c r="F79" s="9" t="str">
        <x:f>IF('Layout'!A79="","",'Layout'!N79)</x:f>
      </x:c>
    </x:row>
    <x:row r="80" ht="22" customHeight="1">
      <x:c r="A80" s="9" t="str">
        <x:f>IF('Layout'!A80="","",'Layout'!A80)</x:f>
      </x:c>
      <x:c r="B80" s="9" t="str">
        <x:f>IF('Layout'!A80="","",'Layout'!H80)</x:f>
      </x:c>
      <x:c r="C80" s="11" t="str">
        <x:f>IF('Layout'!A80="","",'Layout'!J80)</x:f>
      </x:c>
      <x:c r="D80" s="11" t="str">
        <x:f>IF('Layout'!A80="","",'Layout'!K80)</x:f>
      </x:c>
      <x:c r="E80" s="9" t="str">
        <x:f>IF('Layout'!A80="","",'Layout'!L80)</x:f>
      </x:c>
      <x:c r="F80" s="9" t="str">
        <x:f>IF('Layout'!A80="","",'Layout'!N80)</x:f>
      </x:c>
    </x:row>
    <x:row r="81" ht="22" customHeight="1">
      <x:c r="A81" s="9" t="str">
        <x:f>IF('Layout'!A81="","",'Layout'!A81)</x:f>
      </x:c>
      <x:c r="B81" s="9" t="str">
        <x:f>IF('Layout'!A81="","",'Layout'!H81)</x:f>
      </x:c>
      <x:c r="C81" s="11" t="str">
        <x:f>IF('Layout'!A81="","",'Layout'!J81)</x:f>
      </x:c>
      <x:c r="D81" s="11" t="str">
        <x:f>IF('Layout'!A81="","",'Layout'!K81)</x:f>
      </x:c>
      <x:c r="E81" s="9" t="str">
        <x:f>IF('Layout'!A81="","",'Layout'!L81)</x:f>
      </x:c>
      <x:c r="F81" s="9" t="str">
        <x:f>IF('Layout'!A81="","",'Layout'!N81)</x:f>
      </x:c>
    </x:row>
    <x:row r="82" ht="22" customHeight="1">
      <x:c r="A82" s="9" t="str">
        <x:f>IF('Layout'!A82="","",'Layout'!A82)</x:f>
      </x:c>
      <x:c r="B82" s="9" t="str">
        <x:f>IF('Layout'!A82="","",'Layout'!H82)</x:f>
      </x:c>
      <x:c r="C82" s="11" t="str">
        <x:f>IF('Layout'!A82="","",'Layout'!J82)</x:f>
      </x:c>
      <x:c r="D82" s="11" t="str">
        <x:f>IF('Layout'!A82="","",'Layout'!K82)</x:f>
      </x:c>
      <x:c r="E82" s="9" t="str">
        <x:f>IF('Layout'!A82="","",'Layout'!L82)</x:f>
      </x:c>
      <x:c r="F82" s="9" t="str">
        <x:f>IF('Layout'!A82="","",'Layout'!N82)</x:f>
      </x:c>
    </x:row>
    <x:row r="83" ht="22" customHeight="1">
      <x:c r="A83" s="9" t="str">
        <x:f>IF('Layout'!A83="","",'Layout'!A83)</x:f>
      </x:c>
      <x:c r="B83" s="9" t="str">
        <x:f>IF('Layout'!A83="","",'Layout'!H83)</x:f>
      </x:c>
      <x:c r="C83" s="11" t="str">
        <x:f>IF('Layout'!A83="","",'Layout'!J83)</x:f>
      </x:c>
      <x:c r="D83" s="11" t="str">
        <x:f>IF('Layout'!A83="","",'Layout'!K83)</x:f>
      </x:c>
      <x:c r="E83" s="9" t="str">
        <x:f>IF('Layout'!A83="","",'Layout'!L83)</x:f>
      </x:c>
      <x:c r="F83" s="9" t="str">
        <x:f>IF('Layout'!A83="","",'Layout'!N83)</x:f>
      </x:c>
    </x:row>
    <x:row r="84" ht="22" customHeight="1">
      <x:c r="A84" s="9" t="str">
        <x:f>IF('Layout'!A84="","",'Layout'!A84)</x:f>
      </x:c>
      <x:c r="B84" s="9" t="str">
        <x:f>IF('Layout'!A84="","",'Layout'!H84)</x:f>
      </x:c>
      <x:c r="C84" s="11" t="str">
        <x:f>IF('Layout'!A84="","",'Layout'!J84)</x:f>
      </x:c>
      <x:c r="D84" s="11" t="str">
        <x:f>IF('Layout'!A84="","",'Layout'!K84)</x:f>
      </x:c>
      <x:c r="E84" s="9" t="str">
        <x:f>IF('Layout'!A84="","",'Layout'!L84)</x:f>
      </x:c>
      <x:c r="F84" s="9" t="str">
        <x:f>IF('Layout'!A84="","",'Layout'!N84)</x:f>
      </x:c>
    </x:row>
    <x:row r="85" ht="22" customHeight="1">
      <x:c r="A85" s="9" t="str">
        <x:f>IF('Layout'!A85="","",'Layout'!A85)</x:f>
      </x:c>
      <x:c r="B85" s="9" t="str">
        <x:f>IF('Layout'!A85="","",'Layout'!H85)</x:f>
      </x:c>
      <x:c r="C85" s="11" t="str">
        <x:f>IF('Layout'!A85="","",'Layout'!J85)</x:f>
      </x:c>
      <x:c r="D85" s="11" t="str">
        <x:f>IF('Layout'!A85="","",'Layout'!K85)</x:f>
      </x:c>
      <x:c r="E85" s="9" t="str">
        <x:f>IF('Layout'!A85="","",'Layout'!L85)</x:f>
      </x:c>
      <x:c r="F85" s="9" t="str">
        <x:f>IF('Layout'!A85="","",'Layout'!N85)</x:f>
      </x:c>
    </x:row>
    <x:row r="86" ht="22" customHeight="1">
      <x:c r="A86" s="9" t="str">
        <x:f>IF('Layout'!A86="","",'Layout'!A86)</x:f>
      </x:c>
      <x:c r="B86" s="9" t="str">
        <x:f>IF('Layout'!A86="","",'Layout'!H86)</x:f>
      </x:c>
      <x:c r="C86" s="11" t="str">
        <x:f>IF('Layout'!A86="","",'Layout'!J86)</x:f>
      </x:c>
      <x:c r="D86" s="11" t="str">
        <x:f>IF('Layout'!A86="","",'Layout'!K86)</x:f>
      </x:c>
      <x:c r="E86" s="9" t="str">
        <x:f>IF('Layout'!A86="","",'Layout'!L86)</x:f>
      </x:c>
      <x:c r="F86" s="9" t="str">
        <x:f>IF('Layout'!A86="","",'Layout'!N86)</x:f>
      </x:c>
    </x:row>
    <x:row r="87" ht="22" customHeight="1">
      <x:c r="A87" s="9" t="str">
        <x:f>IF('Layout'!A87="","",'Layout'!A87)</x:f>
      </x:c>
      <x:c r="B87" s="9" t="str">
        <x:f>IF('Layout'!A87="","",'Layout'!H87)</x:f>
      </x:c>
      <x:c r="C87" s="11" t="str">
        <x:f>IF('Layout'!A87="","",'Layout'!J87)</x:f>
      </x:c>
      <x:c r="D87" s="11" t="str">
        <x:f>IF('Layout'!A87="","",'Layout'!K87)</x:f>
      </x:c>
      <x:c r="E87" s="9" t="str">
        <x:f>IF('Layout'!A87="","",'Layout'!L87)</x:f>
      </x:c>
      <x:c r="F87" s="9" t="str">
        <x:f>IF('Layout'!A87="","",'Layout'!N87)</x:f>
      </x:c>
    </x:row>
    <x:row r="88" ht="22" customHeight="1">
      <x:c r="A88" s="9" t="str">
        <x:f>IF('Layout'!A88="","",'Layout'!A88)</x:f>
      </x:c>
      <x:c r="B88" s="9" t="str">
        <x:f>IF('Layout'!A88="","",'Layout'!H88)</x:f>
      </x:c>
      <x:c r="C88" s="11" t="str">
        <x:f>IF('Layout'!A88="","",'Layout'!J88)</x:f>
      </x:c>
      <x:c r="D88" s="11" t="str">
        <x:f>IF('Layout'!A88="","",'Layout'!K88)</x:f>
      </x:c>
      <x:c r="E88" s="9" t="str">
        <x:f>IF('Layout'!A88="","",'Layout'!L88)</x:f>
      </x:c>
      <x:c r="F88" s="9" t="str">
        <x:f>IF('Layout'!A88="","",'Layout'!N88)</x:f>
      </x:c>
    </x:row>
    <x:row r="89" ht="22" customHeight="1">
      <x:c r="A89" s="9" t="str">
        <x:f>IF('Layout'!A89="","",'Layout'!A89)</x:f>
      </x:c>
      <x:c r="B89" s="9" t="str">
        <x:f>IF('Layout'!A89="","",'Layout'!H89)</x:f>
      </x:c>
      <x:c r="C89" s="11" t="str">
        <x:f>IF('Layout'!A89="","",'Layout'!J89)</x:f>
      </x:c>
      <x:c r="D89" s="11" t="str">
        <x:f>IF('Layout'!A89="","",'Layout'!K89)</x:f>
      </x:c>
      <x:c r="E89" s="9" t="str">
        <x:f>IF('Layout'!A89="","",'Layout'!L89)</x:f>
      </x:c>
      <x:c r="F89" s="9" t="str">
        <x:f>IF('Layout'!A89="","",'Layout'!N89)</x:f>
      </x:c>
    </x:row>
    <x:row r="90" ht="22" customHeight="1">
      <x:c r="A90" s="9" t="str">
        <x:f>IF('Layout'!A90="","",'Layout'!A90)</x:f>
      </x:c>
      <x:c r="B90" s="9" t="str">
        <x:f>IF('Layout'!A90="","",'Layout'!H90)</x:f>
      </x:c>
      <x:c r="C90" s="11" t="str">
        <x:f>IF('Layout'!A90="","",'Layout'!J90)</x:f>
      </x:c>
      <x:c r="D90" s="11" t="str">
        <x:f>IF('Layout'!A90="","",'Layout'!K90)</x:f>
      </x:c>
      <x:c r="E90" s="9" t="str">
        <x:f>IF('Layout'!A90="","",'Layout'!L90)</x:f>
      </x:c>
      <x:c r="F90" s="9" t="str">
        <x:f>IF('Layout'!A90="","",'Layout'!N90)</x:f>
      </x:c>
    </x:row>
    <x:row r="91" ht="22" customHeight="1">
      <x:c r="A91" s="9" t="str">
        <x:f>IF('Layout'!A91="","",'Layout'!A91)</x:f>
      </x:c>
      <x:c r="B91" s="9" t="str">
        <x:f>IF('Layout'!A91="","",'Layout'!H91)</x:f>
      </x:c>
      <x:c r="C91" s="11" t="str">
        <x:f>IF('Layout'!A91="","",'Layout'!J91)</x:f>
      </x:c>
      <x:c r="D91" s="11" t="str">
        <x:f>IF('Layout'!A91="","",'Layout'!K91)</x:f>
      </x:c>
      <x:c r="E91" s="9" t="str">
        <x:f>IF('Layout'!A91="","",'Layout'!L91)</x:f>
      </x:c>
      <x:c r="F91" s="9" t="str">
        <x:f>IF('Layout'!A91="","",'Layout'!N91)</x:f>
      </x:c>
    </x:row>
    <x:row r="92" ht="22" customHeight="1">
      <x:c r="A92" s="9" t="str">
        <x:f>IF('Layout'!A92="","",'Layout'!A92)</x:f>
      </x:c>
      <x:c r="B92" s="9" t="str">
        <x:f>IF('Layout'!A92="","",'Layout'!H92)</x:f>
      </x:c>
      <x:c r="C92" s="11" t="str">
        <x:f>IF('Layout'!A92="","",'Layout'!J92)</x:f>
      </x:c>
      <x:c r="D92" s="11" t="str">
        <x:f>IF('Layout'!A92="","",'Layout'!K92)</x:f>
      </x:c>
      <x:c r="E92" s="9" t="str">
        <x:f>IF('Layout'!A92="","",'Layout'!L92)</x:f>
      </x:c>
      <x:c r="F92" s="9" t="str">
        <x:f>IF('Layout'!A92="","",'Layout'!N92)</x:f>
      </x:c>
    </x:row>
    <x:row r="93" ht="22" customHeight="1">
      <x:c r="A93" s="9" t="str">
        <x:f>IF('Layout'!A93="","",'Layout'!A93)</x:f>
      </x:c>
      <x:c r="B93" s="9" t="str">
        <x:f>IF('Layout'!A93="","",'Layout'!H93)</x:f>
      </x:c>
      <x:c r="C93" s="11" t="str">
        <x:f>IF('Layout'!A93="","",'Layout'!J93)</x:f>
      </x:c>
      <x:c r="D93" s="11" t="str">
        <x:f>IF('Layout'!A93="","",'Layout'!K93)</x:f>
      </x:c>
      <x:c r="E93" s="9" t="str">
        <x:f>IF('Layout'!A93="","",'Layout'!L93)</x:f>
      </x:c>
      <x:c r="F93" s="9" t="str">
        <x:f>IF('Layout'!A93="","",'Layout'!N93)</x:f>
      </x:c>
    </x:row>
    <x:row r="94" ht="22" customHeight="1">
      <x:c r="A94" s="9" t="str">
        <x:f>IF('Layout'!A94="","",'Layout'!A94)</x:f>
      </x:c>
      <x:c r="B94" s="9" t="str">
        <x:f>IF('Layout'!A94="","",'Layout'!H94)</x:f>
      </x:c>
      <x:c r="C94" s="11" t="str">
        <x:f>IF('Layout'!A94="","",'Layout'!J94)</x:f>
      </x:c>
      <x:c r="D94" s="11" t="str">
        <x:f>IF('Layout'!A94="","",'Layout'!K94)</x:f>
      </x:c>
      <x:c r="E94" s="9" t="str">
        <x:f>IF('Layout'!A94="","",'Layout'!L94)</x:f>
      </x:c>
      <x:c r="F94" s="9" t="str">
        <x:f>IF('Layout'!A94="","",'Layout'!N94)</x:f>
      </x:c>
    </x:row>
    <x:row r="95" ht="22" customHeight="1">
      <x:c r="A95" s="9" t="str">
        <x:f>IF('Layout'!A95="","",'Layout'!A95)</x:f>
      </x:c>
      <x:c r="B95" s="9" t="str">
        <x:f>IF('Layout'!A95="","",'Layout'!H95)</x:f>
      </x:c>
      <x:c r="C95" s="11" t="str">
        <x:f>IF('Layout'!A95="","",'Layout'!J95)</x:f>
      </x:c>
      <x:c r="D95" s="11" t="str">
        <x:f>IF('Layout'!A95="","",'Layout'!K95)</x:f>
      </x:c>
      <x:c r="E95" s="9" t="str">
        <x:f>IF('Layout'!A95="","",'Layout'!L95)</x:f>
      </x:c>
      <x:c r="F95" s="9" t="str">
        <x:f>IF('Layout'!A95="","",'Layout'!N95)</x:f>
      </x:c>
    </x:row>
    <x:row r="96" ht="22" customHeight="1">
      <x:c r="A96" s="9" t="str">
        <x:f>IF('Layout'!A96="","",'Layout'!A96)</x:f>
      </x:c>
      <x:c r="B96" s="9" t="str">
        <x:f>IF('Layout'!A96="","",'Layout'!H96)</x:f>
      </x:c>
      <x:c r="C96" s="11" t="str">
        <x:f>IF('Layout'!A96="","",'Layout'!J96)</x:f>
      </x:c>
      <x:c r="D96" s="11" t="str">
        <x:f>IF('Layout'!A96="","",'Layout'!K96)</x:f>
      </x:c>
      <x:c r="E96" s="9" t="str">
        <x:f>IF('Layout'!A96="","",'Layout'!L96)</x:f>
      </x:c>
      <x:c r="F96" s="9" t="str">
        <x:f>IF('Layout'!A96="","",'Layout'!N96)</x:f>
      </x:c>
    </x:row>
    <x:row r="97" ht="22" customHeight="1">
      <x:c r="A97" s="9" t="str">
        <x:f>IF('Layout'!A97="","",'Layout'!A97)</x:f>
      </x:c>
      <x:c r="B97" s="9" t="str">
        <x:f>IF('Layout'!A97="","",'Layout'!H97)</x:f>
      </x:c>
      <x:c r="C97" s="11" t="str">
        <x:f>IF('Layout'!A97="","",'Layout'!J97)</x:f>
      </x:c>
      <x:c r="D97" s="11" t="str">
        <x:f>IF('Layout'!A97="","",'Layout'!K97)</x:f>
      </x:c>
      <x:c r="E97" s="9" t="str">
        <x:f>IF('Layout'!A97="","",'Layout'!L97)</x:f>
      </x:c>
      <x:c r="F97" s="9" t="str">
        <x:f>IF('Layout'!A97="","",'Layout'!N97)</x:f>
      </x:c>
    </x:row>
    <x:row r="98" ht="22" customHeight="1">
      <x:c r="A98" s="9" t="str">
        <x:f>IF('Layout'!A98="","",'Layout'!A98)</x:f>
      </x:c>
      <x:c r="B98" s="9" t="str">
        <x:f>IF('Layout'!A98="","",'Layout'!H98)</x:f>
      </x:c>
      <x:c r="C98" s="11" t="str">
        <x:f>IF('Layout'!A98="","",'Layout'!J98)</x:f>
      </x:c>
      <x:c r="D98" s="11" t="str">
        <x:f>IF('Layout'!A98="","",'Layout'!K98)</x:f>
      </x:c>
      <x:c r="E98" s="9" t="str">
        <x:f>IF('Layout'!A98="","",'Layout'!L98)</x:f>
      </x:c>
      <x:c r="F98" s="9" t="str">
        <x:f>IF('Layout'!A98="","",'Layout'!N98)</x:f>
      </x:c>
    </x:row>
    <x:row r="99" ht="22" customHeight="1">
      <x:c r="A99" s="9" t="str">
        <x:f>IF('Layout'!A99="","",'Layout'!A99)</x:f>
      </x:c>
      <x:c r="B99" s="9" t="str">
        <x:f>IF('Layout'!A99="","",'Layout'!H99)</x:f>
      </x:c>
      <x:c r="C99" s="11" t="str">
        <x:f>IF('Layout'!A99="","",'Layout'!J99)</x:f>
      </x:c>
      <x:c r="D99" s="11" t="str">
        <x:f>IF('Layout'!A99="","",'Layout'!K99)</x:f>
      </x:c>
      <x:c r="E99" s="9" t="str">
        <x:f>IF('Layout'!A99="","",'Layout'!L99)</x:f>
      </x:c>
      <x:c r="F99" s="9" t="str">
        <x:f>IF('Layout'!A99="","",'Layout'!N99)</x:f>
      </x:c>
    </x:row>
    <x:row r="100" ht="22" customHeight="1">
      <x:c r="A100" s="9" t="str">
        <x:f>IF('Layout'!A100="","",'Layout'!A100)</x:f>
      </x:c>
      <x:c r="B100" s="9" t="str">
        <x:f>IF('Layout'!A100="","",'Layout'!H100)</x:f>
      </x:c>
      <x:c r="C100" s="11" t="str">
        <x:f>IF('Layout'!A100="","",'Layout'!J100)</x:f>
      </x:c>
      <x:c r="D100" s="11" t="str">
        <x:f>IF('Layout'!A100="","",'Layout'!K100)</x:f>
      </x:c>
      <x:c r="E100" s="9" t="str">
        <x:f>IF('Layout'!A100="","",'Layout'!L100)</x:f>
      </x:c>
      <x:c r="F100" s="9" t="str">
        <x:f>IF('Layout'!A100="","",'Layout'!N100)</x:f>
      </x:c>
    </x:row>
    <x:row r="101" ht="22" customHeight="1">
      <x:c r="A101" s="9" t="str">
        <x:f>IF('Layout'!A101="","",'Layout'!A101)</x:f>
      </x:c>
      <x:c r="B101" s="9" t="str">
        <x:f>IF('Layout'!A101="","",'Layout'!H101)</x:f>
      </x:c>
      <x:c r="C101" s="11" t="str">
        <x:f>IF('Layout'!A101="","",'Layout'!J101)</x:f>
      </x:c>
      <x:c r="D101" s="11" t="str">
        <x:f>IF('Layout'!A101="","",'Layout'!K101)</x:f>
      </x:c>
      <x:c r="E101" s="9" t="str">
        <x:f>IF('Layout'!A101="","",'Layout'!L101)</x:f>
      </x:c>
      <x:c r="F101" s="9" t="str">
        <x:f>IF('Layout'!A101="","",'Layout'!N101)</x:f>
      </x:c>
    </x:row>
    <x:row r="102" ht="22" customHeight="1">
      <x:c r="A102" s="9" t="str">
        <x:f>IF('Layout'!A102="","",'Layout'!A102)</x:f>
      </x:c>
      <x:c r="B102" s="9" t="str">
        <x:f>IF('Layout'!A102="","",'Layout'!H102)</x:f>
      </x:c>
      <x:c r="C102" s="11" t="str">
        <x:f>IF('Layout'!A102="","",'Layout'!J102)</x:f>
      </x:c>
      <x:c r="D102" s="11" t="str">
        <x:f>IF('Layout'!A102="","",'Layout'!K102)</x:f>
      </x:c>
      <x:c r="E102" s="9" t="str">
        <x:f>IF('Layout'!A102="","",'Layout'!L102)</x:f>
      </x:c>
      <x:c r="F102" s="9" t="str">
        <x:f>IF('Layout'!A102="","",'Layout'!N102)</x:f>
      </x:c>
    </x:row>
    <x:row r="103" ht="22" customHeight="1">
      <x:c r="A103" s="9" t="str">
        <x:f>IF('Layout'!A103="","",'Layout'!A103)</x:f>
      </x:c>
      <x:c r="B103" s="9" t="str">
        <x:f>IF('Layout'!A103="","",'Layout'!H103)</x:f>
      </x:c>
      <x:c r="C103" s="11" t="str">
        <x:f>IF('Layout'!A103="","",'Layout'!J103)</x:f>
      </x:c>
      <x:c r="D103" s="11" t="str">
        <x:f>IF('Layout'!A103="","",'Layout'!K103)</x:f>
      </x:c>
      <x:c r="E103" s="9" t="str">
        <x:f>IF('Layout'!A103="","",'Layout'!L103)</x:f>
      </x:c>
      <x:c r="F103" s="9" t="str">
        <x:f>IF('Layout'!A103="","",'Layout'!N103)</x:f>
      </x:c>
    </x:row>
    <x:row r="104" ht="22" customHeight="1">
      <x:c r="A104" s="9" t="str">
        <x:f>IF('Layout'!A104="","",'Layout'!A104)</x:f>
      </x:c>
      <x:c r="B104" s="9" t="str">
        <x:f>IF('Layout'!A104="","",'Layout'!H104)</x:f>
      </x:c>
      <x:c r="C104" s="11" t="str">
        <x:f>IF('Layout'!A104="","",'Layout'!J104)</x:f>
      </x:c>
      <x:c r="D104" s="11" t="str">
        <x:f>IF('Layout'!A104="","",'Layout'!K104)</x:f>
      </x:c>
      <x:c r="E104" s="9" t="str">
        <x:f>IF('Layout'!A104="","",'Layout'!L104)</x:f>
      </x:c>
      <x:c r="F104" s="9" t="str">
        <x:f>IF('Layout'!A104="","",'Layout'!N104)</x:f>
      </x:c>
    </x:row>
    <x:row r="105" ht="22" customHeight="1">
      <x:c r="A105" s="9" t="str">
        <x:f>IF('Layout'!A105="","",'Layout'!A105)</x:f>
      </x:c>
      <x:c r="B105" s="9" t="str">
        <x:f>IF('Layout'!A105="","",'Layout'!H105)</x:f>
      </x:c>
      <x:c r="C105" s="11" t="str">
        <x:f>IF('Layout'!A105="","",'Layout'!J105)</x:f>
      </x:c>
      <x:c r="D105" s="11" t="str">
        <x:f>IF('Layout'!A105="","",'Layout'!K105)</x:f>
      </x:c>
      <x:c r="E105" s="9" t="str">
        <x:f>IF('Layout'!A105="","",'Layout'!L105)</x:f>
      </x:c>
      <x:c r="F105" s="9" t="str">
        <x:f>IF('Layout'!A105="","",'Layout'!N105)</x:f>
      </x:c>
    </x:row>
    <x:row r="106" ht="22" customHeight="1">
      <x:c r="A106" s="9" t="str">
        <x:f>IF('Layout'!A106="","",'Layout'!A106)</x:f>
      </x:c>
      <x:c r="B106" s="9" t="str">
        <x:f>IF('Layout'!A106="","",'Layout'!H106)</x:f>
      </x:c>
      <x:c r="C106" s="11" t="str">
        <x:f>IF('Layout'!A106="","",'Layout'!J106)</x:f>
      </x:c>
      <x:c r="D106" s="11" t="str">
        <x:f>IF('Layout'!A106="","",'Layout'!K106)</x:f>
      </x:c>
      <x:c r="E106" s="9" t="str">
        <x:f>IF('Layout'!A106="","",'Layout'!L106)</x:f>
      </x:c>
      <x:c r="F106" s="9" t="str">
        <x:f>IF('Layout'!A106="","",'Layout'!N106)</x:f>
      </x:c>
    </x:row>
    <x:row r="107" ht="22" customHeight="1">
      <x:c r="A107" s="9" t="str">
        <x:f>IF('Layout'!A107="","",'Layout'!A107)</x:f>
      </x:c>
      <x:c r="B107" s="9" t="str">
        <x:f>IF('Layout'!A107="","",'Layout'!H107)</x:f>
      </x:c>
      <x:c r="C107" s="11" t="str">
        <x:f>IF('Layout'!A107="","",'Layout'!J107)</x:f>
      </x:c>
      <x:c r="D107" s="11" t="str">
        <x:f>IF('Layout'!A107="","",'Layout'!K107)</x:f>
      </x:c>
      <x:c r="E107" s="9" t="str">
        <x:f>IF('Layout'!A107="","",'Layout'!L107)</x:f>
      </x:c>
      <x:c r="F107" s="9" t="str">
        <x:f>IF('Layout'!A107="","",'Layout'!N107)</x:f>
      </x:c>
    </x:row>
    <x:row r="108" ht="22" customHeight="1">
      <x:c r="A108" s="9" t="str">
        <x:f>IF('Layout'!A108="","",'Layout'!A108)</x:f>
      </x:c>
      <x:c r="B108" s="9" t="str">
        <x:f>IF('Layout'!A108="","",'Layout'!H108)</x:f>
      </x:c>
      <x:c r="C108" s="11" t="str">
        <x:f>IF('Layout'!A108="","",'Layout'!J108)</x:f>
      </x:c>
      <x:c r="D108" s="11" t="str">
        <x:f>IF('Layout'!A108="","",'Layout'!K108)</x:f>
      </x:c>
      <x:c r="E108" s="9" t="str">
        <x:f>IF('Layout'!A108="","",'Layout'!L108)</x:f>
      </x:c>
      <x:c r="F108" s="9" t="str">
        <x:f>IF('Layout'!A108="","",'Layout'!N108)</x:f>
      </x:c>
    </x:row>
    <x:row r="109" ht="22" customHeight="1">
      <x:c r="A109" s="9" t="str">
        <x:f>IF('Layout'!A109="","",'Layout'!A109)</x:f>
      </x:c>
      <x:c r="B109" s="9" t="str">
        <x:f>IF('Layout'!A109="","",'Layout'!H109)</x:f>
      </x:c>
      <x:c r="C109" s="11" t="str">
        <x:f>IF('Layout'!A109="","",'Layout'!J109)</x:f>
      </x:c>
      <x:c r="D109" s="11" t="str">
        <x:f>IF('Layout'!A109="","",'Layout'!K109)</x:f>
      </x:c>
      <x:c r="E109" s="9" t="str">
        <x:f>IF('Layout'!A109="","",'Layout'!L109)</x:f>
      </x:c>
      <x:c r="F109" s="9" t="str">
        <x:f>IF('Layout'!A109="","",'Layout'!N109)</x:f>
      </x:c>
    </x:row>
    <x:row r="110" ht="22" customHeight="1">
      <x:c r="A110" s="9" t="str">
        <x:f>IF('Layout'!A110="","",'Layout'!A110)</x:f>
      </x:c>
      <x:c r="B110" s="9" t="str">
        <x:f>IF('Layout'!A110="","",'Layout'!H110)</x:f>
      </x:c>
      <x:c r="C110" s="11" t="str">
        <x:f>IF('Layout'!A110="","",'Layout'!J110)</x:f>
      </x:c>
      <x:c r="D110" s="11" t="str">
        <x:f>IF('Layout'!A110="","",'Layout'!K110)</x:f>
      </x:c>
      <x:c r="E110" s="9" t="str">
        <x:f>IF('Layout'!A110="","",'Layout'!L110)</x:f>
      </x:c>
      <x:c r="F110" s="9" t="str">
        <x:f>IF('Layout'!A110="","",'Layout'!N110)</x:f>
      </x:c>
    </x:row>
    <x:row r="111" ht="22" customHeight="1">
      <x:c r="A111" s="9" t="str">
        <x:f>IF('Layout'!A111="","",'Layout'!A111)</x:f>
      </x:c>
      <x:c r="B111" s="9" t="str">
        <x:f>IF('Layout'!A111="","",'Layout'!H111)</x:f>
      </x:c>
      <x:c r="C111" s="11" t="str">
        <x:f>IF('Layout'!A111="","",'Layout'!J111)</x:f>
      </x:c>
      <x:c r="D111" s="11" t="str">
        <x:f>IF('Layout'!A111="","",'Layout'!K111)</x:f>
      </x:c>
      <x:c r="E111" s="9" t="str">
        <x:f>IF('Layout'!A111="","",'Layout'!L111)</x:f>
      </x:c>
      <x:c r="F111" s="9" t="str">
        <x:f>IF('Layout'!A111="","",'Layout'!N111)</x:f>
      </x:c>
    </x:row>
    <x:row r="112" ht="22" customHeight="1">
      <x:c r="A112" s="9" t="str">
        <x:f>IF('Layout'!A112="","",'Layout'!A112)</x:f>
      </x:c>
      <x:c r="B112" s="9" t="str">
        <x:f>IF('Layout'!A112="","",'Layout'!H112)</x:f>
      </x:c>
      <x:c r="C112" s="11" t="str">
        <x:f>IF('Layout'!A112="","",'Layout'!J112)</x:f>
      </x:c>
      <x:c r="D112" s="11" t="str">
        <x:f>IF('Layout'!A112="","",'Layout'!K112)</x:f>
      </x:c>
      <x:c r="E112" s="9" t="str">
        <x:f>IF('Layout'!A112="","",'Layout'!L112)</x:f>
      </x:c>
      <x:c r="F112" s="9" t="str">
        <x:f>IF('Layout'!A112="","",'Layout'!N112)</x:f>
      </x:c>
    </x:row>
    <x:row r="113" ht="22" customHeight="1">
      <x:c r="A113" s="9" t="str">
        <x:f>IF('Layout'!A113="","",'Layout'!A113)</x:f>
      </x:c>
      <x:c r="B113" s="9" t="str">
        <x:f>IF('Layout'!A113="","",'Layout'!H113)</x:f>
      </x:c>
      <x:c r="C113" s="11" t="str">
        <x:f>IF('Layout'!A113="","",'Layout'!J113)</x:f>
      </x:c>
      <x:c r="D113" s="11" t="str">
        <x:f>IF('Layout'!A113="","",'Layout'!K113)</x:f>
      </x:c>
      <x:c r="E113" s="9" t="str">
        <x:f>IF('Layout'!A113="","",'Layout'!L113)</x:f>
      </x:c>
      <x:c r="F113" s="9" t="str">
        <x:f>IF('Layout'!A113="","",'Layout'!N113)</x:f>
      </x:c>
    </x:row>
    <x:row r="114" ht="22" customHeight="1">
      <x:c r="A114" s="9" t="str">
        <x:f>IF('Layout'!A114="","",'Layout'!A114)</x:f>
      </x:c>
      <x:c r="B114" s="9" t="str">
        <x:f>IF('Layout'!A114="","",'Layout'!H114)</x:f>
      </x:c>
      <x:c r="C114" s="11" t="str">
        <x:f>IF('Layout'!A114="","",'Layout'!J114)</x:f>
      </x:c>
      <x:c r="D114" s="11" t="str">
        <x:f>IF('Layout'!A114="","",'Layout'!K114)</x:f>
      </x:c>
      <x:c r="E114" s="9" t="str">
        <x:f>IF('Layout'!A114="","",'Layout'!L114)</x:f>
      </x:c>
      <x:c r="F114" s="9" t="str">
        <x:f>IF('Layout'!A114="","",'Layout'!N114)</x:f>
      </x:c>
    </x:row>
    <x:row r="115" ht="22" customHeight="1">
      <x:c r="A115" s="9" t="str">
        <x:f>IF('Layout'!A115="","",'Layout'!A115)</x:f>
      </x:c>
      <x:c r="B115" s="9" t="str">
        <x:f>IF('Layout'!A115="","",'Layout'!H115)</x:f>
      </x:c>
      <x:c r="C115" s="11" t="str">
        <x:f>IF('Layout'!A115="","",'Layout'!J115)</x:f>
      </x:c>
      <x:c r="D115" s="11" t="str">
        <x:f>IF('Layout'!A115="","",'Layout'!K115)</x:f>
      </x:c>
      <x:c r="E115" s="9" t="str">
        <x:f>IF('Layout'!A115="","",'Layout'!L115)</x:f>
      </x:c>
      <x:c r="F115" s="9" t="str">
        <x:f>IF('Layout'!A115="","",'Layout'!N115)</x:f>
      </x:c>
    </x:row>
    <x:row r="116" ht="22" customHeight="1">
      <x:c r="A116" s="9" t="str">
        <x:f>IF('Layout'!A116="","",'Layout'!A116)</x:f>
      </x:c>
      <x:c r="B116" s="9" t="str">
        <x:f>IF('Layout'!A116="","",'Layout'!H116)</x:f>
      </x:c>
      <x:c r="C116" s="11" t="str">
        <x:f>IF('Layout'!A116="","",'Layout'!J116)</x:f>
      </x:c>
      <x:c r="D116" s="11" t="str">
        <x:f>IF('Layout'!A116="","",'Layout'!K116)</x:f>
      </x:c>
      <x:c r="E116" s="9" t="str">
        <x:f>IF('Layout'!A116="","",'Layout'!L116)</x:f>
      </x:c>
      <x:c r="F116" s="9" t="str">
        <x:f>IF('Layout'!A116="","",'Layout'!N116)</x:f>
      </x:c>
    </x:row>
    <x:row r="117" ht="22" customHeight="1">
      <x:c r="A117" s="9" t="str">
        <x:f>IF('Layout'!A117="","",'Layout'!A117)</x:f>
      </x:c>
      <x:c r="B117" s="9" t="str">
        <x:f>IF('Layout'!A117="","",'Layout'!H117)</x:f>
      </x:c>
      <x:c r="C117" s="11" t="str">
        <x:f>IF('Layout'!A117="","",'Layout'!J117)</x:f>
      </x:c>
      <x:c r="D117" s="11" t="str">
        <x:f>IF('Layout'!A117="","",'Layout'!K117)</x:f>
      </x:c>
      <x:c r="E117" s="9" t="str">
        <x:f>IF('Layout'!A117="","",'Layout'!L117)</x:f>
      </x:c>
      <x:c r="F117" s="9" t="str">
        <x:f>IF('Layout'!A117="","",'Layout'!N117)</x:f>
      </x:c>
    </x:row>
    <x:row r="118" ht="22" customHeight="1">
      <x:c r="A118" s="9" t="str">
        <x:f>IF('Layout'!A118="","",'Layout'!A118)</x:f>
      </x:c>
      <x:c r="B118" s="9" t="str">
        <x:f>IF('Layout'!A118="","",'Layout'!H118)</x:f>
      </x:c>
      <x:c r="C118" s="11" t="str">
        <x:f>IF('Layout'!A118="","",'Layout'!J118)</x:f>
      </x:c>
      <x:c r="D118" s="11" t="str">
        <x:f>IF('Layout'!A118="","",'Layout'!K118)</x:f>
      </x:c>
      <x:c r="E118" s="9" t="str">
        <x:f>IF('Layout'!A118="","",'Layout'!L118)</x:f>
      </x:c>
      <x:c r="F118" s="9" t="str">
        <x:f>IF('Layout'!A118="","",'Layout'!N118)</x:f>
      </x:c>
    </x:row>
    <x:row r="119" ht="22" customHeight="1">
      <x:c r="A119" s="9" t="str">
        <x:f>IF('Layout'!A119="","",'Layout'!A119)</x:f>
      </x:c>
      <x:c r="B119" s="9" t="str">
        <x:f>IF('Layout'!A119="","",'Layout'!H119)</x:f>
      </x:c>
      <x:c r="C119" s="11" t="str">
        <x:f>IF('Layout'!A119="","",'Layout'!J119)</x:f>
      </x:c>
      <x:c r="D119" s="11" t="str">
        <x:f>IF('Layout'!A119="","",'Layout'!K119)</x:f>
      </x:c>
      <x:c r="E119" s="9" t="str">
        <x:f>IF('Layout'!A119="","",'Layout'!L119)</x:f>
      </x:c>
      <x:c r="F119" s="9" t="str">
        <x:f>IF('Layout'!A119="","",'Layout'!N119)</x:f>
      </x:c>
    </x:row>
    <x:row r="120" ht="22" customHeight="1">
      <x:c r="A120" s="9" t="str">
        <x:f>IF('Layout'!A120="","",'Layout'!A120)</x:f>
      </x:c>
      <x:c r="B120" s="9" t="str">
        <x:f>IF('Layout'!A120="","",'Layout'!H120)</x:f>
      </x:c>
      <x:c r="C120" s="11" t="str">
        <x:f>IF('Layout'!A120="","",'Layout'!J120)</x:f>
      </x:c>
      <x:c r="D120" s="11" t="str">
        <x:f>IF('Layout'!A120="","",'Layout'!K120)</x:f>
      </x:c>
      <x:c r="E120" s="9" t="str">
        <x:f>IF('Layout'!A120="","",'Layout'!L120)</x:f>
      </x:c>
      <x:c r="F120" s="9" t="str">
        <x:f>IF('Layout'!A120="","",'Layout'!N120)</x:f>
      </x:c>
    </x:row>
    <x:row r="121" ht="22" customHeight="1">
      <x:c r="A121" s="9" t="str">
        <x:f>IF('Layout'!A121="","",'Layout'!A121)</x:f>
      </x:c>
      <x:c r="B121" s="9" t="str">
        <x:f>IF('Layout'!A121="","",'Layout'!H121)</x:f>
      </x:c>
      <x:c r="C121" s="11" t="str">
        <x:f>IF('Layout'!A121="","",'Layout'!J121)</x:f>
      </x:c>
      <x:c r="D121" s="11" t="str">
        <x:f>IF('Layout'!A121="","",'Layout'!K121)</x:f>
      </x:c>
      <x:c r="E121" s="9" t="str">
        <x:f>IF('Layout'!A121="","",'Layout'!L121)</x:f>
      </x:c>
      <x:c r="F121" s="9" t="str">
        <x:f>IF('Layout'!A121="","",'Layout'!N121)</x:f>
      </x:c>
    </x:row>
    <x:row r="122" ht="22" customHeight="1">
      <x:c r="A122" s="9" t="str">
        <x:f>IF('Layout'!A122="","",'Layout'!A122)</x:f>
      </x:c>
      <x:c r="B122" s="9" t="str">
        <x:f>IF('Layout'!A122="","",'Layout'!H122)</x:f>
      </x:c>
      <x:c r="C122" s="11" t="str">
        <x:f>IF('Layout'!A122="","",'Layout'!J122)</x:f>
      </x:c>
      <x:c r="D122" s="11" t="str">
        <x:f>IF('Layout'!A122="","",'Layout'!K122)</x:f>
      </x:c>
      <x:c r="E122" s="9" t="str">
        <x:f>IF('Layout'!A122="","",'Layout'!L122)</x:f>
      </x:c>
      <x:c r="F122" s="9" t="str">
        <x:f>IF('Layout'!A122="","",'Layout'!N122)</x:f>
      </x:c>
    </x:row>
    <x:row r="123" ht="22" customHeight="1">
      <x:c r="A123" s="9" t="str">
        <x:f>IF('Layout'!A123="","",'Layout'!A123)</x:f>
      </x:c>
      <x:c r="B123" s="9" t="str">
        <x:f>IF('Layout'!A123="","",'Layout'!H123)</x:f>
      </x:c>
      <x:c r="C123" s="11" t="str">
        <x:f>IF('Layout'!A123="","",'Layout'!J123)</x:f>
      </x:c>
      <x:c r="D123" s="11" t="str">
        <x:f>IF('Layout'!A123="","",'Layout'!K123)</x:f>
      </x:c>
      <x:c r="E123" s="9" t="str">
        <x:f>IF('Layout'!A123="","",'Layout'!L123)</x:f>
      </x:c>
      <x:c r="F123" s="9" t="str">
        <x:f>IF('Layout'!A123="","",'Layout'!N123)</x:f>
      </x:c>
    </x:row>
    <x:row r="124" ht="22" customHeight="1">
      <x:c r="A124" s="9" t="str">
        <x:f>IF('Layout'!A124="","",'Layout'!A124)</x:f>
      </x:c>
      <x:c r="B124" s="9" t="str">
        <x:f>IF('Layout'!A124="","",'Layout'!H124)</x:f>
      </x:c>
      <x:c r="C124" s="11" t="str">
        <x:f>IF('Layout'!A124="","",'Layout'!J124)</x:f>
      </x:c>
      <x:c r="D124" s="11" t="str">
        <x:f>IF('Layout'!A124="","",'Layout'!K124)</x:f>
      </x:c>
      <x:c r="E124" s="9" t="str">
        <x:f>IF('Layout'!A124="","",'Layout'!L124)</x:f>
      </x:c>
      <x:c r="F124" s="9" t="str">
        <x:f>IF('Layout'!A124="","",'Layout'!N124)</x:f>
      </x:c>
    </x:row>
    <x:row r="125" ht="22" customHeight="1">
      <x:c r="A125" s="9" t="str">
        <x:f>IF('Layout'!A125="","",'Layout'!A125)</x:f>
      </x:c>
      <x:c r="B125" s="9" t="str">
        <x:f>IF('Layout'!A125="","",'Layout'!H125)</x:f>
      </x:c>
      <x:c r="C125" s="11" t="str">
        <x:f>IF('Layout'!A125="","",'Layout'!J125)</x:f>
      </x:c>
      <x:c r="D125" s="11" t="str">
        <x:f>IF('Layout'!A125="","",'Layout'!K125)</x:f>
      </x:c>
      <x:c r="E125" s="9" t="str">
        <x:f>IF('Layout'!A125="","",'Layout'!L125)</x:f>
      </x:c>
      <x:c r="F125" s="9" t="str">
        <x:f>IF('Layout'!A125="","",'Layout'!N125)</x:f>
      </x:c>
    </x:row>
    <x:row r="126" ht="22" customHeight="1">
      <x:c r="A126" s="9" t="str">
        <x:f>IF('Layout'!A126="","",'Layout'!A126)</x:f>
      </x:c>
      <x:c r="B126" s="9" t="str">
        <x:f>IF('Layout'!A126="","",'Layout'!H126)</x:f>
      </x:c>
      <x:c r="C126" s="11" t="str">
        <x:f>IF('Layout'!A126="","",'Layout'!J126)</x:f>
      </x:c>
      <x:c r="D126" s="11" t="str">
        <x:f>IF('Layout'!A126="","",'Layout'!K126)</x:f>
      </x:c>
      <x:c r="E126" s="9" t="str">
        <x:f>IF('Layout'!A126="","",'Layout'!L126)</x:f>
      </x:c>
      <x:c r="F126" s="9" t="str">
        <x:f>IF('Layout'!A126="","",'Layout'!N126)</x:f>
      </x:c>
    </x:row>
    <x:row r="127" ht="22" customHeight="1">
      <x:c r="A127" s="9" t="str">
        <x:f>IF('Layout'!A127="","",'Layout'!A127)</x:f>
      </x:c>
      <x:c r="B127" s="9" t="str">
        <x:f>IF('Layout'!A127="","",'Layout'!H127)</x:f>
      </x:c>
      <x:c r="C127" s="11" t="str">
        <x:f>IF('Layout'!A127="","",'Layout'!J127)</x:f>
      </x:c>
      <x:c r="D127" s="11" t="str">
        <x:f>IF('Layout'!A127="","",'Layout'!K127)</x:f>
      </x:c>
      <x:c r="E127" s="9" t="str">
        <x:f>IF('Layout'!A127="","",'Layout'!L127)</x:f>
      </x:c>
      <x:c r="F127" s="9" t="str">
        <x:f>IF('Layout'!A127="","",'Layout'!N127)</x:f>
      </x:c>
    </x:row>
    <x:row r="128" ht="22" customHeight="1">
      <x:c r="A128" s="9" t="str">
        <x:f>IF('Layout'!A128="","",'Layout'!A128)</x:f>
      </x:c>
      <x:c r="B128" s="9" t="str">
        <x:f>IF('Layout'!A128="","",'Layout'!H128)</x:f>
      </x:c>
      <x:c r="C128" s="11" t="str">
        <x:f>IF('Layout'!A128="","",'Layout'!J128)</x:f>
      </x:c>
      <x:c r="D128" s="11" t="str">
        <x:f>IF('Layout'!A128="","",'Layout'!K128)</x:f>
      </x:c>
      <x:c r="E128" s="9" t="str">
        <x:f>IF('Layout'!A128="","",'Layout'!L128)</x:f>
      </x:c>
      <x:c r="F128" s="9" t="str">
        <x:f>IF('Layout'!A128="","",'Layout'!N128)</x:f>
      </x:c>
    </x:row>
    <x:row r="129" ht="22" customHeight="1">
      <x:c r="A129" s="9" t="str">
        <x:f>IF('Layout'!A129="","",'Layout'!A129)</x:f>
      </x:c>
      <x:c r="B129" s="9" t="str">
        <x:f>IF('Layout'!A129="","",'Layout'!H129)</x:f>
      </x:c>
      <x:c r="C129" s="11" t="str">
        <x:f>IF('Layout'!A129="","",'Layout'!J129)</x:f>
      </x:c>
      <x:c r="D129" s="11" t="str">
        <x:f>IF('Layout'!A129="","",'Layout'!K129)</x:f>
      </x:c>
      <x:c r="E129" s="9" t="str">
        <x:f>IF('Layout'!A129="","",'Layout'!L129)</x:f>
      </x:c>
      <x:c r="F129" s="9" t="str">
        <x:f>IF('Layout'!A129="","",'Layout'!N129)</x:f>
      </x:c>
    </x:row>
    <x:row r="130" ht="22" customHeight="1">
      <x:c r="A130" s="9" t="str">
        <x:f>IF('Layout'!A130="","",'Layout'!A130)</x:f>
      </x:c>
      <x:c r="B130" s="9" t="str">
        <x:f>IF('Layout'!A130="","",'Layout'!H130)</x:f>
      </x:c>
      <x:c r="C130" s="11" t="str">
        <x:f>IF('Layout'!A130="","",'Layout'!J130)</x:f>
      </x:c>
      <x:c r="D130" s="11" t="str">
        <x:f>IF('Layout'!A130="","",'Layout'!K130)</x:f>
      </x:c>
      <x:c r="E130" s="9" t="str">
        <x:f>IF('Layout'!A130="","",'Layout'!L130)</x:f>
      </x:c>
      <x:c r="F130" s="9" t="str">
        <x:f>IF('Layout'!A130="","",'Layout'!N130)</x:f>
      </x:c>
    </x:row>
    <x:row r="131" ht="22" customHeight="1">
      <x:c r="A131" s="9" t="str">
        <x:f>IF('Layout'!A131="","",'Layout'!A131)</x:f>
      </x:c>
      <x:c r="B131" s="9" t="str">
        <x:f>IF('Layout'!A131="","",'Layout'!H131)</x:f>
      </x:c>
      <x:c r="C131" s="11" t="str">
        <x:f>IF('Layout'!A131="","",'Layout'!J131)</x:f>
      </x:c>
      <x:c r="D131" s="11" t="str">
        <x:f>IF('Layout'!A131="","",'Layout'!K131)</x:f>
      </x:c>
      <x:c r="E131" s="9" t="str">
        <x:f>IF('Layout'!A131="","",'Layout'!L131)</x:f>
      </x:c>
      <x:c r="F131" s="9" t="str">
        <x:f>IF('Layout'!A131="","",'Layout'!N131)</x:f>
      </x:c>
    </x:row>
    <x:row r="132" ht="22" customHeight="1">
      <x:c r="A132" s="9" t="str">
        <x:f>IF('Layout'!A132="","",'Layout'!A132)</x:f>
      </x:c>
      <x:c r="B132" s="9" t="str">
        <x:f>IF('Layout'!A132="","",'Layout'!H132)</x:f>
      </x:c>
      <x:c r="C132" s="11" t="str">
        <x:f>IF('Layout'!A132="","",'Layout'!J132)</x:f>
      </x:c>
      <x:c r="D132" s="11" t="str">
        <x:f>IF('Layout'!A132="","",'Layout'!K132)</x:f>
      </x:c>
      <x:c r="E132" s="9" t="str">
        <x:f>IF('Layout'!A132="","",'Layout'!L132)</x:f>
      </x:c>
      <x:c r="F132" s="9" t="str">
        <x:f>IF('Layout'!A132="","",'Layout'!N132)</x:f>
      </x:c>
    </x:row>
    <x:row r="133" ht="22" customHeight="1">
      <x:c r="A133" s="9" t="str">
        <x:f>IF('Layout'!A133="","",'Layout'!A133)</x:f>
      </x:c>
      <x:c r="B133" s="9" t="str">
        <x:f>IF('Layout'!A133="","",'Layout'!H133)</x:f>
      </x:c>
      <x:c r="C133" s="11" t="str">
        <x:f>IF('Layout'!A133="","",'Layout'!J133)</x:f>
      </x:c>
      <x:c r="D133" s="11" t="str">
        <x:f>IF('Layout'!A133="","",'Layout'!K133)</x:f>
      </x:c>
      <x:c r="E133" s="9" t="str">
        <x:f>IF('Layout'!A133="","",'Layout'!L133)</x:f>
      </x:c>
      <x:c r="F133" s="9" t="str">
        <x:f>IF('Layout'!A133="","",'Layout'!N133)</x:f>
      </x:c>
    </x:row>
    <x:row r="134" ht="22" customHeight="1">
      <x:c r="A134" s="9" t="str">
        <x:f>IF('Layout'!A134="","",'Layout'!A134)</x:f>
      </x:c>
      <x:c r="B134" s="9" t="str">
        <x:f>IF('Layout'!A134="","",'Layout'!H134)</x:f>
      </x:c>
      <x:c r="C134" s="11" t="str">
        <x:f>IF('Layout'!A134="","",'Layout'!J134)</x:f>
      </x:c>
      <x:c r="D134" s="11" t="str">
        <x:f>IF('Layout'!A134="","",'Layout'!K134)</x:f>
      </x:c>
      <x:c r="E134" s="9" t="str">
        <x:f>IF('Layout'!A134="","",'Layout'!L134)</x:f>
      </x:c>
      <x:c r="F134" s="9" t="str">
        <x:f>IF('Layout'!A134="","",'Layout'!N134)</x:f>
      </x:c>
    </x:row>
    <x:row r="135" ht="22" customHeight="1">
      <x:c r="A135" s="9" t="str">
        <x:f>IF('Layout'!A135="","",'Layout'!A135)</x:f>
      </x:c>
      <x:c r="B135" s="9" t="str">
        <x:f>IF('Layout'!A135="","",'Layout'!H135)</x:f>
      </x:c>
      <x:c r="C135" s="11" t="str">
        <x:f>IF('Layout'!A135="","",'Layout'!J135)</x:f>
      </x:c>
      <x:c r="D135" s="11" t="str">
        <x:f>IF('Layout'!A135="","",'Layout'!K135)</x:f>
      </x:c>
      <x:c r="E135" s="9" t="str">
        <x:f>IF('Layout'!A135="","",'Layout'!L135)</x:f>
      </x:c>
      <x:c r="F135" s="9" t="str">
        <x:f>IF('Layout'!A135="","",'Layout'!N135)</x:f>
      </x:c>
    </x:row>
    <x:row r="136" ht="22" customHeight="1">
      <x:c r="A136" s="9" t="str">
        <x:f>IF('Layout'!A136="","",'Layout'!A136)</x:f>
      </x:c>
      <x:c r="B136" s="9" t="str">
        <x:f>IF('Layout'!A136="","",'Layout'!H136)</x:f>
      </x:c>
      <x:c r="C136" s="11" t="str">
        <x:f>IF('Layout'!A136="","",'Layout'!J136)</x:f>
      </x:c>
      <x:c r="D136" s="11" t="str">
        <x:f>IF('Layout'!A136="","",'Layout'!K136)</x:f>
      </x:c>
      <x:c r="E136" s="9" t="str">
        <x:f>IF('Layout'!A136="","",'Layout'!L136)</x:f>
      </x:c>
      <x:c r="F136" s="9" t="str">
        <x:f>IF('Layout'!A136="","",'Layout'!N136)</x:f>
      </x:c>
    </x:row>
    <x:row r="137" ht="22" customHeight="1">
      <x:c r="A137" s="9" t="str">
        <x:f>IF('Layout'!A137="","",'Layout'!A137)</x:f>
      </x:c>
      <x:c r="B137" s="9" t="str">
        <x:f>IF('Layout'!A137="","",'Layout'!H137)</x:f>
      </x:c>
      <x:c r="C137" s="11" t="str">
        <x:f>IF('Layout'!A137="","",'Layout'!J137)</x:f>
      </x:c>
      <x:c r="D137" s="11" t="str">
        <x:f>IF('Layout'!A137="","",'Layout'!K137)</x:f>
      </x:c>
      <x:c r="E137" s="9" t="str">
        <x:f>IF('Layout'!A137="","",'Layout'!L137)</x:f>
      </x:c>
      <x:c r="F137" s="9" t="str">
        <x:f>IF('Layout'!A137="","",'Layout'!N137)</x:f>
      </x:c>
    </x:row>
    <x:row r="138" ht="22" customHeight="1">
      <x:c r="A138" s="9" t="str">
        <x:f>IF('Layout'!A138="","",'Layout'!A138)</x:f>
      </x:c>
      <x:c r="B138" s="9" t="str">
        <x:f>IF('Layout'!A138="","",'Layout'!H138)</x:f>
      </x:c>
      <x:c r="C138" s="11" t="str">
        <x:f>IF('Layout'!A138="","",'Layout'!J138)</x:f>
      </x:c>
      <x:c r="D138" s="11" t="str">
        <x:f>IF('Layout'!A138="","",'Layout'!K138)</x:f>
      </x:c>
      <x:c r="E138" s="9" t="str">
        <x:f>IF('Layout'!A138="","",'Layout'!L138)</x:f>
      </x:c>
      <x:c r="F138" s="9" t="str">
        <x:f>IF('Layout'!A138="","",'Layout'!N138)</x:f>
      </x:c>
    </x:row>
    <x:row r="139" ht="22" customHeight="1">
      <x:c r="A139" s="9" t="str">
        <x:f>IF('Layout'!A139="","",'Layout'!A139)</x:f>
      </x:c>
      <x:c r="B139" s="9" t="str">
        <x:f>IF('Layout'!A139="","",'Layout'!H139)</x:f>
      </x:c>
      <x:c r="C139" s="11" t="str">
        <x:f>IF('Layout'!A139="","",'Layout'!J139)</x:f>
      </x:c>
      <x:c r="D139" s="11" t="str">
        <x:f>IF('Layout'!A139="","",'Layout'!K139)</x:f>
      </x:c>
      <x:c r="E139" s="9" t="str">
        <x:f>IF('Layout'!A139="","",'Layout'!L139)</x:f>
      </x:c>
      <x:c r="F139" s="9" t="str">
        <x:f>IF('Layout'!A139="","",'Layout'!N139)</x:f>
      </x:c>
    </x:row>
    <x:row r="140" ht="22" customHeight="1">
      <x:c r="A140" s="9" t="str">
        <x:f>IF('Layout'!A140="","",'Layout'!A140)</x:f>
      </x:c>
      <x:c r="B140" s="9" t="str">
        <x:f>IF('Layout'!A140="","",'Layout'!H140)</x:f>
      </x:c>
      <x:c r="C140" s="11" t="str">
        <x:f>IF('Layout'!A140="","",'Layout'!J140)</x:f>
      </x:c>
      <x:c r="D140" s="11" t="str">
        <x:f>IF('Layout'!A140="","",'Layout'!K140)</x:f>
      </x:c>
      <x:c r="E140" s="9" t="str">
        <x:f>IF('Layout'!A140="","",'Layout'!L140)</x:f>
      </x:c>
      <x:c r="F140" s="9" t="str">
        <x:f>IF('Layout'!A140="","",'Layout'!N140)</x:f>
      </x:c>
    </x:row>
    <x:row r="141" ht="22" customHeight="1">
      <x:c r="A141" s="9" t="str">
        <x:f>IF('Layout'!A141="","",'Layout'!A141)</x:f>
      </x:c>
      <x:c r="B141" s="9" t="str">
        <x:f>IF('Layout'!A141="","",'Layout'!H141)</x:f>
      </x:c>
      <x:c r="C141" s="11" t="str">
        <x:f>IF('Layout'!A141="","",'Layout'!J141)</x:f>
      </x:c>
      <x:c r="D141" s="11" t="str">
        <x:f>IF('Layout'!A141="","",'Layout'!K141)</x:f>
      </x:c>
      <x:c r="E141" s="9" t="str">
        <x:f>IF('Layout'!A141="","",'Layout'!L141)</x:f>
      </x:c>
      <x:c r="F141" s="9" t="str">
        <x:f>IF('Layout'!A141="","",'Layout'!N141)</x:f>
      </x:c>
    </x:row>
    <x:row r="142" ht="22" customHeight="1">
      <x:c r="A142" s="9" t="str">
        <x:f>IF('Layout'!A142="","",'Layout'!A142)</x:f>
      </x:c>
      <x:c r="B142" s="9" t="str">
        <x:f>IF('Layout'!A142="","",'Layout'!H142)</x:f>
      </x:c>
      <x:c r="C142" s="11" t="str">
        <x:f>IF('Layout'!A142="","",'Layout'!J142)</x:f>
      </x:c>
      <x:c r="D142" s="11" t="str">
        <x:f>IF('Layout'!A142="","",'Layout'!K142)</x:f>
      </x:c>
      <x:c r="E142" s="9" t="str">
        <x:f>IF('Layout'!A142="","",'Layout'!L142)</x:f>
      </x:c>
      <x:c r="F142" s="9" t="str">
        <x:f>IF('Layout'!A142="","",'Layout'!N142)</x:f>
      </x:c>
    </x:row>
    <x:row r="143" ht="22" customHeight="1">
      <x:c r="A143" s="9" t="str">
        <x:f>IF('Layout'!A143="","",'Layout'!A143)</x:f>
      </x:c>
      <x:c r="B143" s="9" t="str">
        <x:f>IF('Layout'!A143="","",'Layout'!H143)</x:f>
      </x:c>
      <x:c r="C143" s="11" t="str">
        <x:f>IF('Layout'!A143="","",'Layout'!J143)</x:f>
      </x:c>
      <x:c r="D143" s="11" t="str">
        <x:f>IF('Layout'!A143="","",'Layout'!K143)</x:f>
      </x:c>
      <x:c r="E143" s="9" t="str">
        <x:f>IF('Layout'!A143="","",'Layout'!L143)</x:f>
      </x:c>
      <x:c r="F143" s="9" t="str">
        <x:f>IF('Layout'!A143="","",'Layout'!N143)</x:f>
      </x:c>
    </x:row>
    <x:row r="144" ht="22" customHeight="1">
      <x:c r="A144" s="9" t="str">
        <x:f>IF('Layout'!A144="","",'Layout'!A144)</x:f>
      </x:c>
      <x:c r="B144" s="9" t="str">
        <x:f>IF('Layout'!A144="","",'Layout'!H144)</x:f>
      </x:c>
      <x:c r="C144" s="11" t="str">
        <x:f>IF('Layout'!A144="","",'Layout'!J144)</x:f>
      </x:c>
      <x:c r="D144" s="11" t="str">
        <x:f>IF('Layout'!A144="","",'Layout'!K144)</x:f>
      </x:c>
      <x:c r="E144" s="9" t="str">
        <x:f>IF('Layout'!A144="","",'Layout'!L144)</x:f>
      </x:c>
      <x:c r="F144" s="9" t="str">
        <x:f>IF('Layout'!A144="","",'Layout'!N144)</x:f>
      </x:c>
    </x:row>
    <x:row r="145" ht="22" customHeight="1">
      <x:c r="A145" s="9" t="str">
        <x:f>IF('Layout'!A145="","",'Layout'!A145)</x:f>
      </x:c>
      <x:c r="B145" s="9" t="str">
        <x:f>IF('Layout'!A145="","",'Layout'!H145)</x:f>
      </x:c>
      <x:c r="C145" s="11" t="str">
        <x:f>IF('Layout'!A145="","",'Layout'!J145)</x:f>
      </x:c>
      <x:c r="D145" s="11" t="str">
        <x:f>IF('Layout'!A145="","",'Layout'!K145)</x:f>
      </x:c>
      <x:c r="E145" s="9" t="str">
        <x:f>IF('Layout'!A145="","",'Layout'!L145)</x:f>
      </x:c>
      <x:c r="F145" s="9" t="str">
        <x:f>IF('Layout'!A145="","",'Layout'!N145)</x:f>
      </x:c>
    </x:row>
    <x:row r="146" ht="22" customHeight="1">
      <x:c r="A146" s="9" t="str">
        <x:f>IF('Layout'!A146="","",'Layout'!A146)</x:f>
      </x:c>
      <x:c r="B146" s="9" t="str">
        <x:f>IF('Layout'!A146="","",'Layout'!H146)</x:f>
      </x:c>
      <x:c r="C146" s="11" t="str">
        <x:f>IF('Layout'!A146="","",'Layout'!J146)</x:f>
      </x:c>
      <x:c r="D146" s="11" t="str">
        <x:f>IF('Layout'!A146="","",'Layout'!K146)</x:f>
      </x:c>
      <x:c r="E146" s="9" t="str">
        <x:f>IF('Layout'!A146="","",'Layout'!L146)</x:f>
      </x:c>
      <x:c r="F146" s="9" t="str">
        <x:f>IF('Layout'!A146="","",'Layout'!N146)</x:f>
      </x:c>
    </x:row>
    <x:row r="147" ht="22" customHeight="1">
      <x:c r="A147" s="9" t="str">
        <x:f>IF('Layout'!A147="","",'Layout'!A147)</x:f>
      </x:c>
      <x:c r="B147" s="9" t="str">
        <x:f>IF('Layout'!A147="","",'Layout'!H147)</x:f>
      </x:c>
      <x:c r="C147" s="11" t="str">
        <x:f>IF('Layout'!A147="","",'Layout'!J147)</x:f>
      </x:c>
      <x:c r="D147" s="11" t="str">
        <x:f>IF('Layout'!A147="","",'Layout'!K147)</x:f>
      </x:c>
      <x:c r="E147" s="9" t="str">
        <x:f>IF('Layout'!A147="","",'Layout'!L147)</x:f>
      </x:c>
      <x:c r="F147" s="9" t="str">
        <x:f>IF('Layout'!A147="","",'Layout'!N147)</x:f>
      </x:c>
    </x:row>
    <x:row r="148" ht="22" customHeight="1">
      <x:c r="A148" s="9" t="str">
        <x:f>IF('Layout'!A148="","",'Layout'!A148)</x:f>
      </x:c>
      <x:c r="B148" s="9" t="str">
        <x:f>IF('Layout'!A148="","",'Layout'!H148)</x:f>
      </x:c>
      <x:c r="C148" s="11" t="str">
        <x:f>IF('Layout'!A148="","",'Layout'!J148)</x:f>
      </x:c>
      <x:c r="D148" s="11" t="str">
        <x:f>IF('Layout'!A148="","",'Layout'!K148)</x:f>
      </x:c>
      <x:c r="E148" s="9" t="str">
        <x:f>IF('Layout'!A148="","",'Layout'!L148)</x:f>
      </x:c>
      <x:c r="F148" s="9" t="str">
        <x:f>IF('Layout'!A148="","",'Layout'!N148)</x:f>
      </x:c>
    </x:row>
    <x:row r="149" ht="22" customHeight="1">
      <x:c r="A149" s="9" t="str">
        <x:f>IF('Layout'!A149="","",'Layout'!A149)</x:f>
      </x:c>
      <x:c r="B149" s="9" t="str">
        <x:f>IF('Layout'!A149="","",'Layout'!H149)</x:f>
      </x:c>
      <x:c r="C149" s="11" t="str">
        <x:f>IF('Layout'!A149="","",'Layout'!J149)</x:f>
      </x:c>
      <x:c r="D149" s="11" t="str">
        <x:f>IF('Layout'!A149="","",'Layout'!K149)</x:f>
      </x:c>
      <x:c r="E149" s="9" t="str">
        <x:f>IF('Layout'!A149="","",'Layout'!L149)</x:f>
      </x:c>
      <x:c r="F149" s="9" t="str">
        <x:f>IF('Layout'!A149="","",'Layout'!N149)</x:f>
      </x:c>
    </x:row>
    <x:row r="150" ht="22" customHeight="1">
      <x:c r="A150" s="9" t="str">
        <x:f>IF('Layout'!A150="","",'Layout'!A150)</x:f>
      </x:c>
      <x:c r="B150" s="9" t="str">
        <x:f>IF('Layout'!A150="","",'Layout'!H150)</x:f>
      </x:c>
      <x:c r="C150" s="11" t="str">
        <x:f>IF('Layout'!A150="","",'Layout'!J150)</x:f>
      </x:c>
      <x:c r="D150" s="11" t="str">
        <x:f>IF('Layout'!A150="","",'Layout'!K150)</x:f>
      </x:c>
      <x:c r="E150" s="9" t="str">
        <x:f>IF('Layout'!A150="","",'Layout'!L150)</x:f>
      </x:c>
      <x:c r="F150" s="9" t="str">
        <x:f>IF('Layout'!A150="","",'Layout'!N150)</x:f>
      </x:c>
    </x:row>
    <x:row r="151" ht="22" customHeight="1">
      <x:c r="A151" s="9" t="str">
        <x:f>IF('Layout'!A151="","",'Layout'!A151)</x:f>
      </x:c>
      <x:c r="B151" s="9" t="str">
        <x:f>IF('Layout'!A151="","",'Layout'!H151)</x:f>
      </x:c>
      <x:c r="C151" s="11" t="str">
        <x:f>IF('Layout'!A151="","",'Layout'!J151)</x:f>
      </x:c>
      <x:c r="D151" s="11" t="str">
        <x:f>IF('Layout'!A151="","",'Layout'!K151)</x:f>
      </x:c>
      <x:c r="E151" s="9" t="str">
        <x:f>IF('Layout'!A151="","",'Layout'!L151)</x:f>
      </x:c>
      <x:c r="F151" s="9" t="str">
        <x:f>IF('Layout'!A151="","",'Layout'!N151)</x:f>
      </x:c>
    </x:row>
    <x:row r="152" ht="22" customHeight="1">
      <x:c r="A152" s="9" t="str">
        <x:f>IF('Layout'!A152="","",'Layout'!A152)</x:f>
      </x:c>
      <x:c r="B152" s="9" t="str">
        <x:f>IF('Layout'!A152="","",'Layout'!H152)</x:f>
      </x:c>
      <x:c r="C152" s="11" t="str">
        <x:f>IF('Layout'!A152="","",'Layout'!J152)</x:f>
      </x:c>
      <x:c r="D152" s="11" t="str">
        <x:f>IF('Layout'!A152="","",'Layout'!K152)</x:f>
      </x:c>
      <x:c r="E152" s="9" t="str">
        <x:f>IF('Layout'!A152="","",'Layout'!L152)</x:f>
      </x:c>
      <x:c r="F152" s="9" t="str">
        <x:f>IF('Layout'!A152="","",'Layout'!N152)</x:f>
      </x:c>
    </x:row>
    <x:row r="153" ht="22" customHeight="1">
      <x:c r="A153" s="9" t="str">
        <x:f>IF('Layout'!A153="","",'Layout'!A153)</x:f>
      </x:c>
      <x:c r="B153" s="9" t="str">
        <x:f>IF('Layout'!A153="","",'Layout'!H153)</x:f>
      </x:c>
      <x:c r="C153" s="11" t="str">
        <x:f>IF('Layout'!A153="","",'Layout'!J153)</x:f>
      </x:c>
      <x:c r="D153" s="11" t="str">
        <x:f>IF('Layout'!A153="","",'Layout'!K153)</x:f>
      </x:c>
      <x:c r="E153" s="9" t="str">
        <x:f>IF('Layout'!A153="","",'Layout'!L153)</x:f>
      </x:c>
      <x:c r="F153" s="9" t="str">
        <x:f>IF('Layout'!A153="","",'Layout'!N153)</x:f>
      </x:c>
    </x:row>
    <x:row r="154" ht="22" customHeight="1">
      <x:c r="A154" s="9" t="str">
        <x:f>IF('Layout'!A154="","",'Layout'!A154)</x:f>
      </x:c>
      <x:c r="B154" s="9" t="str">
        <x:f>IF('Layout'!A154="","",'Layout'!H154)</x:f>
      </x:c>
      <x:c r="C154" s="11" t="str">
        <x:f>IF('Layout'!A154="","",'Layout'!J154)</x:f>
      </x:c>
      <x:c r="D154" s="11" t="str">
        <x:f>IF('Layout'!A154="","",'Layout'!K154)</x:f>
      </x:c>
      <x:c r="E154" s="9" t="str">
        <x:f>IF('Layout'!A154="","",'Layout'!L154)</x:f>
      </x:c>
      <x:c r="F154" s="9" t="str">
        <x:f>IF('Layout'!A154="","",'Layout'!N154)</x:f>
      </x:c>
    </x:row>
    <x:row r="155" ht="22" customHeight="1">
      <x:c r="A155" s="9" t="str">
        <x:f>IF('Layout'!A155="","",'Layout'!A155)</x:f>
      </x:c>
      <x:c r="B155" s="9" t="str">
        <x:f>IF('Layout'!A155="","",'Layout'!H155)</x:f>
      </x:c>
      <x:c r="C155" s="11" t="str">
        <x:f>IF('Layout'!A155="","",'Layout'!J155)</x:f>
      </x:c>
      <x:c r="D155" s="11" t="str">
        <x:f>IF('Layout'!A155="","",'Layout'!K155)</x:f>
      </x:c>
      <x:c r="E155" s="9" t="str">
        <x:f>IF('Layout'!A155="","",'Layout'!L155)</x:f>
      </x:c>
      <x:c r="F155" s="9" t="str">
        <x:f>IF('Layout'!A155="","",'Layout'!N155)</x:f>
      </x:c>
    </x:row>
    <x:row r="156" ht="22" customHeight="1">
      <x:c r="A156" s="9" t="str">
        <x:f>IF('Layout'!A156="","",'Layout'!A156)</x:f>
      </x:c>
      <x:c r="B156" s="9" t="str">
        <x:f>IF('Layout'!A156="","",'Layout'!H156)</x:f>
      </x:c>
      <x:c r="C156" s="11" t="str">
        <x:f>IF('Layout'!A156="","",'Layout'!J156)</x:f>
      </x:c>
      <x:c r="D156" s="11" t="str">
        <x:f>IF('Layout'!A156="","",'Layout'!K156)</x:f>
      </x:c>
      <x:c r="E156" s="9" t="str">
        <x:f>IF('Layout'!A156="","",'Layout'!L156)</x:f>
      </x:c>
      <x:c r="F156" s="9" t="str">
        <x:f>IF('Layout'!A156="","",'Layout'!N156)</x:f>
      </x:c>
    </x:row>
    <x:row r="157" ht="22" customHeight="1">
      <x:c r="A157" s="9" t="str">
        <x:f>IF('Layout'!A157="","",'Layout'!A157)</x:f>
      </x:c>
      <x:c r="B157" s="9" t="str">
        <x:f>IF('Layout'!A157="","",'Layout'!H157)</x:f>
      </x:c>
      <x:c r="C157" s="11" t="str">
        <x:f>IF('Layout'!A157="","",'Layout'!J157)</x:f>
      </x:c>
      <x:c r="D157" s="11" t="str">
        <x:f>IF('Layout'!A157="","",'Layout'!K157)</x:f>
      </x:c>
      <x:c r="E157" s="9" t="str">
        <x:f>IF('Layout'!A157="","",'Layout'!L157)</x:f>
      </x:c>
      <x:c r="F157" s="9" t="str">
        <x:f>IF('Layout'!A157="","",'Layout'!N157)</x:f>
      </x:c>
    </x:row>
    <x:row r="158" ht="22" customHeight="1">
      <x:c r="A158" s="9" t="str">
        <x:f>IF('Layout'!A158="","",'Layout'!A158)</x:f>
      </x:c>
      <x:c r="B158" s="9" t="str">
        <x:f>IF('Layout'!A158="","",'Layout'!H158)</x:f>
      </x:c>
      <x:c r="C158" s="11" t="str">
        <x:f>IF('Layout'!A158="","",'Layout'!J158)</x:f>
      </x:c>
      <x:c r="D158" s="11" t="str">
        <x:f>IF('Layout'!A158="","",'Layout'!K158)</x:f>
      </x:c>
      <x:c r="E158" s="9" t="str">
        <x:f>IF('Layout'!A158="","",'Layout'!L158)</x:f>
      </x:c>
      <x:c r="F158" s="9" t="str">
        <x:f>IF('Layout'!A158="","",'Layout'!N158)</x:f>
      </x:c>
    </x:row>
    <x:row r="159" ht="22" customHeight="1">
      <x:c r="A159" s="9" t="str">
        <x:f>IF('Layout'!A159="","",'Layout'!A159)</x:f>
      </x:c>
      <x:c r="B159" s="9" t="str">
        <x:f>IF('Layout'!A159="","",'Layout'!H159)</x:f>
      </x:c>
      <x:c r="C159" s="11" t="str">
        <x:f>IF('Layout'!A159="","",'Layout'!J159)</x:f>
      </x:c>
      <x:c r="D159" s="11" t="str">
        <x:f>IF('Layout'!A159="","",'Layout'!K159)</x:f>
      </x:c>
      <x:c r="E159" s="9" t="str">
        <x:f>IF('Layout'!A159="","",'Layout'!L159)</x:f>
      </x:c>
      <x:c r="F159" s="9" t="str">
        <x:f>IF('Layout'!A159="","",'Layout'!N159)</x:f>
      </x:c>
    </x:row>
    <x:row r="160" ht="22" customHeight="1">
      <x:c r="A160" s="9" t="str">
        <x:f>IF('Layout'!A160="","",'Layout'!A160)</x:f>
      </x:c>
      <x:c r="B160" s="9" t="str">
        <x:f>IF('Layout'!A160="","",'Layout'!H160)</x:f>
      </x:c>
      <x:c r="C160" s="11" t="str">
        <x:f>IF('Layout'!A160="","",'Layout'!J160)</x:f>
      </x:c>
      <x:c r="D160" s="11" t="str">
        <x:f>IF('Layout'!A160="","",'Layout'!K160)</x:f>
      </x:c>
      <x:c r="E160" s="9" t="str">
        <x:f>IF('Layout'!A160="","",'Layout'!L160)</x:f>
      </x:c>
      <x:c r="F160" s="9" t="str">
        <x:f>IF('Layout'!A160="","",'Layout'!N160)</x:f>
      </x:c>
    </x:row>
    <x:row r="161" ht="22" customHeight="1">
      <x:c r="A161" s="9" t="str">
        <x:f>IF('Layout'!A161="","",'Layout'!A161)</x:f>
      </x:c>
      <x:c r="B161" s="9" t="str">
        <x:f>IF('Layout'!A161="","",'Layout'!H161)</x:f>
      </x:c>
      <x:c r="C161" s="11" t="str">
        <x:f>IF('Layout'!A161="","",'Layout'!J161)</x:f>
      </x:c>
      <x:c r="D161" s="11" t="str">
        <x:f>IF('Layout'!A161="","",'Layout'!K161)</x:f>
      </x:c>
      <x:c r="E161" s="9" t="str">
        <x:f>IF('Layout'!A161="","",'Layout'!L161)</x:f>
      </x:c>
      <x:c r="F161" s="9" t="str">
        <x:f>IF('Layout'!A161="","",'Layout'!N161)</x:f>
      </x:c>
    </x:row>
    <x:row r="162" ht="22" customHeight="1">
      <x:c r="A162" s="9" t="str">
        <x:f>IF('Layout'!A162="","",'Layout'!A162)</x:f>
      </x:c>
      <x:c r="B162" s="9" t="str">
        <x:f>IF('Layout'!A162="","",'Layout'!H162)</x:f>
      </x:c>
      <x:c r="C162" s="11" t="str">
        <x:f>IF('Layout'!A162="","",'Layout'!J162)</x:f>
      </x:c>
      <x:c r="D162" s="11" t="str">
        <x:f>IF('Layout'!A162="","",'Layout'!K162)</x:f>
      </x:c>
      <x:c r="E162" s="9" t="str">
        <x:f>IF('Layout'!A162="","",'Layout'!L162)</x:f>
      </x:c>
      <x:c r="F162" s="9" t="str">
        <x:f>IF('Layout'!A162="","",'Layout'!N162)</x:f>
      </x:c>
    </x:row>
    <x:row r="163" ht="22" customHeight="1">
      <x:c r="A163" s="9" t="str">
        <x:f>IF('Layout'!A163="","",'Layout'!A163)</x:f>
      </x:c>
      <x:c r="B163" s="9" t="str">
        <x:f>IF('Layout'!A163="","",'Layout'!H163)</x:f>
      </x:c>
      <x:c r="C163" s="11" t="str">
        <x:f>IF('Layout'!A163="","",'Layout'!J163)</x:f>
      </x:c>
      <x:c r="D163" s="11" t="str">
        <x:f>IF('Layout'!A163="","",'Layout'!K163)</x:f>
      </x:c>
      <x:c r="E163" s="9" t="str">
        <x:f>IF('Layout'!A163="","",'Layout'!L163)</x:f>
      </x:c>
      <x:c r="F163" s="9" t="str">
        <x:f>IF('Layout'!A163="","",'Layout'!N163)</x:f>
      </x:c>
    </x:row>
    <x:row r="164" ht="22" customHeight="1">
      <x:c r="A164" s="9" t="str">
        <x:f>IF('Layout'!A164="","",'Layout'!A164)</x:f>
      </x:c>
      <x:c r="B164" s="9" t="str">
        <x:f>IF('Layout'!A164="","",'Layout'!H164)</x:f>
      </x:c>
      <x:c r="C164" s="11" t="str">
        <x:f>IF('Layout'!A164="","",'Layout'!J164)</x:f>
      </x:c>
      <x:c r="D164" s="11" t="str">
        <x:f>IF('Layout'!A164="","",'Layout'!K164)</x:f>
      </x:c>
      <x:c r="E164" s="9" t="str">
        <x:f>IF('Layout'!A164="","",'Layout'!L164)</x:f>
      </x:c>
      <x:c r="F164" s="9" t="str">
        <x:f>IF('Layout'!A164="","",'Layout'!N164)</x:f>
      </x:c>
    </x:row>
    <x:row r="165" ht="22" customHeight="1">
      <x:c r="A165" s="9" t="str">
        <x:f>IF('Layout'!A165="","",'Layout'!A165)</x:f>
      </x:c>
      <x:c r="B165" s="9" t="str">
        <x:f>IF('Layout'!A165="","",'Layout'!H165)</x:f>
      </x:c>
      <x:c r="C165" s="11" t="str">
        <x:f>IF('Layout'!A165="","",'Layout'!J165)</x:f>
      </x:c>
      <x:c r="D165" s="11" t="str">
        <x:f>IF('Layout'!A165="","",'Layout'!K165)</x:f>
      </x:c>
      <x:c r="E165" s="9" t="str">
        <x:f>IF('Layout'!A165="","",'Layout'!L165)</x:f>
      </x:c>
      <x:c r="F165" s="9" t="str">
        <x:f>IF('Layout'!A165="","",'Layout'!N165)</x:f>
      </x:c>
    </x:row>
    <x:row r="166" ht="22" customHeight="1">
      <x:c r="A166" s="9" t="str">
        <x:f>IF('Layout'!A166="","",'Layout'!A166)</x:f>
      </x:c>
      <x:c r="B166" s="9" t="str">
        <x:f>IF('Layout'!A166="","",'Layout'!H166)</x:f>
      </x:c>
      <x:c r="C166" s="11" t="str">
        <x:f>IF('Layout'!A166="","",'Layout'!J166)</x:f>
      </x:c>
      <x:c r="D166" s="11" t="str">
        <x:f>IF('Layout'!A166="","",'Layout'!K166)</x:f>
      </x:c>
      <x:c r="E166" s="9" t="str">
        <x:f>IF('Layout'!A166="","",'Layout'!L166)</x:f>
      </x:c>
      <x:c r="F166" s="9" t="str">
        <x:f>IF('Layout'!A166="","",'Layout'!N166)</x:f>
      </x:c>
    </x:row>
    <x:row r="167" ht="22" customHeight="1">
      <x:c r="A167" s="9" t="str">
        <x:f>IF('Layout'!A167="","",'Layout'!A167)</x:f>
      </x:c>
      <x:c r="B167" s="9" t="str">
        <x:f>IF('Layout'!A167="","",'Layout'!H167)</x:f>
      </x:c>
      <x:c r="C167" s="11" t="str">
        <x:f>IF('Layout'!A167="","",'Layout'!J167)</x:f>
      </x:c>
      <x:c r="D167" s="11" t="str">
        <x:f>IF('Layout'!A167="","",'Layout'!K167)</x:f>
      </x:c>
      <x:c r="E167" s="9" t="str">
        <x:f>IF('Layout'!A167="","",'Layout'!L167)</x:f>
      </x:c>
      <x:c r="F167" s="9" t="str">
        <x:f>IF('Layout'!A167="","",'Layout'!N167)</x:f>
      </x:c>
    </x:row>
    <x:row r="168" ht="22" customHeight="1">
      <x:c r="A168" s="9" t="str">
        <x:f>IF('Layout'!A168="","",'Layout'!A168)</x:f>
      </x:c>
      <x:c r="B168" s="9" t="str">
        <x:f>IF('Layout'!A168="","",'Layout'!H168)</x:f>
      </x:c>
      <x:c r="C168" s="11" t="str">
        <x:f>IF('Layout'!A168="","",'Layout'!J168)</x:f>
      </x:c>
      <x:c r="D168" s="11" t="str">
        <x:f>IF('Layout'!A168="","",'Layout'!K168)</x:f>
      </x:c>
      <x:c r="E168" s="9" t="str">
        <x:f>IF('Layout'!A168="","",'Layout'!L168)</x:f>
      </x:c>
      <x:c r="F168" s="9" t="str">
        <x:f>IF('Layout'!A168="","",'Layout'!N168)</x:f>
      </x:c>
    </x:row>
    <x:row r="169" ht="22" customHeight="1">
      <x:c r="A169" s="9" t="str">
        <x:f>IF('Layout'!A169="","",'Layout'!A169)</x:f>
      </x:c>
      <x:c r="B169" s="9" t="str">
        <x:f>IF('Layout'!A169="","",'Layout'!H169)</x:f>
      </x:c>
      <x:c r="C169" s="11" t="str">
        <x:f>IF('Layout'!A169="","",'Layout'!J169)</x:f>
      </x:c>
      <x:c r="D169" s="11" t="str">
        <x:f>IF('Layout'!A169="","",'Layout'!K169)</x:f>
      </x:c>
      <x:c r="E169" s="9" t="str">
        <x:f>IF('Layout'!A169="","",'Layout'!L169)</x:f>
      </x:c>
      <x:c r="F169" s="9" t="str">
        <x:f>IF('Layout'!A169="","",'Layout'!N169)</x:f>
      </x:c>
    </x:row>
    <x:row r="170" ht="22" customHeight="1">
      <x:c r="A170" s="9" t="str">
        <x:f>IF('Layout'!A170="","",'Layout'!A170)</x:f>
      </x:c>
      <x:c r="B170" s="9" t="str">
        <x:f>IF('Layout'!A170="","",'Layout'!H170)</x:f>
      </x:c>
      <x:c r="C170" s="11" t="str">
        <x:f>IF('Layout'!A170="","",'Layout'!J170)</x:f>
      </x:c>
      <x:c r="D170" s="11" t="str">
        <x:f>IF('Layout'!A170="","",'Layout'!K170)</x:f>
      </x:c>
      <x:c r="E170" s="9" t="str">
        <x:f>IF('Layout'!A170="","",'Layout'!L170)</x:f>
      </x:c>
      <x:c r="F170" s="9" t="str">
        <x:f>IF('Layout'!A170="","",'Layout'!N170)</x:f>
      </x:c>
    </x:row>
    <x:row r="171" ht="22" customHeight="1">
      <x:c r="A171" s="9" t="str">
        <x:f>IF('Layout'!A171="","",'Layout'!A171)</x:f>
      </x:c>
      <x:c r="B171" s="9" t="str">
        <x:f>IF('Layout'!A171="","",'Layout'!H171)</x:f>
      </x:c>
      <x:c r="C171" s="11" t="str">
        <x:f>IF('Layout'!A171="","",'Layout'!J171)</x:f>
      </x:c>
      <x:c r="D171" s="11" t="str">
        <x:f>IF('Layout'!A171="","",'Layout'!K171)</x:f>
      </x:c>
      <x:c r="E171" s="9" t="str">
        <x:f>IF('Layout'!A171="","",'Layout'!L171)</x:f>
      </x:c>
      <x:c r="F171" s="9" t="str">
        <x:f>IF('Layout'!A171="","",'Layout'!N171)</x:f>
      </x:c>
    </x:row>
    <x:row r="172" ht="22" customHeight="1">
      <x:c r="A172" s="9" t="str">
        <x:f>IF('Layout'!A172="","",'Layout'!A172)</x:f>
      </x:c>
      <x:c r="B172" s="9" t="str">
        <x:f>IF('Layout'!A172="","",'Layout'!H172)</x:f>
      </x:c>
      <x:c r="C172" s="11" t="str">
        <x:f>IF('Layout'!A172="","",'Layout'!J172)</x:f>
      </x:c>
      <x:c r="D172" s="11" t="str">
        <x:f>IF('Layout'!A172="","",'Layout'!K172)</x:f>
      </x:c>
      <x:c r="E172" s="9" t="str">
        <x:f>IF('Layout'!A172="","",'Layout'!L172)</x:f>
      </x:c>
      <x:c r="F172" s="9" t="str">
        <x:f>IF('Layout'!A172="","",'Layout'!N172)</x:f>
      </x:c>
    </x:row>
    <x:row r="173" ht="22" customHeight="1">
      <x:c r="A173" s="9" t="str">
        <x:f>IF('Layout'!A173="","",'Layout'!A173)</x:f>
      </x:c>
      <x:c r="B173" s="9" t="str">
        <x:f>IF('Layout'!A173="","",'Layout'!H173)</x:f>
      </x:c>
      <x:c r="C173" s="11" t="str">
        <x:f>IF('Layout'!A173="","",'Layout'!J173)</x:f>
      </x:c>
      <x:c r="D173" s="11" t="str">
        <x:f>IF('Layout'!A173="","",'Layout'!K173)</x:f>
      </x:c>
      <x:c r="E173" s="9" t="str">
        <x:f>IF('Layout'!A173="","",'Layout'!L173)</x:f>
      </x:c>
      <x:c r="F173" s="9" t="str">
        <x:f>IF('Layout'!A173="","",'Layout'!N173)</x:f>
      </x:c>
    </x:row>
    <x:row r="174" ht="22" customHeight="1">
      <x:c r="A174" s="9" t="str">
        <x:f>IF('Layout'!A174="","",'Layout'!A174)</x:f>
      </x:c>
      <x:c r="B174" s="9" t="str">
        <x:f>IF('Layout'!A174="","",'Layout'!H174)</x:f>
      </x:c>
      <x:c r="C174" s="11" t="str">
        <x:f>IF('Layout'!A174="","",'Layout'!J174)</x:f>
      </x:c>
      <x:c r="D174" s="11" t="str">
        <x:f>IF('Layout'!A174="","",'Layout'!K174)</x:f>
      </x:c>
      <x:c r="E174" s="9" t="str">
        <x:f>IF('Layout'!A174="","",'Layout'!L174)</x:f>
      </x:c>
      <x:c r="F174" s="9" t="str">
        <x:f>IF('Layout'!A174="","",'Layout'!N174)</x:f>
      </x:c>
    </x:row>
    <x:row r="175" ht="22" customHeight="1">
      <x:c r="A175" s="9" t="str">
        <x:f>IF('Layout'!A175="","",'Layout'!A175)</x:f>
      </x:c>
      <x:c r="B175" s="9" t="str">
        <x:f>IF('Layout'!A175="","",'Layout'!H175)</x:f>
      </x:c>
      <x:c r="C175" s="11" t="str">
        <x:f>IF('Layout'!A175="","",'Layout'!J175)</x:f>
      </x:c>
      <x:c r="D175" s="11" t="str">
        <x:f>IF('Layout'!A175="","",'Layout'!K175)</x:f>
      </x:c>
      <x:c r="E175" s="9" t="str">
        <x:f>IF('Layout'!A175="","",'Layout'!L175)</x:f>
      </x:c>
      <x:c r="F175" s="9" t="str">
        <x:f>IF('Layout'!A175="","",'Layout'!N175)</x:f>
      </x:c>
    </x:row>
    <x:row r="176" ht="22" customHeight="1">
      <x:c r="A176" s="9" t="str">
        <x:f>IF('Layout'!A176="","",'Layout'!A176)</x:f>
      </x:c>
      <x:c r="B176" s="9" t="str">
        <x:f>IF('Layout'!A176="","",'Layout'!H176)</x:f>
      </x:c>
      <x:c r="C176" s="11" t="str">
        <x:f>IF('Layout'!A176="","",'Layout'!J176)</x:f>
      </x:c>
      <x:c r="D176" s="11" t="str">
        <x:f>IF('Layout'!A176="","",'Layout'!K176)</x:f>
      </x:c>
      <x:c r="E176" s="9" t="str">
        <x:f>IF('Layout'!A176="","",'Layout'!L176)</x:f>
      </x:c>
      <x:c r="F176" s="9" t="str">
        <x:f>IF('Layout'!A176="","",'Layout'!N176)</x:f>
      </x:c>
    </x:row>
    <x:row r="177" ht="22" customHeight="1">
      <x:c r="A177" s="9" t="str">
        <x:f>IF('Layout'!A177="","",'Layout'!A177)</x:f>
      </x:c>
      <x:c r="B177" s="9" t="str">
        <x:f>IF('Layout'!A177="","",'Layout'!H177)</x:f>
      </x:c>
      <x:c r="C177" s="11" t="str">
        <x:f>IF('Layout'!A177="","",'Layout'!J177)</x:f>
      </x:c>
      <x:c r="D177" s="11" t="str">
        <x:f>IF('Layout'!A177="","",'Layout'!K177)</x:f>
      </x:c>
      <x:c r="E177" s="9" t="str">
        <x:f>IF('Layout'!A177="","",'Layout'!L177)</x:f>
      </x:c>
      <x:c r="F177" s="9" t="str">
        <x:f>IF('Layout'!A177="","",'Layout'!N177)</x:f>
      </x:c>
    </x:row>
    <x:row r="178" ht="22" customHeight="1">
      <x:c r="A178" s="9" t="str">
        <x:f>IF('Layout'!A178="","",'Layout'!A178)</x:f>
      </x:c>
      <x:c r="B178" s="9" t="str">
        <x:f>IF('Layout'!A178="","",'Layout'!H178)</x:f>
      </x:c>
      <x:c r="C178" s="11" t="str">
        <x:f>IF('Layout'!A178="","",'Layout'!J178)</x:f>
      </x:c>
      <x:c r="D178" s="11" t="str">
        <x:f>IF('Layout'!A178="","",'Layout'!K178)</x:f>
      </x:c>
      <x:c r="E178" s="9" t="str">
        <x:f>IF('Layout'!A178="","",'Layout'!L178)</x:f>
      </x:c>
      <x:c r="F178" s="9" t="str">
        <x:f>IF('Layout'!A178="","",'Layout'!N178)</x:f>
      </x:c>
    </x:row>
    <x:row r="179" ht="22" customHeight="1">
      <x:c r="A179" s="9" t="str">
        <x:f>IF('Layout'!A179="","",'Layout'!A179)</x:f>
      </x:c>
      <x:c r="B179" s="9" t="str">
        <x:f>IF('Layout'!A179="","",'Layout'!H179)</x:f>
      </x:c>
      <x:c r="C179" s="11" t="str">
        <x:f>IF('Layout'!A179="","",'Layout'!J179)</x:f>
      </x:c>
      <x:c r="D179" s="11" t="str">
        <x:f>IF('Layout'!A179="","",'Layout'!K179)</x:f>
      </x:c>
      <x:c r="E179" s="9" t="str">
        <x:f>IF('Layout'!A179="","",'Layout'!L179)</x:f>
      </x:c>
      <x:c r="F179" s="9" t="str">
        <x:f>IF('Layout'!A179="","",'Layout'!N179)</x:f>
      </x:c>
    </x:row>
    <x:row r="180" ht="22" customHeight="1">
      <x:c r="A180" s="9" t="str">
        <x:f>IF('Layout'!A180="","",'Layout'!A180)</x:f>
      </x:c>
      <x:c r="B180" s="9" t="str">
        <x:f>IF('Layout'!A180="","",'Layout'!H180)</x:f>
      </x:c>
      <x:c r="C180" s="11" t="str">
        <x:f>IF('Layout'!A180="","",'Layout'!J180)</x:f>
      </x:c>
      <x:c r="D180" s="11" t="str">
        <x:f>IF('Layout'!A180="","",'Layout'!K180)</x:f>
      </x:c>
      <x:c r="E180" s="9" t="str">
        <x:f>IF('Layout'!A180="","",'Layout'!L180)</x:f>
      </x:c>
      <x:c r="F180" s="9" t="str">
        <x:f>IF('Layout'!A180="","",'Layout'!N180)</x:f>
      </x:c>
    </x:row>
    <x:row r="181" ht="22" customHeight="1">
      <x:c r="A181" s="9" t="str">
        <x:f>IF('Layout'!A181="","",'Layout'!A181)</x:f>
      </x:c>
      <x:c r="B181" s="9" t="str">
        <x:f>IF('Layout'!A181="","",'Layout'!H181)</x:f>
      </x:c>
      <x:c r="C181" s="11" t="str">
        <x:f>IF('Layout'!A181="","",'Layout'!J181)</x:f>
      </x:c>
      <x:c r="D181" s="11" t="str">
        <x:f>IF('Layout'!A181="","",'Layout'!K181)</x:f>
      </x:c>
      <x:c r="E181" s="9" t="str">
        <x:f>IF('Layout'!A181="","",'Layout'!L181)</x:f>
      </x:c>
      <x:c r="F181" s="9" t="str">
        <x:f>IF('Layout'!A181="","",'Layout'!N181)</x:f>
      </x:c>
    </x:row>
    <x:row r="182" ht="22" customHeight="1">
      <x:c r="A182" s="9" t="str">
        <x:f>IF('Layout'!A182="","",'Layout'!A182)</x:f>
      </x:c>
      <x:c r="B182" s="9" t="str">
        <x:f>IF('Layout'!A182="","",'Layout'!H182)</x:f>
      </x:c>
      <x:c r="C182" s="11" t="str">
        <x:f>IF('Layout'!A182="","",'Layout'!J182)</x:f>
      </x:c>
      <x:c r="D182" s="11" t="str">
        <x:f>IF('Layout'!A182="","",'Layout'!K182)</x:f>
      </x:c>
      <x:c r="E182" s="9" t="str">
        <x:f>IF('Layout'!A182="","",'Layout'!L182)</x:f>
      </x:c>
      <x:c r="F182" s="9" t="str">
        <x:f>IF('Layout'!A182="","",'Layout'!N182)</x:f>
      </x:c>
    </x:row>
    <x:row r="183" ht="22" customHeight="1">
      <x:c r="A183" s="9" t="str">
        <x:f>IF('Layout'!A183="","",'Layout'!A183)</x:f>
      </x:c>
      <x:c r="B183" s="9" t="str">
        <x:f>IF('Layout'!A183="","",'Layout'!H183)</x:f>
      </x:c>
      <x:c r="C183" s="11" t="str">
        <x:f>IF('Layout'!A183="","",'Layout'!J183)</x:f>
      </x:c>
      <x:c r="D183" s="11" t="str">
        <x:f>IF('Layout'!A183="","",'Layout'!K183)</x:f>
      </x:c>
      <x:c r="E183" s="9" t="str">
        <x:f>IF('Layout'!A183="","",'Layout'!L183)</x:f>
      </x:c>
      <x:c r="F183" s="9" t="str">
        <x:f>IF('Layout'!A183="","",'Layout'!N183)</x:f>
      </x:c>
    </x:row>
    <x:row r="184" ht="22" customHeight="1">
      <x:c r="A184" s="9" t="str">
        <x:f>IF('Layout'!A184="","",'Layout'!A184)</x:f>
      </x:c>
      <x:c r="B184" s="9" t="str">
        <x:f>IF('Layout'!A184="","",'Layout'!H184)</x:f>
      </x:c>
      <x:c r="C184" s="11" t="str">
        <x:f>IF('Layout'!A184="","",'Layout'!J184)</x:f>
      </x:c>
      <x:c r="D184" s="11" t="str">
        <x:f>IF('Layout'!A184="","",'Layout'!K184)</x:f>
      </x:c>
      <x:c r="E184" s="9" t="str">
        <x:f>IF('Layout'!A184="","",'Layout'!L184)</x:f>
      </x:c>
      <x:c r="F184" s="9" t="str">
        <x:f>IF('Layout'!A184="","",'Layout'!N184)</x:f>
      </x:c>
    </x:row>
    <x:row r="185" ht="22" customHeight="1">
      <x:c r="A185" s="9" t="str">
        <x:f>IF('Layout'!A185="","",'Layout'!A185)</x:f>
      </x:c>
      <x:c r="B185" s="9" t="str">
        <x:f>IF('Layout'!A185="","",'Layout'!H185)</x:f>
      </x:c>
      <x:c r="C185" s="11" t="str">
        <x:f>IF('Layout'!A185="","",'Layout'!J185)</x:f>
      </x:c>
      <x:c r="D185" s="11" t="str">
        <x:f>IF('Layout'!A185="","",'Layout'!K185)</x:f>
      </x:c>
      <x:c r="E185" s="9" t="str">
        <x:f>IF('Layout'!A185="","",'Layout'!L185)</x:f>
      </x:c>
      <x:c r="F185" s="9" t="str">
        <x:f>IF('Layout'!A185="","",'Layout'!N185)</x:f>
      </x:c>
    </x:row>
    <x:row r="186" ht="22" customHeight="1">
      <x:c r="A186" s="9" t="str">
        <x:f>IF('Layout'!A186="","",'Layout'!A186)</x:f>
      </x:c>
      <x:c r="B186" s="9" t="str">
        <x:f>IF('Layout'!A186="","",'Layout'!H186)</x:f>
      </x:c>
      <x:c r="C186" s="11" t="str">
        <x:f>IF('Layout'!A186="","",'Layout'!J186)</x:f>
      </x:c>
      <x:c r="D186" s="11" t="str">
        <x:f>IF('Layout'!A186="","",'Layout'!K186)</x:f>
      </x:c>
      <x:c r="E186" s="9" t="str">
        <x:f>IF('Layout'!A186="","",'Layout'!L186)</x:f>
      </x:c>
      <x:c r="F186" s="9" t="str">
        <x:f>IF('Layout'!A186="","",'Layout'!N186)</x:f>
      </x:c>
    </x:row>
    <x:row r="187" ht="22" customHeight="1">
      <x:c r="A187" s="9" t="str">
        <x:f>IF('Layout'!A187="","",'Layout'!A187)</x:f>
      </x:c>
      <x:c r="B187" s="9" t="str">
        <x:f>IF('Layout'!A187="","",'Layout'!H187)</x:f>
      </x:c>
      <x:c r="C187" s="11" t="str">
        <x:f>IF('Layout'!A187="","",'Layout'!J187)</x:f>
      </x:c>
      <x:c r="D187" s="11" t="str">
        <x:f>IF('Layout'!A187="","",'Layout'!K187)</x:f>
      </x:c>
      <x:c r="E187" s="9" t="str">
        <x:f>IF('Layout'!A187="","",'Layout'!L187)</x:f>
      </x:c>
      <x:c r="F187" s="9" t="str">
        <x:f>IF('Layout'!A187="","",'Layout'!N187)</x:f>
      </x:c>
    </x:row>
    <x:row r="188" ht="22" customHeight="1">
      <x:c r="A188" s="9" t="str">
        <x:f>IF('Layout'!A188="","",'Layout'!A188)</x:f>
      </x:c>
      <x:c r="B188" s="9" t="str">
        <x:f>IF('Layout'!A188="","",'Layout'!H188)</x:f>
      </x:c>
      <x:c r="C188" s="11" t="str">
        <x:f>IF('Layout'!A188="","",'Layout'!J188)</x:f>
      </x:c>
      <x:c r="D188" s="11" t="str">
        <x:f>IF('Layout'!A188="","",'Layout'!K188)</x:f>
      </x:c>
      <x:c r="E188" s="9" t="str">
        <x:f>IF('Layout'!A188="","",'Layout'!L188)</x:f>
      </x:c>
      <x:c r="F188" s="9" t="str">
        <x:f>IF('Layout'!A188="","",'Layout'!N188)</x:f>
      </x:c>
    </x:row>
    <x:row r="189" ht="22" customHeight="1">
      <x:c r="A189" s="9" t="str">
        <x:f>IF('Layout'!A189="","",'Layout'!A189)</x:f>
      </x:c>
      <x:c r="B189" s="9" t="str">
        <x:f>IF('Layout'!A189="","",'Layout'!H189)</x:f>
      </x:c>
      <x:c r="C189" s="11" t="str">
        <x:f>IF('Layout'!A189="","",'Layout'!J189)</x:f>
      </x:c>
      <x:c r="D189" s="11" t="str">
        <x:f>IF('Layout'!A189="","",'Layout'!K189)</x:f>
      </x:c>
      <x:c r="E189" s="9" t="str">
        <x:f>IF('Layout'!A189="","",'Layout'!L189)</x:f>
      </x:c>
      <x:c r="F189" s="9" t="str">
        <x:f>IF('Layout'!A189="","",'Layout'!N189)</x:f>
      </x:c>
    </x:row>
    <x:row r="190" ht="22" customHeight="1">
      <x:c r="A190" s="9" t="str">
        <x:f>IF('Layout'!A190="","",'Layout'!A190)</x:f>
      </x:c>
      <x:c r="B190" s="9" t="str">
        <x:f>IF('Layout'!A190="","",'Layout'!H190)</x:f>
      </x:c>
      <x:c r="C190" s="11" t="str">
        <x:f>IF('Layout'!A190="","",'Layout'!J190)</x:f>
      </x:c>
      <x:c r="D190" s="11" t="str">
        <x:f>IF('Layout'!A190="","",'Layout'!K190)</x:f>
      </x:c>
      <x:c r="E190" s="9" t="str">
        <x:f>IF('Layout'!A190="","",'Layout'!L190)</x:f>
      </x:c>
      <x:c r="F190" s="9" t="str">
        <x:f>IF('Layout'!A190="","",'Layout'!N190)</x:f>
      </x:c>
    </x:row>
    <x:row r="191" ht="22" customHeight="1">
      <x:c r="A191" s="9" t="str">
        <x:f>IF('Layout'!A191="","",'Layout'!A191)</x:f>
      </x:c>
      <x:c r="B191" s="9" t="str">
        <x:f>IF('Layout'!A191="","",'Layout'!H191)</x:f>
      </x:c>
      <x:c r="C191" s="11" t="str">
        <x:f>IF('Layout'!A191="","",'Layout'!J191)</x:f>
      </x:c>
      <x:c r="D191" s="11" t="str">
        <x:f>IF('Layout'!A191="","",'Layout'!K191)</x:f>
      </x:c>
      <x:c r="E191" s="9" t="str">
        <x:f>IF('Layout'!A191="","",'Layout'!L191)</x:f>
      </x:c>
      <x:c r="F191" s="9" t="str">
        <x:f>IF('Layout'!A191="","",'Layout'!N191)</x:f>
      </x:c>
    </x:row>
    <x:row r="192" ht="22" customHeight="1">
      <x:c r="A192" s="9" t="str">
        <x:f>IF('Layout'!A192="","",'Layout'!A192)</x:f>
      </x:c>
      <x:c r="B192" s="9" t="str">
        <x:f>IF('Layout'!A192="","",'Layout'!H192)</x:f>
      </x:c>
      <x:c r="C192" s="11" t="str">
        <x:f>IF('Layout'!A192="","",'Layout'!J192)</x:f>
      </x:c>
      <x:c r="D192" s="11" t="str">
        <x:f>IF('Layout'!A192="","",'Layout'!K192)</x:f>
      </x:c>
      <x:c r="E192" s="9" t="str">
        <x:f>IF('Layout'!A192="","",'Layout'!L192)</x:f>
      </x:c>
      <x:c r="F192" s="9" t="str">
        <x:f>IF('Layout'!A192="","",'Layout'!N192)</x:f>
      </x:c>
    </x:row>
    <x:row r="193" ht="22" customHeight="1">
      <x:c r="A193" s="9" t="str">
        <x:f>IF('Layout'!A193="","",'Layout'!A193)</x:f>
      </x:c>
      <x:c r="B193" s="9" t="str">
        <x:f>IF('Layout'!A193="","",'Layout'!H193)</x:f>
      </x:c>
      <x:c r="C193" s="11" t="str">
        <x:f>IF('Layout'!A193="","",'Layout'!J193)</x:f>
      </x:c>
      <x:c r="D193" s="11" t="str">
        <x:f>IF('Layout'!A193="","",'Layout'!K193)</x:f>
      </x:c>
      <x:c r="E193" s="9" t="str">
        <x:f>IF('Layout'!A193="","",'Layout'!L193)</x:f>
      </x:c>
      <x:c r="F193" s="9" t="str">
        <x:f>IF('Layout'!A193="","",'Layout'!N193)</x:f>
      </x:c>
    </x:row>
    <x:row r="194" ht="22" customHeight="1">
      <x:c r="A194" s="9" t="str">
        <x:f>IF('Layout'!A194="","",'Layout'!A194)</x:f>
      </x:c>
      <x:c r="B194" s="9" t="str">
        <x:f>IF('Layout'!A194="","",'Layout'!H194)</x:f>
      </x:c>
      <x:c r="C194" s="11" t="str">
        <x:f>IF('Layout'!A194="","",'Layout'!J194)</x:f>
      </x:c>
      <x:c r="D194" s="11" t="str">
        <x:f>IF('Layout'!A194="","",'Layout'!K194)</x:f>
      </x:c>
      <x:c r="E194" s="9" t="str">
        <x:f>IF('Layout'!A194="","",'Layout'!L194)</x:f>
      </x:c>
      <x:c r="F194" s="9" t="str">
        <x:f>IF('Layout'!A194="","",'Layout'!N194)</x:f>
      </x:c>
    </x:row>
    <x:row r="195" ht="22" customHeight="1">
      <x:c r="A195" s="9" t="str">
        <x:f>IF('Layout'!A195="","",'Layout'!A195)</x:f>
      </x:c>
      <x:c r="B195" s="9" t="str">
        <x:f>IF('Layout'!A195="","",'Layout'!H195)</x:f>
      </x:c>
      <x:c r="C195" s="11" t="str">
        <x:f>IF('Layout'!A195="","",'Layout'!J195)</x:f>
      </x:c>
      <x:c r="D195" s="11" t="str">
        <x:f>IF('Layout'!A195="","",'Layout'!K195)</x:f>
      </x:c>
      <x:c r="E195" s="9" t="str">
        <x:f>IF('Layout'!A195="","",'Layout'!L195)</x:f>
      </x:c>
      <x:c r="F195" s="9" t="str">
        <x:f>IF('Layout'!A195="","",'Layout'!N195)</x:f>
      </x:c>
    </x:row>
    <x:row r="196" ht="22" customHeight="1">
      <x:c r="A196" s="9" t="str">
        <x:f>IF('Layout'!A196="","",'Layout'!A196)</x:f>
      </x:c>
      <x:c r="B196" s="9" t="str">
        <x:f>IF('Layout'!A196="","",'Layout'!H196)</x:f>
      </x:c>
      <x:c r="C196" s="11" t="str">
        <x:f>IF('Layout'!A196="","",'Layout'!J196)</x:f>
      </x:c>
      <x:c r="D196" s="11" t="str">
        <x:f>IF('Layout'!A196="","",'Layout'!K196)</x:f>
      </x:c>
      <x:c r="E196" s="9" t="str">
        <x:f>IF('Layout'!A196="","",'Layout'!L196)</x:f>
      </x:c>
      <x:c r="F196" s="9" t="str">
        <x:f>IF('Layout'!A196="","",'Layout'!N196)</x:f>
      </x:c>
    </x:row>
    <x:row r="197" ht="22" customHeight="1">
      <x:c r="A197" s="9" t="str">
        <x:f>IF('Layout'!A197="","",'Layout'!A197)</x:f>
      </x:c>
      <x:c r="B197" s="9" t="str">
        <x:f>IF('Layout'!A197="","",'Layout'!H197)</x:f>
      </x:c>
      <x:c r="C197" s="11" t="str">
        <x:f>IF('Layout'!A197="","",'Layout'!J197)</x:f>
      </x:c>
      <x:c r="D197" s="11" t="str">
        <x:f>IF('Layout'!A197="","",'Layout'!K197)</x:f>
      </x:c>
      <x:c r="E197" s="9" t="str">
        <x:f>IF('Layout'!A197="","",'Layout'!L197)</x:f>
      </x:c>
      <x:c r="F197" s="9" t="str">
        <x:f>IF('Layout'!A197="","",'Layout'!N197)</x:f>
      </x:c>
    </x:row>
    <x:row r="198" ht="22" customHeight="1">
      <x:c r="A198" s="9" t="str">
        <x:f>IF('Layout'!A198="","",'Layout'!A198)</x:f>
      </x:c>
      <x:c r="B198" s="9" t="str">
        <x:f>IF('Layout'!A198="","",'Layout'!H198)</x:f>
      </x:c>
      <x:c r="C198" s="11" t="str">
        <x:f>IF('Layout'!A198="","",'Layout'!J198)</x:f>
      </x:c>
      <x:c r="D198" s="11" t="str">
        <x:f>IF('Layout'!A198="","",'Layout'!K198)</x:f>
      </x:c>
      <x:c r="E198" s="9" t="str">
        <x:f>IF('Layout'!A198="","",'Layout'!L198)</x:f>
      </x:c>
      <x:c r="F198" s="9" t="str">
        <x:f>IF('Layout'!A198="","",'Layout'!N198)</x:f>
      </x:c>
    </x:row>
    <x:row r="199" ht="22" customHeight="1">
      <x:c r="A199" s="9" t="str">
        <x:f>IF('Layout'!A199="","",'Layout'!A199)</x:f>
      </x:c>
      <x:c r="B199" s="9" t="str">
        <x:f>IF('Layout'!A199="","",'Layout'!H199)</x:f>
      </x:c>
      <x:c r="C199" s="11" t="str">
        <x:f>IF('Layout'!A199="","",'Layout'!J199)</x:f>
      </x:c>
      <x:c r="D199" s="11" t="str">
        <x:f>IF('Layout'!A199="","",'Layout'!K199)</x:f>
      </x:c>
      <x:c r="E199" s="9" t="str">
        <x:f>IF('Layout'!A199="","",'Layout'!L199)</x:f>
      </x:c>
      <x:c r="F199" s="9" t="str">
        <x:f>IF('Layout'!A199="","",'Layout'!N199)</x:f>
      </x:c>
    </x:row>
    <x:row r="200" ht="22" customHeight="1">
      <x:c r="A200" s="9" t="str">
        <x:f>IF('Layout'!A200="","",'Layout'!A200)</x:f>
      </x:c>
      <x:c r="B200" s="9" t="str">
        <x:f>IF('Layout'!A200="","",'Layout'!H200)</x:f>
      </x:c>
      <x:c r="C200" s="11" t="str">
        <x:f>IF('Layout'!A200="","",'Layout'!J200)</x:f>
      </x:c>
      <x:c r="D200" s="11" t="str">
        <x:f>IF('Layout'!A200="","",'Layout'!K200)</x:f>
      </x:c>
      <x:c r="E200" s="9" t="str">
        <x:f>IF('Layout'!A200="","",'Layout'!L200)</x:f>
      </x:c>
      <x:c r="F200" s="9" t="str">
        <x:f>IF('Layout'!A200="","",'Layout'!N200)</x:f>
      </x:c>
    </x:row>
    <x:row r="201" ht="22" customHeight="1">
      <x:c r="A201" s="9" t="str">
        <x:f>IF('Layout'!A201="","",'Layout'!A201)</x:f>
      </x:c>
      <x:c r="B201" s="9" t="str">
        <x:f>IF('Layout'!A201="","",'Layout'!H201)</x:f>
      </x:c>
      <x:c r="C201" s="11" t="str">
        <x:f>IF('Layout'!A201="","",'Layout'!J201)</x:f>
      </x:c>
      <x:c r="D201" s="11" t="str">
        <x:f>IF('Layout'!A201="","",'Layout'!K201)</x:f>
      </x:c>
      <x:c r="E201" s="9" t="str">
        <x:f>IF('Layout'!A201="","",'Layout'!L201)</x:f>
      </x:c>
      <x:c r="F201" s="9" t="str">
        <x:f>IF('Layout'!A201="","",'Layout'!N201)</x:f>
      </x:c>
    </x:row>
    <x:row r="202" ht="22" customHeight="1">
      <x:c r="A202" s="9" t="str">
        <x:f>IF('Layout'!A202="","",'Layout'!A202)</x:f>
      </x:c>
      <x:c r="B202" s="9" t="str">
        <x:f>IF('Layout'!A202="","",'Layout'!H202)</x:f>
      </x:c>
      <x:c r="C202" s="11" t="str">
        <x:f>IF('Layout'!A202="","",'Layout'!J202)</x:f>
      </x:c>
      <x:c r="D202" s="11" t="str">
        <x:f>IF('Layout'!A202="","",'Layout'!K202)</x:f>
      </x:c>
      <x:c r="E202" s="9" t="str">
        <x:f>IF('Layout'!A202="","",'Layout'!L202)</x:f>
      </x:c>
      <x:c r="F202" s="9" t="str">
        <x:f>IF('Layout'!A202="","",'Layout'!N202)</x:f>
      </x:c>
    </x:row>
    <x:row r="203" ht="22" customHeight="1">
      <x:c r="A203" s="9" t="str">
        <x:f>IF('Layout'!A203="","",'Layout'!A203)</x:f>
      </x:c>
      <x:c r="B203" s="9" t="str">
        <x:f>IF('Layout'!A203="","",'Layout'!H203)</x:f>
      </x:c>
      <x:c r="C203" s="11" t="str">
        <x:f>IF('Layout'!A203="","",'Layout'!J203)</x:f>
      </x:c>
      <x:c r="D203" s="11" t="str">
        <x:f>IF('Layout'!A203="","",'Layout'!K203)</x:f>
      </x:c>
      <x:c r="E203" s="9" t="str">
        <x:f>IF('Layout'!A203="","",'Layout'!L203)</x:f>
      </x:c>
      <x:c r="F203" s="9" t="str">
        <x:f>IF('Layout'!A203="","",'Layout'!N203)</x:f>
      </x:c>
    </x:row>
    <x:row r="204" ht="22" customHeight="1">
      <x:c r="A204" s="9" t="str">
        <x:f>IF('Layout'!A204="","",'Layout'!A204)</x:f>
      </x:c>
      <x:c r="B204" s="9" t="str">
        <x:f>IF('Layout'!A204="","",'Layout'!H204)</x:f>
      </x:c>
      <x:c r="C204" s="11" t="str">
        <x:f>IF('Layout'!A204="","",'Layout'!J204)</x:f>
      </x:c>
      <x:c r="D204" s="11" t="str">
        <x:f>IF('Layout'!A204="","",'Layout'!K204)</x:f>
      </x:c>
      <x:c r="E204" s="9" t="str">
        <x:f>IF('Layout'!A204="","",'Layout'!L204)</x:f>
      </x:c>
      <x:c r="F204" s="9" t="str">
        <x:f>IF('Layout'!A204="","",'Layout'!N204)</x:f>
      </x:c>
    </x:row>
    <x:row r="205" ht="22" customHeight="1">
      <x:c r="A205" s="9" t="str">
        <x:f>IF('Layout'!A205="","",'Layout'!A205)</x:f>
      </x:c>
      <x:c r="B205" s="9" t="str">
        <x:f>IF('Layout'!A205="","",'Layout'!H205)</x:f>
      </x:c>
      <x:c r="C205" s="11" t="str">
        <x:f>IF('Layout'!A205="","",'Layout'!J205)</x:f>
      </x:c>
      <x:c r="D205" s="11" t="str">
        <x:f>IF('Layout'!A205="","",'Layout'!K205)</x:f>
      </x:c>
      <x:c r="E205" s="9" t="str">
        <x:f>IF('Layout'!A205="","",'Layout'!L205)</x:f>
      </x:c>
      <x:c r="F205" s="9" t="str">
        <x:f>IF('Layout'!A205="","",'Layout'!N205)</x:f>
      </x:c>
    </x:row>
    <x:row r="206" ht="22" customHeight="1">
      <x:c r="A206" s="9" t="str">
        <x:f>IF('Layout'!A206="","",'Layout'!A206)</x:f>
      </x:c>
      <x:c r="B206" s="9" t="str">
        <x:f>IF('Layout'!A206="","",'Layout'!H206)</x:f>
      </x:c>
      <x:c r="C206" s="11" t="str">
        <x:f>IF('Layout'!A206="","",'Layout'!J206)</x:f>
      </x:c>
      <x:c r="D206" s="11" t="str">
        <x:f>IF('Layout'!A206="","",'Layout'!K206)</x:f>
      </x:c>
      <x:c r="E206" s="9" t="str">
        <x:f>IF('Layout'!A206="","",'Layout'!L206)</x:f>
      </x:c>
      <x:c r="F206" s="9" t="str">
        <x:f>IF('Layout'!A206="","",'Layout'!N206)</x:f>
      </x:c>
    </x:row>
    <x:row r="207" ht="22" customHeight="1">
      <x:c r="A207" s="9" t="str">
        <x:f>IF('Layout'!A207="","",'Layout'!A207)</x:f>
      </x:c>
      <x:c r="B207" s="9" t="str">
        <x:f>IF('Layout'!A207="","",'Layout'!H207)</x:f>
      </x:c>
      <x:c r="C207" s="11" t="str">
        <x:f>IF('Layout'!A207="","",'Layout'!J207)</x:f>
      </x:c>
      <x:c r="D207" s="11" t="str">
        <x:f>IF('Layout'!A207="","",'Layout'!K207)</x:f>
      </x:c>
      <x:c r="E207" s="9" t="str">
        <x:f>IF('Layout'!A207="","",'Layout'!L207)</x:f>
      </x:c>
      <x:c r="F207" s="9" t="str">
        <x:f>IF('Layout'!A207="","",'Layout'!N207)</x:f>
      </x:c>
    </x:row>
  </x:sheetData>
  <x:conditionalFormatting sqref="F8:F207">
    <x:cfRule type="expression" dxfId="0" priority="1">
      <x:formula>AND($A8&lt;&gt;"",F8&lt;&gt;"OK")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df1d4eac634d6b"/>
  </x:tableParts>
</x:worksheet>
</file>

<file path=xl/worksheets/sheet3.xml><?xml version="1.0" encoding="utf-8"?>
<x:worksheet xmlns:x="http://schemas.openxmlformats.org/spreadsheetml/2006/main">
  <x:sheetPr>
    <x:tabColor rgb="FF375B7C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4" hidden="0" customWidth="1"/>
    <x:col min="2" max="2" width="29" hidden="0" customWidth="1"/>
    <x:col min="3" max="3" width="22" hidden="0" customWidth="1"/>
    <x:col min="4" max="4" width="22" hidden="0" customWidth="1"/>
    <x:col min="5" max="5" width="14" hidden="0" customWidth="1"/>
    <x:col min="6" max="6" width="15" hidden="0" customWidth="1"/>
    <x:col min="7" max="7" width="21" hidden="0" customWidth="1"/>
    <x:col min="8" max="8" width="45" hidden="0" customWidth="1"/>
    <x:col min="9" max="9" width="13" hidden="0" customWidth="1"/>
    <x:col min="10" max="10" width="15" hidden="0" customWidth="1"/>
    <x:col min="11" max="11" width="15" hidden="0" customWidth="1"/>
    <x:col min="12" max="12" width="13" hidden="0" customWidth="1"/>
    <x:col min="13" max="13" width="9" hidden="0" customWidth="1"/>
    <x:col min="14" max="14" width="3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2" customHeight="1">
      <x:c r="A2" s="3" t="str">
        <x:v>Planned role hierarchy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A4" s="4" t="str">
        <x:v>Keep parents above children. Root roles select a definition; child roles select a recipe line.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2" customHeight="1">
      <x:c r="A5" s="4" t="str">
        <x:v>Amber cells are editable. Grey cells contain formulas. All populated records are illustrative.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0" customHeight="1">
      <x:c r="A7" s="8" t="str">
        <x:v>Role ID</x:v>
      </x:c>
      <x:c r="B7" s="8" t="str">
        <x:v>Parent role</x:v>
      </x:c>
      <x:c r="C7" s="8" t="str">
        <x:v>Root definition ID</x:v>
      </x:c>
      <x:c r="D7" s="8" t="str">
        <x:v>Recipe line ID</x:v>
      </x:c>
      <x:c r="E7" s="8" t="str">
        <x:v>Qty override</x:v>
      </x:c>
      <x:c r="F7" s="8" t="str">
        <x:v>Root purpose</x:v>
      </x:c>
      <x:c r="G7" s="8" t="str">
        <x:v>Definition ID</x:v>
      </x:c>
      <x:c r="H7" s="8" t="str">
        <x:v>Component hierarchy</x:v>
      </x:c>
      <x:c r="I7" s="8" t="str">
        <x:v>Recipe qty</x:v>
      </x:c>
      <x:c r="J7" s="8" t="str">
        <x:v>Qty per parent</x:v>
      </x:c>
      <x:c r="K7" s="8" t="str">
        <x:v>Required qty</x:v>
      </x:c>
      <x:c r="L7" s="8" t="str">
        <x:v>Purpose</x:v>
      </x:c>
      <x:c r="M7" s="8" t="str">
        <x:v>Depth</x:v>
      </x:c>
      <x:c r="N7" s="8" t="str">
        <x:v>Check</x:v>
      </x:c>
    </x:row>
    <x:row r="8" ht="22" customHeight="1">
      <x:c r="A8" s="10" t="str">
        <x:v>vccu1</x:v>
      </x:c>
      <x:c r="B8" s="10" t="str"/>
      <x:c r="C8" s="10" t="str">
        <x:v>A-VCCU</x:v>
      </x:c>
      <x:c r="D8" s="10" t="str"/>
      <x:c r="E8" s="12"/>
      <x:c r="F8" s="10" t="str">
        <x:v>Build</x:v>
      </x:c>
      <x:c r="G8" s="9" t="str">
        <x:f>IF(A8="","",IF(B8="",C8,IF(COUNTIFS('Recipes'!$A$8:$A$207,D8)=1,VLOOKUP(D8,'Recipes'!$A$8:$F$207,3,FALSE),"")))</x:f>
        <x:v>A-VCCU</x:v>
      </x:c>
      <x:c r="H8" s="9" t="str">
        <x:f>IF(A8="","",IF(COUNTIFS('Definitions'!$A$8:$A$207,G8)=1,REPT("    ",IF(ISNUMBER(M8),M8,0))&amp;VLOOKUP(G8,'Definitions'!$A$8:$J$207,2,FALSE),"Unknown definition"))</x:f>
        <x:v>VCCU</x:v>
      </x:c>
      <x:c r="I8" s="11" t="n">
        <x:f>IF(A8="","",IF(B8="",1,IF(COUNTIFS('Recipes'!$A$8:$A$207,D8)=1,VLOOKUP(D8,'Recipes'!$A$8:$F$207,4,FALSE),"")))</x:f>
        <x:v>1</x:v>
      </x:c>
      <x:c r="J8" s="11" t="n">
        <x:f>IF(A8="","",IF(ISBLANK(E8),I8,E8))</x:f>
        <x:v>1</x:v>
      </x:c>
      <x:c r="K8" s="11" t="n">
        <x:f>IF(A8="","",IF(NOT(ISNUMBER(J8)),"",IF(B8="",J8,IF(0=1,IF(ISNUMBER(VLOOKUP(B8,$A$7:$N$7,11,FALSE)),J8*VLOOKUP(B8,$A$7:$N$7,11,FALSE),""),""))))</x:f>
        <x:v>1</x:v>
      </x:c>
      <x:c r="L8" s="9" t="str">
        <x:f>IF(A8="","",IF(B8="",F8,IF(0=1,VLOOKUP(B8,$A$7:$N$7,12,FALSE),"")))</x:f>
        <x:v>Build</x:v>
      </x:c>
      <x:c r="M8" s="11" t="n">
        <x:f>IF(A8="","",IF(B8="",0,IF(0=1,IF(ISNUMBER(VLOOKUP(B8,$A$7:$N$7,13,FALSE)),VLOOKUP(B8,$A$7:$N$7,13,FALSE)+1,""),"")))</x:f>
        <x:v>0</x:v>
      </x:c>
      <x:c r="N8" s="9" t="str">
        <x:f>IF(A8="","",IF(COUNTIFS('Layout'!$A$8:$A$207,A8)&lt;&gt;1,"Duplicate role",IF(AND(B8&lt;&gt;"",0&lt;&gt;1),"Parent must appear above child",IF(COUNTIFS('Definitions'!$A$8:$A$207,G8)&lt;&gt;1,"Unknown / duplicate definition",IF(AND(B8="",OR(C8="",D8&lt;&gt;"",AND(F8&lt;&gt;"Build",F8&lt;&gt;"Spares"))),"Set root definition and purpose",IF(AND(B8&lt;&gt;"",COUNTIFS('Recipes'!$A$8:$A$207,D8)&lt;&gt;1),"Choose a unique recipe line",IF(AND(B8&lt;&gt;"",OR(C8&lt;&gt;"",F8&lt;&gt;"")),"Clear child root-only inputs",IF(AND(B8&lt;&gt;"",0=1,COUNTIFS('Recipes'!$A$8:$A$207,D8)=1),IF(VLOOKUP(D8,'Recipes'!$A$8:$F$207,2,FALSE)&lt;&gt;VLOOKUP(B8,$A$7:$N$7,7,FALSE),"Recipe parent mismatch",IF(COUNTIFS($B$8:$B$207,B8,$D$8:$D$207,D8)&lt;&gt;1,"Duplicate child recipe",IF(OR(NOT(ISNUMBER(J8)),J8&lt;0,MOD(J8,1)&lt;&gt;0),"Set nonnegative whole qty",IF(COUNTIFS('Recipes'!$B$8:$B$207,G8)&lt;&gt;COUNTIFS($B$8:$B$207,A8,$D$8:$D$207,"&lt;&gt;",$A$8:$A$207,"&lt;&gt;"),"Missing / extra recipe children","OK")))),IF(OR(NOT(ISNUMBER(J8)),J8&lt;0,MOD(J8,1)&lt;&gt;0),"Set nonnegative whole qty",IF(COUNTIFS('Recipes'!$B$8:$B$207,G8)&lt;&gt;COUNTIFS($B$8:$B$207,A8,$D$8:$D$207,"&lt;&gt;",$A$8:$A$207,"&lt;&gt;"),"Missing / extra recipe children","OK"))))))))))</x:f>
        <x:v>OK</x:v>
      </x:c>
    </x:row>
    <x:row r="9" ht="22" customHeight="1">
      <x:c r="A9" s="10" t="str">
        <x:v>vccu1:switch1</x:v>
      </x:c>
      <x:c r="B9" s="10" t="str">
        <x:v>vccu1</x:v>
      </x:c>
      <x:c r="C9" s="10" t="str"/>
      <x:c r="D9" s="10" t="str">
        <x:v>R-V-SW</x:v>
      </x:c>
      <x:c r="E9" s="12"/>
      <x:c r="F9" s="10" t="str"/>
      <x:c r="G9" s="9" t="str">
        <x:f>IF(A9="","",IF(B9="",C9,IF(COUNTIFS('Recipes'!$A$8:$A$207,D9)=1,VLOOKUP(D9,'Recipes'!$A$8:$F$207,3,FALSE),"")))</x:f>
        <x:v>P-SWITCH</x:v>
      </x:c>
      <x:c r="H9" s="9" t="str">
        <x:f>IF(A9="","",IF(COUNTIFS('Definitions'!$A$8:$A$207,G9)=1,REPT("    ",IF(ISNUMBER(M9),M9,0))&amp;VLOOKUP(G9,'Definitions'!$A$8:$J$207,2,FALSE),"Unknown definition"))</x:f>
        <x:v>    Switch</x:v>
      </x:c>
      <x:c r="I9" s="11" t="n">
        <x:f>IF(A9="","",IF(B9="",1,IF(COUNTIFS('Recipes'!$A$8:$A$207,D9)=1,VLOOKUP(D9,'Recipes'!$A$8:$F$207,4,FALSE),"")))</x:f>
        <x:v>1</x:v>
      </x:c>
      <x:c r="J9" s="11" t="n">
        <x:f>IF(A9="","",IF(ISBLANK(E9),I9,E9))</x:f>
        <x:v>1</x:v>
      </x:c>
      <x:c r="K9" s="11" t="n">
        <x:f>IF(A9="","",IF(NOT(ISNUMBER(J9)),"",IF(B9="",J9,IF(COUNTIFS($A$8:$A$8,B9)=1,IF(ISNUMBER(VLOOKUP(B9,$A$8:$N$8,11,FALSE)),J9*VLOOKUP(B9,$A$8:$N$8,11,FALSE),""),""))))</x:f>
        <x:v>1</x:v>
      </x:c>
      <x:c r="L9" s="9" t="str">
        <x:f>IF(A9="","",IF(B9="",F9,IF(COUNTIFS($A$8:$A$8,B9)=1,VLOOKUP(B9,$A$8:$N$8,12,FALSE),"")))</x:f>
        <x:v>Build</x:v>
      </x:c>
      <x:c r="M9" s="11" t="n">
        <x:f>IF(A9="","",IF(B9="",0,IF(COUNTIFS($A$8:$A$8,B9)=1,IF(ISNUMBER(VLOOKUP(B9,$A$8:$N$8,13,FALSE)),VLOOKUP(B9,$A$8:$N$8,13,FALSE)+1,""),"")))</x:f>
        <x:v>1</x:v>
      </x:c>
      <x:c r="N9" s="9" t="str">
        <x:f>IF(A9="","",IF(COUNTIFS('Layout'!$A$8:$A$207,A9)&lt;&gt;1,"Duplicate role",IF(AND(B9&lt;&gt;"",COUNTIFS($A$8:$A$8,B9)&lt;&gt;1),"Parent must appear above child",IF(COUNTIFS('Definitions'!$A$8:$A$207,G9)&lt;&gt;1,"Unknown / duplicate definition",IF(AND(B9="",OR(C9="",D9&lt;&gt;"",AND(F9&lt;&gt;"Build",F9&lt;&gt;"Spares"))),"Set root definition and purpose",IF(AND(B9&lt;&gt;"",COUNTIFS('Recipes'!$A$8:$A$207,D9)&lt;&gt;1),"Choose a unique recipe line",IF(AND(B9&lt;&gt;"",OR(C9&lt;&gt;"",F9&lt;&gt;"")),"Clear child root-only inputs",IF(AND(B9&lt;&gt;"",COUNTIFS($A$8:$A$8,B9)=1,COUNTIFS('Recipes'!$A$8:$A$207,D9)=1),IF(VLOOKUP(D9,'Recipes'!$A$8:$F$207,2,FALSE)&lt;&gt;VLOOKUP(B9,$A$8:$N$8,7,FALSE),"Recipe parent mismatch",IF(COUNTIFS($B$8:$B$207,B9,$D$8:$D$207,D9)&lt;&gt;1,"Duplicate child recipe",IF(OR(NOT(ISNUMBER(J9)),J9&lt;0,MOD(J9,1)&lt;&gt;0),"Set nonnegative whole qty",IF(COUNTIFS('Recipes'!$B$8:$B$207,G9)&lt;&gt;COUNTIFS($B$8:$B$207,A9,$D$8:$D$207,"&lt;&gt;",$A$8:$A$207,"&lt;&gt;"),"Missing / extra recipe children","OK")))),IF(OR(NOT(ISNUMBER(J9)),J9&lt;0,MOD(J9,1)&lt;&gt;0),"Set nonnegative whole qty",IF(COUNTIFS('Recipes'!$B$8:$B$207,G9)&lt;&gt;COUNTIFS($B$8:$B$207,A9,$D$8:$D$207,"&lt;&gt;",$A$8:$A$207,"&lt;&gt;"),"Missing / extra recipe children","OK"))))))))))</x:f>
        <x:v>OK</x:v>
      </x:c>
    </x:row>
    <x:row r="10" ht="22" customHeight="1">
      <x:c r="A10" s="10" t="str">
        <x:v>vccu1:switch1:links</x:v>
      </x:c>
      <x:c r="B10" s="10" t="str">
        <x:v>vccu1:switch1</x:v>
      </x:c>
      <x:c r="C10" s="10" t="str"/>
      <x:c r="D10" s="10" t="str">
        <x:v>R-SW-LINK</x:v>
      </x:c>
      <x:c r="E10" s="12"/>
      <x:c r="F10" s="10" t="str"/>
      <x:c r="G10" s="9" t="str">
        <x:f>IF(A10="","",IF(B10="",C10,IF(COUNTIFS('Recipes'!$A$8:$A$207,D10)=1,VLOOKUP(D10,'Recipes'!$A$8:$F$207,3,FALSE),"")))</x:f>
        <x:v>A-LINK</x:v>
      </x:c>
      <x:c r="H10" s="9" t="str">
        <x:f>IF(A10="","",IF(COUNTIFS('Definitions'!$A$8:$A$207,G10)=1,REPT("    ",IF(ISNUMBER(M10),M10,0))&amp;VLOOKUP(G10,'Definitions'!$A$8:$J$207,2,FALSE),"Unknown definition"))</x:f>
        <x:v>        Optical link</x:v>
      </x:c>
      <x:c r="I10" s="11" t="n">
        <x:f>IF(A10="","",IF(B10="",1,IF(COUNTIFS('Recipes'!$A$8:$A$207,D10)=1,VLOOKUP(D10,'Recipes'!$A$8:$F$207,4,FALSE),"")))</x:f>
        <x:v>4</x:v>
      </x:c>
      <x:c r="J10" s="11" t="n">
        <x:f>IF(A10="","",IF(ISBLANK(E10),I10,E10))</x:f>
        <x:v>4</x:v>
      </x:c>
      <x:c r="K10" s="11" t="n">
        <x:f>IF(A10="","",IF(NOT(ISNUMBER(J10)),"",IF(B10="",J10,IF(COUNTIFS($A$8:$A$9,B10)=1,IF(ISNUMBER(VLOOKUP(B10,$A$8:$N$9,11,FALSE)),J10*VLOOKUP(B10,$A$8:$N$9,11,FALSE),""),""))))</x:f>
        <x:v>4</x:v>
      </x:c>
      <x:c r="L10" s="9" t="str">
        <x:f>IF(A10="","",IF(B10="",F10,IF(COUNTIFS($A$8:$A$9,B10)=1,VLOOKUP(B10,$A$8:$N$9,12,FALSE),"")))</x:f>
        <x:v>Build</x:v>
      </x:c>
      <x:c r="M10" s="11" t="n">
        <x:f>IF(A10="","",IF(B10="",0,IF(COUNTIFS($A$8:$A$9,B10)=1,IF(ISNUMBER(VLOOKUP(B10,$A$8:$N$9,13,FALSE)),VLOOKUP(B10,$A$8:$N$9,13,FALSE)+1,""),"")))</x:f>
        <x:v>2</x:v>
      </x:c>
      <x:c r="N10" s="9" t="str">
        <x:f>IF(A10="","",IF(COUNTIFS('Layout'!$A$8:$A$207,A10)&lt;&gt;1,"Duplicate role",IF(AND(B10&lt;&gt;"",COUNTIFS($A$8:$A$9,B10)&lt;&gt;1),"Parent must appear above child",IF(COUNTIFS('Definitions'!$A$8:$A$207,G10)&lt;&gt;1,"Unknown / duplicate definition",IF(AND(B10="",OR(C10="",D10&lt;&gt;"",AND(F10&lt;&gt;"Build",F10&lt;&gt;"Spares"))),"Set root definition and purpose",IF(AND(B10&lt;&gt;"",COUNTIFS('Recipes'!$A$8:$A$207,D10)&lt;&gt;1),"Choose a unique recipe line",IF(AND(B10&lt;&gt;"",OR(C10&lt;&gt;"",F10&lt;&gt;"")),"Clear child root-only inputs",IF(AND(B10&lt;&gt;"",COUNTIFS($A$8:$A$9,B10)=1,COUNTIFS('Recipes'!$A$8:$A$207,D10)=1),IF(VLOOKUP(D10,'Recipes'!$A$8:$F$207,2,FALSE)&lt;&gt;VLOOKUP(B10,$A$8:$N$9,7,FALSE),"Recipe parent mismatch",IF(COUNTIFS($B$8:$B$207,B10,$D$8:$D$207,D10)&lt;&gt;1,"Duplicate child recipe",IF(OR(NOT(ISNUMBER(J10)),J10&lt;0,MOD(J10,1)&lt;&gt;0),"Set nonnegative whole qty",IF(COUNTIFS('Recipes'!$B$8:$B$207,G10)&lt;&gt;COUNTIFS($B$8:$B$207,A10,$D$8:$D$207,"&lt;&gt;",$A$8:$A$207,"&lt;&gt;"),"Missing / extra recipe children","OK")))),IF(OR(NOT(ISNUMBER(J10)),J10&lt;0,MOD(J10,1)&lt;&gt;0),"Set nonnegative whole qty",IF(COUNTIFS('Recipes'!$B$8:$B$207,G10)&lt;&gt;COUNTIFS($B$8:$B$207,A10,$D$8:$D$207,"&lt;&gt;",$A$8:$A$207,"&lt;&gt;"),"Missing / extra recipe children","OK"))))))))))</x:f>
        <x:v>OK</x:v>
      </x:c>
    </x:row>
    <x:row r="11" ht="22" customHeight="1">
      <x:c r="A11" s="10" t="str">
        <x:v>vccu1:switch1:links:transceivers</x:v>
      </x:c>
      <x:c r="B11" s="10" t="str">
        <x:v>vccu1:switch1:links</x:v>
      </x:c>
      <x:c r="C11" s="10" t="str"/>
      <x:c r="D11" s="10" t="str">
        <x:v>R-LINK-OPT</x:v>
      </x:c>
      <x:c r="E11" s="12"/>
      <x:c r="F11" s="10" t="str"/>
      <x:c r="G11" s="9" t="str">
        <x:f>IF(A11="","",IF(B11="",C11,IF(COUNTIFS('Recipes'!$A$8:$A$207,D11)=1,VLOOKUP(D11,'Recipes'!$A$8:$F$207,3,FALSE),"")))</x:f>
        <x:v>P-OPTIC</x:v>
      </x:c>
      <x:c r="H11" s="9" t="str">
        <x:f>IF(A11="","",IF(COUNTIFS('Definitions'!$A$8:$A$207,G11)=1,REPT("    ",IF(ISNUMBER(M11),M11,0))&amp;VLOOKUP(G11,'Definitions'!$A$8:$J$207,2,FALSE),"Unknown definition"))</x:f>
        <x:v>            Transceiver</x:v>
      </x:c>
      <x:c r="I11" s="11" t="n">
        <x:f>IF(A11="","",IF(B11="",1,IF(COUNTIFS('Recipes'!$A$8:$A$207,D11)=1,VLOOKUP(D11,'Recipes'!$A$8:$F$207,4,FALSE),"")))</x:f>
        <x:v>2</x:v>
      </x:c>
      <x:c r="J11" s="11" t="n">
        <x:f>IF(A11="","",IF(ISBLANK(E11),I11,E11))</x:f>
        <x:v>2</x:v>
      </x:c>
      <x:c r="K11" s="11" t="n">
        <x:f>IF(A11="","",IF(NOT(ISNUMBER(J11)),"",IF(B11="",J11,IF(COUNTIFS($A$8:$A$10,B11)=1,IF(ISNUMBER(VLOOKUP(B11,$A$8:$N$10,11,FALSE)),J11*VLOOKUP(B11,$A$8:$N$10,11,FALSE),""),""))))</x:f>
        <x:v>8</x:v>
      </x:c>
      <x:c r="L11" s="9" t="str">
        <x:f>IF(A11="","",IF(B11="",F11,IF(COUNTIFS($A$8:$A$10,B11)=1,VLOOKUP(B11,$A$8:$N$10,12,FALSE),"")))</x:f>
        <x:v>Build</x:v>
      </x:c>
      <x:c r="M11" s="11" t="n">
        <x:f>IF(A11="","",IF(B11="",0,IF(COUNTIFS($A$8:$A$10,B11)=1,IF(ISNUMBER(VLOOKUP(B11,$A$8:$N$10,13,FALSE)),VLOOKUP(B11,$A$8:$N$10,13,FALSE)+1,""),"")))</x:f>
        <x:v>3</x:v>
      </x:c>
      <x:c r="N11" s="9" t="str">
        <x:f>IF(A11="","",IF(COUNTIFS('Layout'!$A$8:$A$207,A11)&lt;&gt;1,"Duplicate role",IF(AND(B11&lt;&gt;"",COUNTIFS($A$8:$A$10,B11)&lt;&gt;1),"Parent must appear above child",IF(COUNTIFS('Definitions'!$A$8:$A$207,G11)&lt;&gt;1,"Unknown / duplicate definition",IF(AND(B11="",OR(C11="",D11&lt;&gt;"",AND(F11&lt;&gt;"Build",F11&lt;&gt;"Spares"))),"Set root definition and purpose",IF(AND(B11&lt;&gt;"",COUNTIFS('Recipes'!$A$8:$A$207,D11)&lt;&gt;1),"Choose a unique recipe line",IF(AND(B11&lt;&gt;"",OR(C11&lt;&gt;"",F11&lt;&gt;"")),"Clear child root-only inputs",IF(AND(B11&lt;&gt;"",COUNTIFS($A$8:$A$10,B11)=1,COUNTIFS('Recipes'!$A$8:$A$207,D11)=1),IF(VLOOKUP(D11,'Recipes'!$A$8:$F$207,2,FALSE)&lt;&gt;VLOOKUP(B11,$A$8:$N$10,7,FALSE),"Recipe parent mismatch",IF(COUNTIFS($B$8:$B$207,B11,$D$8:$D$207,D11)&lt;&gt;1,"Duplicate child recipe",IF(OR(NOT(ISNUMBER(J11)),J11&lt;0,MOD(J11,1)&lt;&gt;0),"Set nonnegative whole qty",IF(COUNTIFS('Recipes'!$B$8:$B$207,G11)&lt;&gt;COUNTIFS($B$8:$B$207,A11,$D$8:$D$207,"&lt;&gt;",$A$8:$A$207,"&lt;&gt;"),"Missing / extra recipe children","OK")))),IF(OR(NOT(ISNUMBER(J11)),J11&lt;0,MOD(J11,1)&lt;&gt;0),"Set nonnegative whole qty",IF(COUNTIFS('Recipes'!$B$8:$B$207,G11)&lt;&gt;COUNTIFS($B$8:$B$207,A11,$D$8:$D$207,"&lt;&gt;",$A$8:$A$207,"&lt;&gt;"),"Missing / extra recipe children","OK"))))))))))</x:f>
        <x:v>OK</x:v>
      </x:c>
    </x:row>
    <x:row r="12" ht="22" customHeight="1">
      <x:c r="A12" s="10" t="str">
        <x:v>vccu1:switch1:links:fibre</x:v>
      </x:c>
      <x:c r="B12" s="10" t="str">
        <x:v>vccu1:switch1:links</x:v>
      </x:c>
      <x:c r="C12" s="10" t="str"/>
      <x:c r="D12" s="10" t="str">
        <x:v>R-LINK-FIB</x:v>
      </x:c>
      <x:c r="E12" s="12"/>
      <x:c r="F12" s="10" t="str"/>
      <x:c r="G12" s="9" t="str">
        <x:f>IF(A12="","",IF(B12="",C12,IF(COUNTIFS('Recipes'!$A$8:$A$207,D12)=1,VLOOKUP(D12,'Recipes'!$A$8:$F$207,3,FALSE),"")))</x:f>
        <x:v>P-FIBRE</x:v>
      </x:c>
      <x:c r="H12" s="9" t="str">
        <x:f>IF(A12="","",IF(COUNTIFS('Definitions'!$A$8:$A$207,G12)=1,REPT("    ",IF(ISNUMBER(M12),M12,0))&amp;VLOOKUP(G12,'Definitions'!$A$8:$J$207,2,FALSE),"Unknown definition"))</x:f>
        <x:v>            Fibre patch lead</x:v>
      </x:c>
      <x:c r="I12" s="11" t="n">
        <x:f>IF(A12="","",IF(B12="",1,IF(COUNTIFS('Recipes'!$A$8:$A$207,D12)=1,VLOOKUP(D12,'Recipes'!$A$8:$F$207,4,FALSE),"")))</x:f>
        <x:v>1</x:v>
      </x:c>
      <x:c r="J12" s="11" t="n">
        <x:f>IF(A12="","",IF(ISBLANK(E12),I12,E12))</x:f>
        <x:v>1</x:v>
      </x:c>
      <x:c r="K12" s="11" t="n">
        <x:f>IF(A12="","",IF(NOT(ISNUMBER(J12)),"",IF(B12="",J12,IF(COUNTIFS($A$8:$A$11,B12)=1,IF(ISNUMBER(VLOOKUP(B12,$A$8:$N$11,11,FALSE)),J12*VLOOKUP(B12,$A$8:$N$11,11,FALSE),""),""))))</x:f>
        <x:v>4</x:v>
      </x:c>
      <x:c r="L12" s="9" t="str">
        <x:f>IF(A12="","",IF(B12="",F12,IF(COUNTIFS($A$8:$A$11,B12)=1,VLOOKUP(B12,$A$8:$N$11,12,FALSE),"")))</x:f>
        <x:v>Build</x:v>
      </x:c>
      <x:c r="M12" s="11" t="n">
        <x:f>IF(A12="","",IF(B12="",0,IF(COUNTIFS($A$8:$A$11,B12)=1,IF(ISNUMBER(VLOOKUP(B12,$A$8:$N$11,13,FALSE)),VLOOKUP(B12,$A$8:$N$11,13,FALSE)+1,""),"")))</x:f>
        <x:v>3</x:v>
      </x:c>
      <x:c r="N12" s="9" t="str">
        <x:f>IF(A12="","",IF(COUNTIFS('Layout'!$A$8:$A$207,A12)&lt;&gt;1,"Duplicate role",IF(AND(B12&lt;&gt;"",COUNTIFS($A$8:$A$11,B12)&lt;&gt;1),"Parent must appear above child",IF(COUNTIFS('Definitions'!$A$8:$A$207,G12)&lt;&gt;1,"Unknown / duplicate definition",IF(AND(B12="",OR(C12="",D12&lt;&gt;"",AND(F12&lt;&gt;"Build",F12&lt;&gt;"Spares"))),"Set root definition and purpose",IF(AND(B12&lt;&gt;"",COUNTIFS('Recipes'!$A$8:$A$207,D12)&lt;&gt;1),"Choose a unique recipe line",IF(AND(B12&lt;&gt;"",OR(C12&lt;&gt;"",F12&lt;&gt;"")),"Clear child root-only inputs",IF(AND(B12&lt;&gt;"",COUNTIFS($A$8:$A$11,B12)=1,COUNTIFS('Recipes'!$A$8:$A$207,D12)=1),IF(VLOOKUP(D12,'Recipes'!$A$8:$F$207,2,FALSE)&lt;&gt;VLOOKUP(B12,$A$8:$N$11,7,FALSE),"Recipe parent mismatch",IF(COUNTIFS($B$8:$B$207,B12,$D$8:$D$207,D12)&lt;&gt;1,"Duplicate child recipe",IF(OR(NOT(ISNUMBER(J12)),J12&lt;0,MOD(J12,1)&lt;&gt;0),"Set nonnegative whole qty",IF(COUNTIFS('Recipes'!$B$8:$B$207,G12)&lt;&gt;COUNTIFS($B$8:$B$207,A12,$D$8:$D$207,"&lt;&gt;",$A$8:$A$207,"&lt;&gt;"),"Missing / extra recipe children","OK")))),IF(OR(NOT(ISNUMBER(J12)),J12&lt;0,MOD(J12,1)&lt;&gt;0),"Set nonnegative whole qty",IF(COUNTIFS('Recipes'!$B$8:$B$207,G12)&lt;&gt;COUNTIFS($B$8:$B$207,A12,$D$8:$D$207,"&lt;&gt;",$A$8:$A$207,"&lt;&gt;"),"Missing / extra recipe children","OK"))))))))))</x:f>
        <x:v>OK</x:v>
      </x:c>
    </x:row>
    <x:row r="13" ht="22" customHeight="1">
      <x:c r="A13" s="10" t="str">
        <x:v>vccu1:switch1:power</x:v>
      </x:c>
      <x:c r="B13" s="10" t="str">
        <x:v>vccu1:switch1</x:v>
      </x:c>
      <x:c r="C13" s="10" t="str"/>
      <x:c r="D13" s="10" t="str">
        <x:v>R-SW-POWER</x:v>
      </x:c>
      <x:c r="E13" s="12"/>
      <x:c r="F13" s="10" t="str"/>
      <x:c r="G13" s="9" t="str">
        <x:f>IF(A13="","",IF(B13="",C13,IF(COUNTIFS('Recipes'!$A$8:$A$207,D13)=1,VLOOKUP(D13,'Recipes'!$A$8:$F$207,3,FALSE),"")))</x:f>
        <x:v>P-POWER</x:v>
      </x:c>
      <x:c r="H13" s="9" t="str">
        <x:f>IF(A13="","",IF(COUNTIFS('Definitions'!$A$8:$A$207,G13)=1,REPT("    ",IF(ISNUMBER(M13),M13,0))&amp;VLOOKUP(G13,'Definitions'!$A$8:$J$207,2,FALSE),"Unknown definition"))</x:f>
        <x:v>        Power lead</x:v>
      </x:c>
      <x:c r="I13" s="11" t="n">
        <x:f>IF(A13="","",IF(B13="",1,IF(COUNTIFS('Recipes'!$A$8:$A$207,D13)=1,VLOOKUP(D13,'Recipes'!$A$8:$F$207,4,FALSE),"")))</x:f>
        <x:v>2</x:v>
      </x:c>
      <x:c r="J13" s="11" t="n">
        <x:f>IF(A13="","",IF(ISBLANK(E13),I13,E13))</x:f>
        <x:v>2</x:v>
      </x:c>
      <x:c r="K13" s="11" t="n">
        <x:f>IF(A13="","",IF(NOT(ISNUMBER(J13)),"",IF(B13="",J13,IF(COUNTIFS($A$8:$A$12,B13)=1,IF(ISNUMBER(VLOOKUP(B13,$A$8:$N$12,11,FALSE)),J13*VLOOKUP(B13,$A$8:$N$12,11,FALSE),""),""))))</x:f>
        <x:v>2</x:v>
      </x:c>
      <x:c r="L13" s="9" t="str">
        <x:f>IF(A13="","",IF(B13="",F13,IF(COUNTIFS($A$8:$A$12,B13)=1,VLOOKUP(B13,$A$8:$N$12,12,FALSE),"")))</x:f>
        <x:v>Build</x:v>
      </x:c>
      <x:c r="M13" s="11" t="n">
        <x:f>IF(A13="","",IF(B13="",0,IF(COUNTIFS($A$8:$A$12,B13)=1,IF(ISNUMBER(VLOOKUP(B13,$A$8:$N$12,13,FALSE)),VLOOKUP(B13,$A$8:$N$12,13,FALSE)+1,""),"")))</x:f>
        <x:v>2</x:v>
      </x:c>
      <x:c r="N13" s="9" t="str">
        <x:f>IF(A13="","",IF(COUNTIFS('Layout'!$A$8:$A$207,A13)&lt;&gt;1,"Duplicate role",IF(AND(B13&lt;&gt;"",COUNTIFS($A$8:$A$12,B13)&lt;&gt;1),"Parent must appear above child",IF(COUNTIFS('Definitions'!$A$8:$A$207,G13)&lt;&gt;1,"Unknown / duplicate definition",IF(AND(B13="",OR(C13="",D13&lt;&gt;"",AND(F13&lt;&gt;"Build",F13&lt;&gt;"Spares"))),"Set root definition and purpose",IF(AND(B13&lt;&gt;"",COUNTIFS('Recipes'!$A$8:$A$207,D13)&lt;&gt;1),"Choose a unique recipe line",IF(AND(B13&lt;&gt;"",OR(C13&lt;&gt;"",F13&lt;&gt;"")),"Clear child root-only inputs",IF(AND(B13&lt;&gt;"",COUNTIFS($A$8:$A$12,B13)=1,COUNTIFS('Recipes'!$A$8:$A$207,D13)=1),IF(VLOOKUP(D13,'Recipes'!$A$8:$F$207,2,FALSE)&lt;&gt;VLOOKUP(B13,$A$8:$N$12,7,FALSE),"Recipe parent mismatch",IF(COUNTIFS($B$8:$B$207,B13,$D$8:$D$207,D13)&lt;&gt;1,"Duplicate child recipe",IF(OR(NOT(ISNUMBER(J13)),J13&lt;0,MOD(J13,1)&lt;&gt;0),"Set nonnegative whole qty",IF(COUNTIFS('Recipes'!$B$8:$B$207,G13)&lt;&gt;COUNTIFS($B$8:$B$207,A13,$D$8:$D$207,"&lt;&gt;",$A$8:$A$207,"&lt;&gt;"),"Missing / extra recipe children","OK")))),IF(OR(NOT(ISNUMBER(J13)),J13&lt;0,MOD(J13,1)&lt;&gt;0),"Set nonnegative whole qty",IF(COUNTIFS('Recipes'!$B$8:$B$207,G13)&lt;&gt;COUNTIFS($B$8:$B$207,A13,$D$8:$D$207,"&lt;&gt;",$A$8:$A$207,"&lt;&gt;"),"Missing / extra recipe children","OK"))))))))))</x:f>
        <x:v>OK</x:v>
      </x:c>
    </x:row>
    <x:row r="14" ht="22" customHeight="1">
      <x:c r="A14" s="10" t="str">
        <x:v>vccu1:fhs1</x:v>
      </x:c>
      <x:c r="B14" s="10" t="str">
        <x:v>vccu1</x:v>
      </x:c>
      <x:c r="C14" s="10" t="str"/>
      <x:c r="D14" s="10" t="str">
        <x:v>R-V-FHS1</x:v>
      </x:c>
      <x:c r="E14" s="12"/>
      <x:c r="F14" s="10" t="str"/>
      <x:c r="G14" s="9" t="str">
        <x:f>IF(A14="","",IF(B14="",C14,IF(COUNTIFS('Recipes'!$A$8:$A$207,D14)=1,VLOOKUP(D14,'Recipes'!$A$8:$F$207,3,FALSE),"")))</x:f>
        <x:v>P-FHS</x:v>
      </x:c>
      <x:c r="H14" s="9" t="str">
        <x:f>IF(A14="","",IF(COUNTIFS('Definitions'!$A$8:$A$207,G14)=1,REPT("    ",IF(ISNUMBER(M14),M14,0))&amp;VLOOKUP(G14,'Definitions'!$A$8:$J$207,2,FALSE),"Unknown definition"))</x:f>
        <x:v>    FHS server</x:v>
      </x:c>
      <x:c r="I14" s="11" t="n">
        <x:f>IF(A14="","",IF(B14="",1,IF(COUNTIFS('Recipes'!$A$8:$A$207,D14)=1,VLOOKUP(D14,'Recipes'!$A$8:$F$207,4,FALSE),"")))</x:f>
        <x:v>1</x:v>
      </x:c>
      <x:c r="J14" s="11" t="n">
        <x:f>IF(A14="","",IF(ISBLANK(E14),I14,E14))</x:f>
        <x:v>1</x:v>
      </x:c>
      <x:c r="K14" s="11" t="n">
        <x:f>IF(A14="","",IF(NOT(ISNUMBER(J14)),"",IF(B14="",J14,IF(COUNTIFS($A$8:$A$13,B14)=1,IF(ISNUMBER(VLOOKUP(B14,$A$8:$N$13,11,FALSE)),J14*VLOOKUP(B14,$A$8:$N$13,11,FALSE),""),""))))</x:f>
        <x:v>1</x:v>
      </x:c>
      <x:c r="L14" s="9" t="str">
        <x:f>IF(A14="","",IF(B14="",F14,IF(COUNTIFS($A$8:$A$13,B14)=1,VLOOKUP(B14,$A$8:$N$13,12,FALSE),"")))</x:f>
        <x:v>Build</x:v>
      </x:c>
      <x:c r="M14" s="11" t="n">
        <x:f>IF(A14="","",IF(B14="",0,IF(COUNTIFS($A$8:$A$13,B14)=1,IF(ISNUMBER(VLOOKUP(B14,$A$8:$N$13,13,FALSE)),VLOOKUP(B14,$A$8:$N$13,13,FALSE)+1,""),"")))</x:f>
        <x:v>1</x:v>
      </x:c>
      <x:c r="N14" s="9" t="str">
        <x:f>IF(A14="","",IF(COUNTIFS('Layout'!$A$8:$A$207,A14)&lt;&gt;1,"Duplicate role",IF(AND(B14&lt;&gt;"",COUNTIFS($A$8:$A$13,B14)&lt;&gt;1),"Parent must appear above child",IF(COUNTIFS('Definitions'!$A$8:$A$207,G14)&lt;&gt;1,"Unknown / duplicate definition",IF(AND(B14="",OR(C14="",D14&lt;&gt;"",AND(F14&lt;&gt;"Build",F14&lt;&gt;"Spares"))),"Set root definition and purpose",IF(AND(B14&lt;&gt;"",COUNTIFS('Recipes'!$A$8:$A$207,D14)&lt;&gt;1),"Choose a unique recipe line",IF(AND(B14&lt;&gt;"",OR(C14&lt;&gt;"",F14&lt;&gt;"")),"Clear child root-only inputs",IF(AND(B14&lt;&gt;"",COUNTIFS($A$8:$A$13,B14)=1,COUNTIFS('Recipes'!$A$8:$A$207,D14)=1),IF(VLOOKUP(D14,'Recipes'!$A$8:$F$207,2,FALSE)&lt;&gt;VLOOKUP(B14,$A$8:$N$13,7,FALSE),"Recipe parent mismatch",IF(COUNTIFS($B$8:$B$207,B14,$D$8:$D$207,D14)&lt;&gt;1,"Duplicate child recipe",IF(OR(NOT(ISNUMBER(J14)),J14&lt;0,MOD(J14,1)&lt;&gt;0),"Set nonnegative whole qty",IF(COUNTIFS('Recipes'!$B$8:$B$207,G14)&lt;&gt;COUNTIFS($B$8:$B$207,A14,$D$8:$D$207,"&lt;&gt;",$A$8:$A$207,"&lt;&gt;"),"Missing / extra recipe children","OK")))),IF(OR(NOT(ISNUMBER(J14)),J14&lt;0,MOD(J14,1)&lt;&gt;0),"Set nonnegative whole qty",IF(COUNTIFS('Recipes'!$B$8:$B$207,G14)&lt;&gt;COUNTIFS($B$8:$B$207,A14,$D$8:$D$207,"&lt;&gt;",$A$8:$A$207,"&lt;&gt;"),"Missing / extra recipe children","OK"))))))))))</x:f>
        <x:v>OK</x:v>
      </x:c>
    </x:row>
    <x:row r="15" ht="22" customHeight="1">
      <x:c r="A15" s="10" t="str">
        <x:v>vccu1:fhs1:power</x:v>
      </x:c>
      <x:c r="B15" s="10" t="str">
        <x:v>vccu1:fhs1</x:v>
      </x:c>
      <x:c r="C15" s="10" t="str"/>
      <x:c r="D15" s="10" t="str">
        <x:v>R-FHS-POWER</x:v>
      </x:c>
      <x:c r="E15" s="12"/>
      <x:c r="F15" s="10" t="str"/>
      <x:c r="G15" s="9" t="str">
        <x:f>IF(A15="","",IF(B15="",C15,IF(COUNTIFS('Recipes'!$A$8:$A$207,D15)=1,VLOOKUP(D15,'Recipes'!$A$8:$F$207,3,FALSE),"")))</x:f>
        <x:v>P-POWER</x:v>
      </x:c>
      <x:c r="H15" s="9" t="str">
        <x:f>IF(A15="","",IF(COUNTIFS('Definitions'!$A$8:$A$207,G15)=1,REPT("    ",IF(ISNUMBER(M15),M15,0))&amp;VLOOKUP(G15,'Definitions'!$A$8:$J$207,2,FALSE),"Unknown definition"))</x:f>
        <x:v>        Power lead</x:v>
      </x:c>
      <x:c r="I15" s="11" t="n">
        <x:f>IF(A15="","",IF(B15="",1,IF(COUNTIFS('Recipes'!$A$8:$A$207,D15)=1,VLOOKUP(D15,'Recipes'!$A$8:$F$207,4,FALSE),"")))</x:f>
        <x:v>2</x:v>
      </x:c>
      <x:c r="J15" s="11" t="n">
        <x:f>IF(A15="","",IF(ISBLANK(E15),I15,E15))</x:f>
        <x:v>2</x:v>
      </x:c>
      <x:c r="K15" s="11" t="n">
        <x:f>IF(A15="","",IF(NOT(ISNUMBER(J15)),"",IF(B15="",J15,IF(COUNTIFS($A$8:$A$14,B15)=1,IF(ISNUMBER(VLOOKUP(B15,$A$8:$N$14,11,FALSE)),J15*VLOOKUP(B15,$A$8:$N$14,11,FALSE),""),""))))</x:f>
        <x:v>2</x:v>
      </x:c>
      <x:c r="L15" s="9" t="str">
        <x:f>IF(A15="","",IF(B15="",F15,IF(COUNTIFS($A$8:$A$14,B15)=1,VLOOKUP(B15,$A$8:$N$14,12,FALSE),"")))</x:f>
        <x:v>Build</x:v>
      </x:c>
      <x:c r="M15" s="11" t="n">
        <x:f>IF(A15="","",IF(B15="",0,IF(COUNTIFS($A$8:$A$14,B15)=1,IF(ISNUMBER(VLOOKUP(B15,$A$8:$N$14,13,FALSE)),VLOOKUP(B15,$A$8:$N$14,13,FALSE)+1,""),"")))</x:f>
        <x:v>2</x:v>
      </x:c>
      <x:c r="N15" s="9" t="str">
        <x:f>IF(A15="","",IF(COUNTIFS('Layout'!$A$8:$A$207,A15)&lt;&gt;1,"Duplicate role",IF(AND(B15&lt;&gt;"",COUNTIFS($A$8:$A$14,B15)&lt;&gt;1),"Parent must appear above child",IF(COUNTIFS('Definitions'!$A$8:$A$207,G15)&lt;&gt;1,"Unknown / duplicate definition",IF(AND(B15="",OR(C15="",D15&lt;&gt;"",AND(F15&lt;&gt;"Build",F15&lt;&gt;"Spares"))),"Set root definition and purpose",IF(AND(B15&lt;&gt;"",COUNTIFS('Recipes'!$A$8:$A$207,D15)&lt;&gt;1),"Choose a unique recipe line",IF(AND(B15&lt;&gt;"",OR(C15&lt;&gt;"",F15&lt;&gt;"")),"Clear child root-only inputs",IF(AND(B15&lt;&gt;"",COUNTIFS($A$8:$A$14,B15)=1,COUNTIFS('Recipes'!$A$8:$A$207,D15)=1),IF(VLOOKUP(D15,'Recipes'!$A$8:$F$207,2,FALSE)&lt;&gt;VLOOKUP(B15,$A$8:$N$14,7,FALSE),"Recipe parent mismatch",IF(COUNTIFS($B$8:$B$207,B15,$D$8:$D$207,D15)&lt;&gt;1,"Duplicate child recipe",IF(OR(NOT(ISNUMBER(J15)),J15&lt;0,MOD(J15,1)&lt;&gt;0),"Set nonnegative whole qty",IF(COUNTIFS('Recipes'!$B$8:$B$207,G15)&lt;&gt;COUNTIFS($B$8:$B$207,A15,$D$8:$D$207,"&lt;&gt;",$A$8:$A$207,"&lt;&gt;"),"Missing / extra recipe children","OK")))),IF(OR(NOT(ISNUMBER(J15)),J15&lt;0,MOD(J15,1)&lt;&gt;0),"Set nonnegative whole qty",IF(COUNTIFS('Recipes'!$B$8:$B$207,G15)&lt;&gt;COUNTIFS($B$8:$B$207,A15,$D$8:$D$207,"&lt;&gt;",$A$8:$A$207,"&lt;&gt;"),"Missing / extra recipe children","OK"))))))))))</x:f>
        <x:v>OK</x:v>
      </x:c>
    </x:row>
    <x:row r="16" ht="22" customHeight="1">
      <x:c r="A16" s="10" t="str">
        <x:v>vccu1:fhs1:rails</x:v>
      </x:c>
      <x:c r="B16" s="10" t="str">
        <x:v>vccu1:fhs1</x:v>
      </x:c>
      <x:c r="C16" s="10" t="str"/>
      <x:c r="D16" s="10" t="str">
        <x:v>R-FHS-RAILS</x:v>
      </x:c>
      <x:c r="E16" s="12"/>
      <x:c r="F16" s="10" t="str"/>
      <x:c r="G16" s="9" t="str">
        <x:f>IF(A16="","",IF(B16="",C16,IF(COUNTIFS('Recipes'!$A$8:$A$207,D16)=1,VLOOKUP(D16,'Recipes'!$A$8:$F$207,3,FALSE),"")))</x:f>
        <x:v>P-RAILS</x:v>
      </x:c>
      <x:c r="H16" s="9" t="str">
        <x:f>IF(A16="","",IF(COUNTIFS('Definitions'!$A$8:$A$207,G16)=1,REPT("    ",IF(ISNUMBER(M16),M16,0))&amp;VLOOKUP(G16,'Definitions'!$A$8:$J$207,2,FALSE),"Unknown definition"))</x:f>
        <x:v>        Rack rail kit</x:v>
      </x:c>
      <x:c r="I16" s="11" t="n">
        <x:f>IF(A16="","",IF(B16="",1,IF(COUNTIFS('Recipes'!$A$8:$A$207,D16)=1,VLOOKUP(D16,'Recipes'!$A$8:$F$207,4,FALSE),"")))</x:f>
        <x:v>1</x:v>
      </x:c>
      <x:c r="J16" s="11" t="n">
        <x:f>IF(A16="","",IF(ISBLANK(E16),I16,E16))</x:f>
        <x:v>1</x:v>
      </x:c>
      <x:c r="K16" s="11" t="n">
        <x:f>IF(A16="","",IF(NOT(ISNUMBER(J16)),"",IF(B16="",J16,IF(COUNTIFS($A$8:$A$15,B16)=1,IF(ISNUMBER(VLOOKUP(B16,$A$8:$N$15,11,FALSE)),J16*VLOOKUP(B16,$A$8:$N$15,11,FALSE),""),""))))</x:f>
        <x:v>1</x:v>
      </x:c>
      <x:c r="L16" s="9" t="str">
        <x:f>IF(A16="","",IF(B16="",F16,IF(COUNTIFS($A$8:$A$15,B16)=1,VLOOKUP(B16,$A$8:$N$15,12,FALSE),"")))</x:f>
        <x:v>Build</x:v>
      </x:c>
      <x:c r="M16" s="11" t="n">
        <x:f>IF(A16="","",IF(B16="",0,IF(COUNTIFS($A$8:$A$15,B16)=1,IF(ISNUMBER(VLOOKUP(B16,$A$8:$N$15,13,FALSE)),VLOOKUP(B16,$A$8:$N$15,13,FALSE)+1,""),"")))</x:f>
        <x:v>2</x:v>
      </x:c>
      <x:c r="N16" s="9" t="str">
        <x:f>IF(A16="","",IF(COUNTIFS('Layout'!$A$8:$A$207,A16)&lt;&gt;1,"Duplicate role",IF(AND(B16&lt;&gt;"",COUNTIFS($A$8:$A$15,B16)&lt;&gt;1),"Parent must appear above child",IF(COUNTIFS('Definitions'!$A$8:$A$207,G16)&lt;&gt;1,"Unknown / duplicate definition",IF(AND(B16="",OR(C16="",D16&lt;&gt;"",AND(F16&lt;&gt;"Build",F16&lt;&gt;"Spares"))),"Set root definition and purpose",IF(AND(B16&lt;&gt;"",COUNTIFS('Recipes'!$A$8:$A$207,D16)&lt;&gt;1),"Choose a unique recipe line",IF(AND(B16&lt;&gt;"",OR(C16&lt;&gt;"",F16&lt;&gt;"")),"Clear child root-only inputs",IF(AND(B16&lt;&gt;"",COUNTIFS($A$8:$A$15,B16)=1,COUNTIFS('Recipes'!$A$8:$A$207,D16)=1),IF(VLOOKUP(D16,'Recipes'!$A$8:$F$207,2,FALSE)&lt;&gt;VLOOKUP(B16,$A$8:$N$15,7,FALSE),"Recipe parent mismatch",IF(COUNTIFS($B$8:$B$207,B16,$D$8:$D$207,D16)&lt;&gt;1,"Duplicate child recipe",IF(OR(NOT(ISNUMBER(J16)),J16&lt;0,MOD(J16,1)&lt;&gt;0),"Set nonnegative whole qty",IF(COUNTIFS('Recipes'!$B$8:$B$207,G16)&lt;&gt;COUNTIFS($B$8:$B$207,A16,$D$8:$D$207,"&lt;&gt;",$A$8:$A$207,"&lt;&gt;"),"Missing / extra recipe children","OK")))),IF(OR(NOT(ISNUMBER(J16)),J16&lt;0,MOD(J16,1)&lt;&gt;0),"Set nonnegative whole qty",IF(COUNTIFS('Recipes'!$B$8:$B$207,G16)&lt;&gt;COUNTIFS($B$8:$B$207,A16,$D$8:$D$207,"&lt;&gt;",$A$8:$A$207,"&lt;&gt;"),"Missing / extra recipe children","OK"))))))))))</x:f>
        <x:v>OK</x:v>
      </x:c>
    </x:row>
    <x:row r="17" ht="22" customHeight="1">
      <x:c r="A17" s="10" t="str">
        <x:v>vccu1:fhs2</x:v>
      </x:c>
      <x:c r="B17" s="10" t="str">
        <x:v>vccu1</x:v>
      </x:c>
      <x:c r="C17" s="10" t="str"/>
      <x:c r="D17" s="10" t="str">
        <x:v>R-V-FHS2</x:v>
      </x:c>
      <x:c r="E17" s="12"/>
      <x:c r="F17" s="10" t="str"/>
      <x:c r="G17" s="9" t="str">
        <x:f>IF(A17="","",IF(B17="",C17,IF(COUNTIFS('Recipes'!$A$8:$A$207,D17)=1,VLOOKUP(D17,'Recipes'!$A$8:$F$207,3,FALSE),"")))</x:f>
        <x:v>P-FHS</x:v>
      </x:c>
      <x:c r="H17" s="9" t="str">
        <x:f>IF(A17="","",IF(COUNTIFS('Definitions'!$A$8:$A$207,G17)=1,REPT("    ",IF(ISNUMBER(M17),M17,0))&amp;VLOOKUP(G17,'Definitions'!$A$8:$J$207,2,FALSE),"Unknown definition"))</x:f>
        <x:v>    FHS server</x:v>
      </x:c>
      <x:c r="I17" s="11" t="n">
        <x:f>IF(A17="","",IF(B17="",1,IF(COUNTIFS('Recipes'!$A$8:$A$207,D17)=1,VLOOKUP(D17,'Recipes'!$A$8:$F$207,4,FALSE),"")))</x:f>
        <x:v>1</x:v>
      </x:c>
      <x:c r="J17" s="11" t="n">
        <x:f>IF(A17="","",IF(ISBLANK(E17),I17,E17))</x:f>
        <x:v>1</x:v>
      </x:c>
      <x:c r="K17" s="11" t="n">
        <x:f>IF(A17="","",IF(NOT(ISNUMBER(J17)),"",IF(B17="",J17,IF(COUNTIFS($A$8:$A$16,B17)=1,IF(ISNUMBER(VLOOKUP(B17,$A$8:$N$16,11,FALSE)),J17*VLOOKUP(B17,$A$8:$N$16,11,FALSE),""),""))))</x:f>
        <x:v>1</x:v>
      </x:c>
      <x:c r="L17" s="9" t="str">
        <x:f>IF(A17="","",IF(B17="",F17,IF(COUNTIFS($A$8:$A$16,B17)=1,VLOOKUP(B17,$A$8:$N$16,12,FALSE),"")))</x:f>
        <x:v>Build</x:v>
      </x:c>
      <x:c r="M17" s="11" t="n">
        <x:f>IF(A17="","",IF(B17="",0,IF(COUNTIFS($A$8:$A$16,B17)=1,IF(ISNUMBER(VLOOKUP(B17,$A$8:$N$16,13,FALSE)),VLOOKUP(B17,$A$8:$N$16,13,FALSE)+1,""),"")))</x:f>
        <x:v>1</x:v>
      </x:c>
      <x:c r="N17" s="9" t="str">
        <x:f>IF(A17="","",IF(COUNTIFS('Layout'!$A$8:$A$207,A17)&lt;&gt;1,"Duplicate role",IF(AND(B17&lt;&gt;"",COUNTIFS($A$8:$A$16,B17)&lt;&gt;1),"Parent must appear above child",IF(COUNTIFS('Definitions'!$A$8:$A$207,G17)&lt;&gt;1,"Unknown / duplicate definition",IF(AND(B17="",OR(C17="",D17&lt;&gt;"",AND(F17&lt;&gt;"Build",F17&lt;&gt;"Spares"))),"Set root definition and purpose",IF(AND(B17&lt;&gt;"",COUNTIFS('Recipes'!$A$8:$A$207,D17)&lt;&gt;1),"Choose a unique recipe line",IF(AND(B17&lt;&gt;"",OR(C17&lt;&gt;"",F17&lt;&gt;"")),"Clear child root-only inputs",IF(AND(B17&lt;&gt;"",COUNTIFS($A$8:$A$16,B17)=1,COUNTIFS('Recipes'!$A$8:$A$207,D17)=1),IF(VLOOKUP(D17,'Recipes'!$A$8:$F$207,2,FALSE)&lt;&gt;VLOOKUP(B17,$A$8:$N$16,7,FALSE),"Recipe parent mismatch",IF(COUNTIFS($B$8:$B$207,B17,$D$8:$D$207,D17)&lt;&gt;1,"Duplicate child recipe",IF(OR(NOT(ISNUMBER(J17)),J17&lt;0,MOD(J17,1)&lt;&gt;0),"Set nonnegative whole qty",IF(COUNTIFS('Recipes'!$B$8:$B$207,G17)&lt;&gt;COUNTIFS($B$8:$B$207,A17,$D$8:$D$207,"&lt;&gt;",$A$8:$A$207,"&lt;&gt;"),"Missing / extra recipe children","OK")))),IF(OR(NOT(ISNUMBER(J17)),J17&lt;0,MOD(J17,1)&lt;&gt;0),"Set nonnegative whole qty",IF(COUNTIFS('Recipes'!$B$8:$B$207,G17)&lt;&gt;COUNTIFS($B$8:$B$207,A17,$D$8:$D$207,"&lt;&gt;",$A$8:$A$207,"&lt;&gt;"),"Missing / extra recipe children","OK"))))))))))</x:f>
        <x:v>OK</x:v>
      </x:c>
    </x:row>
    <x:row r="18" ht="22" customHeight="1">
      <x:c r="A18" s="10" t="str">
        <x:v>vccu1:fhs2:power</x:v>
      </x:c>
      <x:c r="B18" s="10" t="str">
        <x:v>vccu1:fhs2</x:v>
      </x:c>
      <x:c r="C18" s="10" t="str"/>
      <x:c r="D18" s="10" t="str">
        <x:v>R-FHS-POWER</x:v>
      </x:c>
      <x:c r="E18" s="12"/>
      <x:c r="F18" s="10" t="str"/>
      <x:c r="G18" s="9" t="str">
        <x:f>IF(A18="","",IF(B18="",C18,IF(COUNTIFS('Recipes'!$A$8:$A$207,D18)=1,VLOOKUP(D18,'Recipes'!$A$8:$F$207,3,FALSE),"")))</x:f>
        <x:v>P-POWER</x:v>
      </x:c>
      <x:c r="H18" s="9" t="str">
        <x:f>IF(A18="","",IF(COUNTIFS('Definitions'!$A$8:$A$207,G18)=1,REPT("    ",IF(ISNUMBER(M18),M18,0))&amp;VLOOKUP(G18,'Definitions'!$A$8:$J$207,2,FALSE),"Unknown definition"))</x:f>
        <x:v>        Power lead</x:v>
      </x:c>
      <x:c r="I18" s="11" t="n">
        <x:f>IF(A18="","",IF(B18="",1,IF(COUNTIFS('Recipes'!$A$8:$A$207,D18)=1,VLOOKUP(D18,'Recipes'!$A$8:$F$207,4,FALSE),"")))</x:f>
        <x:v>2</x:v>
      </x:c>
      <x:c r="J18" s="11" t="n">
        <x:f>IF(A18="","",IF(ISBLANK(E18),I18,E18))</x:f>
        <x:v>2</x:v>
      </x:c>
      <x:c r="K18" s="11" t="n">
        <x:f>IF(A18="","",IF(NOT(ISNUMBER(J18)),"",IF(B18="",J18,IF(COUNTIFS($A$8:$A$17,B18)=1,IF(ISNUMBER(VLOOKUP(B18,$A$8:$N$17,11,FALSE)),J18*VLOOKUP(B18,$A$8:$N$17,11,FALSE),""),""))))</x:f>
        <x:v>2</x:v>
      </x:c>
      <x:c r="L18" s="9" t="str">
        <x:f>IF(A18="","",IF(B18="",F18,IF(COUNTIFS($A$8:$A$17,B18)=1,VLOOKUP(B18,$A$8:$N$17,12,FALSE),"")))</x:f>
        <x:v>Build</x:v>
      </x:c>
      <x:c r="M18" s="11" t="n">
        <x:f>IF(A18="","",IF(B18="",0,IF(COUNTIFS($A$8:$A$17,B18)=1,IF(ISNUMBER(VLOOKUP(B18,$A$8:$N$17,13,FALSE)),VLOOKUP(B18,$A$8:$N$17,13,FALSE)+1,""),"")))</x:f>
        <x:v>2</x:v>
      </x:c>
      <x:c r="N18" s="9" t="str">
        <x:f>IF(A18="","",IF(COUNTIFS('Layout'!$A$8:$A$207,A18)&lt;&gt;1,"Duplicate role",IF(AND(B18&lt;&gt;"",COUNTIFS($A$8:$A$17,B18)&lt;&gt;1),"Parent must appear above child",IF(COUNTIFS('Definitions'!$A$8:$A$207,G18)&lt;&gt;1,"Unknown / duplicate definition",IF(AND(B18="",OR(C18="",D18&lt;&gt;"",AND(F18&lt;&gt;"Build",F18&lt;&gt;"Spares"))),"Set root definition and purpose",IF(AND(B18&lt;&gt;"",COUNTIFS('Recipes'!$A$8:$A$207,D18)&lt;&gt;1),"Choose a unique recipe line",IF(AND(B18&lt;&gt;"",OR(C18&lt;&gt;"",F18&lt;&gt;"")),"Clear child root-only inputs",IF(AND(B18&lt;&gt;"",COUNTIFS($A$8:$A$17,B18)=1,COUNTIFS('Recipes'!$A$8:$A$207,D18)=1),IF(VLOOKUP(D18,'Recipes'!$A$8:$F$207,2,FALSE)&lt;&gt;VLOOKUP(B18,$A$8:$N$17,7,FALSE),"Recipe parent mismatch",IF(COUNTIFS($B$8:$B$207,B18,$D$8:$D$207,D18)&lt;&gt;1,"Duplicate child recipe",IF(OR(NOT(ISNUMBER(J18)),J18&lt;0,MOD(J18,1)&lt;&gt;0),"Set nonnegative whole qty",IF(COUNTIFS('Recipes'!$B$8:$B$207,G18)&lt;&gt;COUNTIFS($B$8:$B$207,A18,$D$8:$D$207,"&lt;&gt;",$A$8:$A$207,"&lt;&gt;"),"Missing / extra recipe children","OK")))),IF(OR(NOT(ISNUMBER(J18)),J18&lt;0,MOD(J18,1)&lt;&gt;0),"Set nonnegative whole qty",IF(COUNTIFS('Recipes'!$B$8:$B$207,G18)&lt;&gt;COUNTIFS($B$8:$B$207,A18,$D$8:$D$207,"&lt;&gt;",$A$8:$A$207,"&lt;&gt;"),"Missing / extra recipe children","OK"))))))))))</x:f>
        <x:v>OK</x:v>
      </x:c>
    </x:row>
    <x:row r="19" ht="22" customHeight="1">
      <x:c r="A19" s="10" t="str">
        <x:v>vccu1:fhs2:rails</x:v>
      </x:c>
      <x:c r="B19" s="10" t="str">
        <x:v>vccu1:fhs2</x:v>
      </x:c>
      <x:c r="C19" s="10" t="str"/>
      <x:c r="D19" s="10" t="str">
        <x:v>R-FHS-RAILS</x:v>
      </x:c>
      <x:c r="E19" s="12"/>
      <x:c r="F19" s="10" t="str"/>
      <x:c r="G19" s="9" t="str">
        <x:f>IF(A19="","",IF(B19="",C19,IF(COUNTIFS('Recipes'!$A$8:$A$207,D19)=1,VLOOKUP(D19,'Recipes'!$A$8:$F$207,3,FALSE),"")))</x:f>
        <x:v>P-RAILS</x:v>
      </x:c>
      <x:c r="H19" s="9" t="str">
        <x:f>IF(A19="","",IF(COUNTIFS('Definitions'!$A$8:$A$207,G19)=1,REPT("    ",IF(ISNUMBER(M19),M19,0))&amp;VLOOKUP(G19,'Definitions'!$A$8:$J$207,2,FALSE),"Unknown definition"))</x:f>
        <x:v>        Rack rail kit</x:v>
      </x:c>
      <x:c r="I19" s="11" t="n">
        <x:f>IF(A19="","",IF(B19="",1,IF(COUNTIFS('Recipes'!$A$8:$A$207,D19)=1,VLOOKUP(D19,'Recipes'!$A$8:$F$207,4,FALSE),"")))</x:f>
        <x:v>1</x:v>
      </x:c>
      <x:c r="J19" s="11" t="n">
        <x:f>IF(A19="","",IF(ISBLANK(E19),I19,E19))</x:f>
        <x:v>1</x:v>
      </x:c>
      <x:c r="K19" s="11" t="n">
        <x:f>IF(A19="","",IF(NOT(ISNUMBER(J19)),"",IF(B19="",J19,IF(COUNTIFS($A$8:$A$18,B19)=1,IF(ISNUMBER(VLOOKUP(B19,$A$8:$N$18,11,FALSE)),J19*VLOOKUP(B19,$A$8:$N$18,11,FALSE),""),""))))</x:f>
        <x:v>1</x:v>
      </x:c>
      <x:c r="L19" s="9" t="str">
        <x:f>IF(A19="","",IF(B19="",F19,IF(COUNTIFS($A$8:$A$18,B19)=1,VLOOKUP(B19,$A$8:$N$18,12,FALSE),"")))</x:f>
        <x:v>Build</x:v>
      </x:c>
      <x:c r="M19" s="11" t="n">
        <x:f>IF(A19="","",IF(B19="",0,IF(COUNTIFS($A$8:$A$18,B19)=1,IF(ISNUMBER(VLOOKUP(B19,$A$8:$N$18,13,FALSE)),VLOOKUP(B19,$A$8:$N$18,13,FALSE)+1,""),"")))</x:f>
        <x:v>2</x:v>
      </x:c>
      <x:c r="N19" s="9" t="str">
        <x:f>IF(A19="","",IF(COUNTIFS('Layout'!$A$8:$A$207,A19)&lt;&gt;1,"Duplicate role",IF(AND(B19&lt;&gt;"",COUNTIFS($A$8:$A$18,B19)&lt;&gt;1),"Parent must appear above child",IF(COUNTIFS('Definitions'!$A$8:$A$207,G19)&lt;&gt;1,"Unknown / duplicate definition",IF(AND(B19="",OR(C19="",D19&lt;&gt;"",AND(F19&lt;&gt;"Build",F19&lt;&gt;"Spares"))),"Set root definition and purpose",IF(AND(B19&lt;&gt;"",COUNTIFS('Recipes'!$A$8:$A$207,D19)&lt;&gt;1),"Choose a unique recipe line",IF(AND(B19&lt;&gt;"",OR(C19&lt;&gt;"",F19&lt;&gt;"")),"Clear child root-only inputs",IF(AND(B19&lt;&gt;"",COUNTIFS($A$8:$A$18,B19)=1,COUNTIFS('Recipes'!$A$8:$A$207,D19)=1),IF(VLOOKUP(D19,'Recipes'!$A$8:$F$207,2,FALSE)&lt;&gt;VLOOKUP(B19,$A$8:$N$18,7,FALSE),"Recipe parent mismatch",IF(COUNTIFS($B$8:$B$207,B19,$D$8:$D$207,D19)&lt;&gt;1,"Duplicate child recipe",IF(OR(NOT(ISNUMBER(J19)),J19&lt;0,MOD(J19,1)&lt;&gt;0),"Set nonnegative whole qty",IF(COUNTIFS('Recipes'!$B$8:$B$207,G19)&lt;&gt;COUNTIFS($B$8:$B$207,A19,$D$8:$D$207,"&lt;&gt;",$A$8:$A$207,"&lt;&gt;"),"Missing / extra recipe children","OK")))),IF(OR(NOT(ISNUMBER(J19)),J19&lt;0,MOD(J19,1)&lt;&gt;0),"Set nonnegative whole qty",IF(COUNTIFS('Recipes'!$B$8:$B$207,G19)&lt;&gt;COUNTIFS($B$8:$B$207,A19,$D$8:$D$207,"&lt;&gt;",$A$8:$A$207,"&lt;&gt;"),"Missing / extra recipe children","OK"))))))))))</x:f>
        <x:v>OK</x:v>
      </x:c>
    </x:row>
    <x:row r="20" ht="22" customHeight="1">
      <x:c r="A20" s="10" t="str">
        <x:v>vccu2</x:v>
      </x:c>
      <x:c r="B20" s="10" t="str"/>
      <x:c r="C20" s="10" t="str">
        <x:v>A-VCCU</x:v>
      </x:c>
      <x:c r="D20" s="10" t="str"/>
      <x:c r="E20" s="12"/>
      <x:c r="F20" s="10" t="str">
        <x:v>Build</x:v>
      </x:c>
      <x:c r="G20" s="9" t="str">
        <x:f>IF(A20="","",IF(B20="",C20,IF(COUNTIFS('Recipes'!$A$8:$A$207,D20)=1,VLOOKUP(D20,'Recipes'!$A$8:$F$207,3,FALSE),"")))</x:f>
        <x:v>A-VCCU</x:v>
      </x:c>
      <x:c r="H20" s="9" t="str">
        <x:f>IF(A20="","",IF(COUNTIFS('Definitions'!$A$8:$A$207,G20)=1,REPT("    ",IF(ISNUMBER(M20),M20,0))&amp;VLOOKUP(G20,'Definitions'!$A$8:$J$207,2,FALSE),"Unknown definition"))</x:f>
        <x:v>VCCU</x:v>
      </x:c>
      <x:c r="I20" s="11" t="n">
        <x:f>IF(A20="","",IF(B20="",1,IF(COUNTIFS('Recipes'!$A$8:$A$207,D20)=1,VLOOKUP(D20,'Recipes'!$A$8:$F$207,4,FALSE),"")))</x:f>
        <x:v>1</x:v>
      </x:c>
      <x:c r="J20" s="11" t="n">
        <x:f>IF(A20="","",IF(ISBLANK(E20),I20,E20))</x:f>
        <x:v>1</x:v>
      </x:c>
      <x:c r="K20" s="11" t="n">
        <x:f>IF(A20="","",IF(NOT(ISNUMBER(J20)),"",IF(B20="",J20,IF(COUNTIFS($A$8:$A$19,B20)=1,IF(ISNUMBER(VLOOKUP(B20,$A$8:$N$19,11,FALSE)),J20*VLOOKUP(B20,$A$8:$N$19,11,FALSE),""),""))))</x:f>
        <x:v>1</x:v>
      </x:c>
      <x:c r="L20" s="9" t="str">
        <x:f>IF(A20="","",IF(B20="",F20,IF(COUNTIFS($A$8:$A$19,B20)=1,VLOOKUP(B20,$A$8:$N$19,12,FALSE),"")))</x:f>
        <x:v>Build</x:v>
      </x:c>
      <x:c r="M20" s="11" t="n">
        <x:f>IF(A20="","",IF(B20="",0,IF(COUNTIFS($A$8:$A$19,B20)=1,IF(ISNUMBER(VLOOKUP(B20,$A$8:$N$19,13,FALSE)),VLOOKUP(B20,$A$8:$N$19,13,FALSE)+1,""),"")))</x:f>
        <x:v>0</x:v>
      </x:c>
      <x:c r="N20" s="9" t="str">
        <x:f>IF(A20="","",IF(COUNTIFS('Layout'!$A$8:$A$207,A20)&lt;&gt;1,"Duplicate role",IF(AND(B20&lt;&gt;"",COUNTIFS($A$8:$A$19,B20)&lt;&gt;1),"Parent must appear above child",IF(COUNTIFS('Definitions'!$A$8:$A$207,G20)&lt;&gt;1,"Unknown / duplicate definition",IF(AND(B20="",OR(C20="",D20&lt;&gt;"",AND(F20&lt;&gt;"Build",F20&lt;&gt;"Spares"))),"Set root definition and purpose",IF(AND(B20&lt;&gt;"",COUNTIFS('Recipes'!$A$8:$A$207,D20)&lt;&gt;1),"Choose a unique recipe line",IF(AND(B20&lt;&gt;"",OR(C20&lt;&gt;"",F20&lt;&gt;"")),"Clear child root-only inputs",IF(AND(B20&lt;&gt;"",COUNTIFS($A$8:$A$19,B20)=1,COUNTIFS('Recipes'!$A$8:$A$207,D20)=1),IF(VLOOKUP(D20,'Recipes'!$A$8:$F$207,2,FALSE)&lt;&gt;VLOOKUP(B20,$A$8:$N$19,7,FALSE),"Recipe parent mismatch",IF(COUNTIFS($B$8:$B$207,B20,$D$8:$D$207,D20)&lt;&gt;1,"Duplicate child recipe",IF(OR(NOT(ISNUMBER(J20)),J20&lt;0,MOD(J20,1)&lt;&gt;0),"Set nonnegative whole qty",IF(COUNTIFS('Recipes'!$B$8:$B$207,G20)&lt;&gt;COUNTIFS($B$8:$B$207,A20,$D$8:$D$207,"&lt;&gt;",$A$8:$A$207,"&lt;&gt;"),"Missing / extra recipe children","OK")))),IF(OR(NOT(ISNUMBER(J20)),J20&lt;0,MOD(J20,1)&lt;&gt;0),"Set nonnegative whole qty",IF(COUNTIFS('Recipes'!$B$8:$B$207,G20)&lt;&gt;COUNTIFS($B$8:$B$207,A20,$D$8:$D$207,"&lt;&gt;",$A$8:$A$207,"&lt;&gt;"),"Missing / extra recipe children","OK"))))))))))</x:f>
        <x:v>OK</x:v>
      </x:c>
    </x:row>
    <x:row r="21" ht="22" customHeight="1">
      <x:c r="A21" s="10" t="str">
        <x:v>vccu2:switch1</x:v>
      </x:c>
      <x:c r="B21" s="10" t="str">
        <x:v>vccu2</x:v>
      </x:c>
      <x:c r="C21" s="10" t="str"/>
      <x:c r="D21" s="10" t="str">
        <x:v>R-V-SW</x:v>
      </x:c>
      <x:c r="E21" s="12"/>
      <x:c r="F21" s="10" t="str"/>
      <x:c r="G21" s="9" t="str">
        <x:f>IF(A21="","",IF(B21="",C21,IF(COUNTIFS('Recipes'!$A$8:$A$207,D21)=1,VLOOKUP(D21,'Recipes'!$A$8:$F$207,3,FALSE),"")))</x:f>
        <x:v>P-SWITCH</x:v>
      </x:c>
      <x:c r="H21" s="9" t="str">
        <x:f>IF(A21="","",IF(COUNTIFS('Definitions'!$A$8:$A$207,G21)=1,REPT("    ",IF(ISNUMBER(M21),M21,0))&amp;VLOOKUP(G21,'Definitions'!$A$8:$J$207,2,FALSE),"Unknown definition"))</x:f>
        <x:v>    Switch</x:v>
      </x:c>
      <x:c r="I21" s="11" t="n">
        <x:f>IF(A21="","",IF(B21="",1,IF(COUNTIFS('Recipes'!$A$8:$A$207,D21)=1,VLOOKUP(D21,'Recipes'!$A$8:$F$207,4,FALSE),"")))</x:f>
        <x:v>1</x:v>
      </x:c>
      <x:c r="J21" s="11" t="n">
        <x:f>IF(A21="","",IF(ISBLANK(E21),I21,E21))</x:f>
        <x:v>1</x:v>
      </x:c>
      <x:c r="K21" s="11" t="n">
        <x:f>IF(A21="","",IF(NOT(ISNUMBER(J21)),"",IF(B21="",J21,IF(COUNTIFS($A$8:$A$20,B21)=1,IF(ISNUMBER(VLOOKUP(B21,$A$8:$N$20,11,FALSE)),J21*VLOOKUP(B21,$A$8:$N$20,11,FALSE),""),""))))</x:f>
        <x:v>1</x:v>
      </x:c>
      <x:c r="L21" s="9" t="str">
        <x:f>IF(A21="","",IF(B21="",F21,IF(COUNTIFS($A$8:$A$20,B21)=1,VLOOKUP(B21,$A$8:$N$20,12,FALSE),"")))</x:f>
        <x:v>Build</x:v>
      </x:c>
      <x:c r="M21" s="11" t="n">
        <x:f>IF(A21="","",IF(B21="",0,IF(COUNTIFS($A$8:$A$20,B21)=1,IF(ISNUMBER(VLOOKUP(B21,$A$8:$N$20,13,FALSE)),VLOOKUP(B21,$A$8:$N$20,13,FALSE)+1,""),"")))</x:f>
        <x:v>1</x:v>
      </x:c>
      <x:c r="N21" s="9" t="str">
        <x:f>IF(A21="","",IF(COUNTIFS('Layout'!$A$8:$A$207,A21)&lt;&gt;1,"Duplicate role",IF(AND(B21&lt;&gt;"",COUNTIFS($A$8:$A$20,B21)&lt;&gt;1),"Parent must appear above child",IF(COUNTIFS('Definitions'!$A$8:$A$207,G21)&lt;&gt;1,"Unknown / duplicate definition",IF(AND(B21="",OR(C21="",D21&lt;&gt;"",AND(F21&lt;&gt;"Build",F21&lt;&gt;"Spares"))),"Set root definition and purpose",IF(AND(B21&lt;&gt;"",COUNTIFS('Recipes'!$A$8:$A$207,D21)&lt;&gt;1),"Choose a unique recipe line",IF(AND(B21&lt;&gt;"",OR(C21&lt;&gt;"",F21&lt;&gt;"")),"Clear child root-only inputs",IF(AND(B21&lt;&gt;"",COUNTIFS($A$8:$A$20,B21)=1,COUNTIFS('Recipes'!$A$8:$A$207,D21)=1),IF(VLOOKUP(D21,'Recipes'!$A$8:$F$207,2,FALSE)&lt;&gt;VLOOKUP(B21,$A$8:$N$20,7,FALSE),"Recipe parent mismatch",IF(COUNTIFS($B$8:$B$207,B21,$D$8:$D$207,D21)&lt;&gt;1,"Duplicate child recipe",IF(OR(NOT(ISNUMBER(J21)),J21&lt;0,MOD(J21,1)&lt;&gt;0),"Set nonnegative whole qty",IF(COUNTIFS('Recipes'!$B$8:$B$207,G21)&lt;&gt;COUNTIFS($B$8:$B$207,A21,$D$8:$D$207,"&lt;&gt;",$A$8:$A$207,"&lt;&gt;"),"Missing / extra recipe children","OK")))),IF(OR(NOT(ISNUMBER(J21)),J21&lt;0,MOD(J21,1)&lt;&gt;0),"Set nonnegative whole qty",IF(COUNTIFS('Recipes'!$B$8:$B$207,G21)&lt;&gt;COUNTIFS($B$8:$B$207,A21,$D$8:$D$207,"&lt;&gt;",$A$8:$A$207,"&lt;&gt;"),"Missing / extra recipe children","OK"))))))))))</x:f>
        <x:v>OK</x:v>
      </x:c>
    </x:row>
    <x:row r="22" ht="22" customHeight="1">
      <x:c r="A22" s="10" t="str">
        <x:v>vccu2:switch1:links</x:v>
      </x:c>
      <x:c r="B22" s="10" t="str">
        <x:v>vccu2:switch1</x:v>
      </x:c>
      <x:c r="C22" s="10" t="str"/>
      <x:c r="D22" s="10" t="str">
        <x:v>R-SW-LINK</x:v>
      </x:c>
      <x:c r="E22" s="12"/>
      <x:c r="F22" s="10" t="str"/>
      <x:c r="G22" s="9" t="str">
        <x:f>IF(A22="","",IF(B22="",C22,IF(COUNTIFS('Recipes'!$A$8:$A$207,D22)=1,VLOOKUP(D22,'Recipes'!$A$8:$F$207,3,FALSE),"")))</x:f>
        <x:v>A-LINK</x:v>
      </x:c>
      <x:c r="H22" s="9" t="str">
        <x:f>IF(A22="","",IF(COUNTIFS('Definitions'!$A$8:$A$207,G22)=1,REPT("    ",IF(ISNUMBER(M22),M22,0))&amp;VLOOKUP(G22,'Definitions'!$A$8:$J$207,2,FALSE),"Unknown definition"))</x:f>
        <x:v>        Optical link</x:v>
      </x:c>
      <x:c r="I22" s="11" t="n">
        <x:f>IF(A22="","",IF(B22="",1,IF(COUNTIFS('Recipes'!$A$8:$A$207,D22)=1,VLOOKUP(D22,'Recipes'!$A$8:$F$207,4,FALSE),"")))</x:f>
        <x:v>4</x:v>
      </x:c>
      <x:c r="J22" s="11" t="n">
        <x:f>IF(A22="","",IF(ISBLANK(E22),I22,E22))</x:f>
        <x:v>4</x:v>
      </x:c>
      <x:c r="K22" s="11" t="n">
        <x:f>IF(A22="","",IF(NOT(ISNUMBER(J22)),"",IF(B22="",J22,IF(COUNTIFS($A$8:$A$21,B22)=1,IF(ISNUMBER(VLOOKUP(B22,$A$8:$N$21,11,FALSE)),J22*VLOOKUP(B22,$A$8:$N$21,11,FALSE),""),""))))</x:f>
        <x:v>4</x:v>
      </x:c>
      <x:c r="L22" s="9" t="str">
        <x:f>IF(A22="","",IF(B22="",F22,IF(COUNTIFS($A$8:$A$21,B22)=1,VLOOKUP(B22,$A$8:$N$21,12,FALSE),"")))</x:f>
        <x:v>Build</x:v>
      </x:c>
      <x:c r="M22" s="11" t="n">
        <x:f>IF(A22="","",IF(B22="",0,IF(COUNTIFS($A$8:$A$21,B22)=1,IF(ISNUMBER(VLOOKUP(B22,$A$8:$N$21,13,FALSE)),VLOOKUP(B22,$A$8:$N$21,13,FALSE)+1,""),"")))</x:f>
        <x:v>2</x:v>
      </x:c>
      <x:c r="N22" s="9" t="str">
        <x:f>IF(A22="","",IF(COUNTIFS('Layout'!$A$8:$A$207,A22)&lt;&gt;1,"Duplicate role",IF(AND(B22&lt;&gt;"",COUNTIFS($A$8:$A$21,B22)&lt;&gt;1),"Parent must appear above child",IF(COUNTIFS('Definitions'!$A$8:$A$207,G22)&lt;&gt;1,"Unknown / duplicate definition",IF(AND(B22="",OR(C22="",D22&lt;&gt;"",AND(F22&lt;&gt;"Build",F22&lt;&gt;"Spares"))),"Set root definition and purpose",IF(AND(B22&lt;&gt;"",COUNTIFS('Recipes'!$A$8:$A$207,D22)&lt;&gt;1),"Choose a unique recipe line",IF(AND(B22&lt;&gt;"",OR(C22&lt;&gt;"",F22&lt;&gt;"")),"Clear child root-only inputs",IF(AND(B22&lt;&gt;"",COUNTIFS($A$8:$A$21,B22)=1,COUNTIFS('Recipes'!$A$8:$A$207,D22)=1),IF(VLOOKUP(D22,'Recipes'!$A$8:$F$207,2,FALSE)&lt;&gt;VLOOKUP(B22,$A$8:$N$21,7,FALSE),"Recipe parent mismatch",IF(COUNTIFS($B$8:$B$207,B22,$D$8:$D$207,D22)&lt;&gt;1,"Duplicate child recipe",IF(OR(NOT(ISNUMBER(J22)),J22&lt;0,MOD(J22,1)&lt;&gt;0),"Set nonnegative whole qty",IF(COUNTIFS('Recipes'!$B$8:$B$207,G22)&lt;&gt;COUNTIFS($B$8:$B$207,A22,$D$8:$D$207,"&lt;&gt;",$A$8:$A$207,"&lt;&gt;"),"Missing / extra recipe children","OK")))),IF(OR(NOT(ISNUMBER(J22)),J22&lt;0,MOD(J22,1)&lt;&gt;0),"Set nonnegative whole qty",IF(COUNTIFS('Recipes'!$B$8:$B$207,G22)&lt;&gt;COUNTIFS($B$8:$B$207,A22,$D$8:$D$207,"&lt;&gt;",$A$8:$A$207,"&lt;&gt;"),"Missing / extra recipe children","OK"))))))))))</x:f>
        <x:v>OK</x:v>
      </x:c>
    </x:row>
    <x:row r="23" ht="22" customHeight="1">
      <x:c r="A23" s="10" t="str">
        <x:v>vccu2:switch1:links:transceivers</x:v>
      </x:c>
      <x:c r="B23" s="10" t="str">
        <x:v>vccu2:switch1:links</x:v>
      </x:c>
      <x:c r="C23" s="10" t="str"/>
      <x:c r="D23" s="10" t="str">
        <x:v>R-LINK-OPT</x:v>
      </x:c>
      <x:c r="E23" s="12"/>
      <x:c r="F23" s="10" t="str"/>
      <x:c r="G23" s="9" t="str">
        <x:f>IF(A23="","",IF(B23="",C23,IF(COUNTIFS('Recipes'!$A$8:$A$207,D23)=1,VLOOKUP(D23,'Recipes'!$A$8:$F$207,3,FALSE),"")))</x:f>
        <x:v>P-OPTIC</x:v>
      </x:c>
      <x:c r="H23" s="9" t="str">
        <x:f>IF(A23="","",IF(COUNTIFS('Definitions'!$A$8:$A$207,G23)=1,REPT("    ",IF(ISNUMBER(M23),M23,0))&amp;VLOOKUP(G23,'Definitions'!$A$8:$J$207,2,FALSE),"Unknown definition"))</x:f>
        <x:v>            Transceiver</x:v>
      </x:c>
      <x:c r="I23" s="11" t="n">
        <x:f>IF(A23="","",IF(B23="",1,IF(COUNTIFS('Recipes'!$A$8:$A$207,D23)=1,VLOOKUP(D23,'Recipes'!$A$8:$F$207,4,FALSE),"")))</x:f>
        <x:v>2</x:v>
      </x:c>
      <x:c r="J23" s="11" t="n">
        <x:f>IF(A23="","",IF(ISBLANK(E23),I23,E23))</x:f>
        <x:v>2</x:v>
      </x:c>
      <x:c r="K23" s="11" t="n">
        <x:f>IF(A23="","",IF(NOT(ISNUMBER(J23)),"",IF(B23="",J23,IF(COUNTIFS($A$8:$A$22,B23)=1,IF(ISNUMBER(VLOOKUP(B23,$A$8:$N$22,11,FALSE)),J23*VLOOKUP(B23,$A$8:$N$22,11,FALSE),""),""))))</x:f>
        <x:v>8</x:v>
      </x:c>
      <x:c r="L23" s="9" t="str">
        <x:f>IF(A23="","",IF(B23="",F23,IF(COUNTIFS($A$8:$A$22,B23)=1,VLOOKUP(B23,$A$8:$N$22,12,FALSE),"")))</x:f>
        <x:v>Build</x:v>
      </x:c>
      <x:c r="M23" s="11" t="n">
        <x:f>IF(A23="","",IF(B23="",0,IF(COUNTIFS($A$8:$A$22,B23)=1,IF(ISNUMBER(VLOOKUP(B23,$A$8:$N$22,13,FALSE)),VLOOKUP(B23,$A$8:$N$22,13,FALSE)+1,""),"")))</x:f>
        <x:v>3</x:v>
      </x:c>
      <x:c r="N23" s="9" t="str">
        <x:f>IF(A23="","",IF(COUNTIFS('Layout'!$A$8:$A$207,A23)&lt;&gt;1,"Duplicate role",IF(AND(B23&lt;&gt;"",COUNTIFS($A$8:$A$22,B23)&lt;&gt;1),"Parent must appear above child",IF(COUNTIFS('Definitions'!$A$8:$A$207,G23)&lt;&gt;1,"Unknown / duplicate definition",IF(AND(B23="",OR(C23="",D23&lt;&gt;"",AND(F23&lt;&gt;"Build",F23&lt;&gt;"Spares"))),"Set root definition and purpose",IF(AND(B23&lt;&gt;"",COUNTIFS('Recipes'!$A$8:$A$207,D23)&lt;&gt;1),"Choose a unique recipe line",IF(AND(B23&lt;&gt;"",OR(C23&lt;&gt;"",F23&lt;&gt;"")),"Clear child root-only inputs",IF(AND(B23&lt;&gt;"",COUNTIFS($A$8:$A$22,B23)=1,COUNTIFS('Recipes'!$A$8:$A$207,D23)=1),IF(VLOOKUP(D23,'Recipes'!$A$8:$F$207,2,FALSE)&lt;&gt;VLOOKUP(B23,$A$8:$N$22,7,FALSE),"Recipe parent mismatch",IF(COUNTIFS($B$8:$B$207,B23,$D$8:$D$207,D23)&lt;&gt;1,"Duplicate child recipe",IF(OR(NOT(ISNUMBER(J23)),J23&lt;0,MOD(J23,1)&lt;&gt;0),"Set nonnegative whole qty",IF(COUNTIFS('Recipes'!$B$8:$B$207,G23)&lt;&gt;COUNTIFS($B$8:$B$207,A23,$D$8:$D$207,"&lt;&gt;",$A$8:$A$207,"&lt;&gt;"),"Missing / extra recipe children","OK")))),IF(OR(NOT(ISNUMBER(J23)),J23&lt;0,MOD(J23,1)&lt;&gt;0),"Set nonnegative whole qty",IF(COUNTIFS('Recipes'!$B$8:$B$207,G23)&lt;&gt;COUNTIFS($B$8:$B$207,A23,$D$8:$D$207,"&lt;&gt;",$A$8:$A$207,"&lt;&gt;"),"Missing / extra recipe children","OK"))))))))))</x:f>
        <x:v>OK</x:v>
      </x:c>
    </x:row>
    <x:row r="24" ht="22" customHeight="1">
      <x:c r="A24" s="10" t="str">
        <x:v>vccu2:switch1:links:fibre</x:v>
      </x:c>
      <x:c r="B24" s="10" t="str">
        <x:v>vccu2:switch1:links</x:v>
      </x:c>
      <x:c r="C24" s="10" t="str"/>
      <x:c r="D24" s="10" t="str">
        <x:v>R-LINK-FIB</x:v>
      </x:c>
      <x:c r="E24" s="12"/>
      <x:c r="F24" s="10" t="str"/>
      <x:c r="G24" s="9" t="str">
        <x:f>IF(A24="","",IF(B24="",C24,IF(COUNTIFS('Recipes'!$A$8:$A$207,D24)=1,VLOOKUP(D24,'Recipes'!$A$8:$F$207,3,FALSE),"")))</x:f>
        <x:v>P-FIBRE</x:v>
      </x:c>
      <x:c r="H24" s="9" t="str">
        <x:f>IF(A24="","",IF(COUNTIFS('Definitions'!$A$8:$A$207,G24)=1,REPT("    ",IF(ISNUMBER(M24),M24,0))&amp;VLOOKUP(G24,'Definitions'!$A$8:$J$207,2,FALSE),"Unknown definition"))</x:f>
        <x:v>            Fibre patch lead</x:v>
      </x:c>
      <x:c r="I24" s="11" t="n">
        <x:f>IF(A24="","",IF(B24="",1,IF(COUNTIFS('Recipes'!$A$8:$A$207,D24)=1,VLOOKUP(D24,'Recipes'!$A$8:$F$207,4,FALSE),"")))</x:f>
        <x:v>1</x:v>
      </x:c>
      <x:c r="J24" s="11" t="n">
        <x:f>IF(A24="","",IF(ISBLANK(E24),I24,E24))</x:f>
        <x:v>1</x:v>
      </x:c>
      <x:c r="K24" s="11" t="n">
        <x:f>IF(A24="","",IF(NOT(ISNUMBER(J24)),"",IF(B24="",J24,IF(COUNTIFS($A$8:$A$23,B24)=1,IF(ISNUMBER(VLOOKUP(B24,$A$8:$N$23,11,FALSE)),J24*VLOOKUP(B24,$A$8:$N$23,11,FALSE),""),""))))</x:f>
        <x:v>4</x:v>
      </x:c>
      <x:c r="L24" s="9" t="str">
        <x:f>IF(A24="","",IF(B24="",F24,IF(COUNTIFS($A$8:$A$23,B24)=1,VLOOKUP(B24,$A$8:$N$23,12,FALSE),"")))</x:f>
        <x:v>Build</x:v>
      </x:c>
      <x:c r="M24" s="11" t="n">
        <x:f>IF(A24="","",IF(B24="",0,IF(COUNTIFS($A$8:$A$23,B24)=1,IF(ISNUMBER(VLOOKUP(B24,$A$8:$N$23,13,FALSE)),VLOOKUP(B24,$A$8:$N$23,13,FALSE)+1,""),"")))</x:f>
        <x:v>3</x:v>
      </x:c>
      <x:c r="N24" s="9" t="str">
        <x:f>IF(A24="","",IF(COUNTIFS('Layout'!$A$8:$A$207,A24)&lt;&gt;1,"Duplicate role",IF(AND(B24&lt;&gt;"",COUNTIFS($A$8:$A$23,B24)&lt;&gt;1),"Parent must appear above child",IF(COUNTIFS('Definitions'!$A$8:$A$207,G24)&lt;&gt;1,"Unknown / duplicate definition",IF(AND(B24="",OR(C24="",D24&lt;&gt;"",AND(F24&lt;&gt;"Build",F24&lt;&gt;"Spares"))),"Set root definition and purpose",IF(AND(B24&lt;&gt;"",COUNTIFS('Recipes'!$A$8:$A$207,D24)&lt;&gt;1),"Choose a unique recipe line",IF(AND(B24&lt;&gt;"",OR(C24&lt;&gt;"",F24&lt;&gt;"")),"Clear child root-only inputs",IF(AND(B24&lt;&gt;"",COUNTIFS($A$8:$A$23,B24)=1,COUNTIFS('Recipes'!$A$8:$A$207,D24)=1),IF(VLOOKUP(D24,'Recipes'!$A$8:$F$207,2,FALSE)&lt;&gt;VLOOKUP(B24,$A$8:$N$23,7,FALSE),"Recipe parent mismatch",IF(COUNTIFS($B$8:$B$207,B24,$D$8:$D$207,D24)&lt;&gt;1,"Duplicate child recipe",IF(OR(NOT(ISNUMBER(J24)),J24&lt;0,MOD(J24,1)&lt;&gt;0),"Set nonnegative whole qty",IF(COUNTIFS('Recipes'!$B$8:$B$207,G24)&lt;&gt;COUNTIFS($B$8:$B$207,A24,$D$8:$D$207,"&lt;&gt;",$A$8:$A$207,"&lt;&gt;"),"Missing / extra recipe children","OK")))),IF(OR(NOT(ISNUMBER(J24)),J24&lt;0,MOD(J24,1)&lt;&gt;0),"Set nonnegative whole qty",IF(COUNTIFS('Recipes'!$B$8:$B$207,G24)&lt;&gt;COUNTIFS($B$8:$B$207,A24,$D$8:$D$207,"&lt;&gt;",$A$8:$A$207,"&lt;&gt;"),"Missing / extra recipe children","OK"))))))))))</x:f>
        <x:v>OK</x:v>
      </x:c>
    </x:row>
    <x:row r="25" ht="22" customHeight="1">
      <x:c r="A25" s="10" t="str">
        <x:v>vccu2:switch1:power</x:v>
      </x:c>
      <x:c r="B25" s="10" t="str">
        <x:v>vccu2:switch1</x:v>
      </x:c>
      <x:c r="C25" s="10" t="str"/>
      <x:c r="D25" s="10" t="str">
        <x:v>R-SW-POWER</x:v>
      </x:c>
      <x:c r="E25" s="12"/>
      <x:c r="F25" s="10" t="str"/>
      <x:c r="G25" s="9" t="str">
        <x:f>IF(A25="","",IF(B25="",C25,IF(COUNTIFS('Recipes'!$A$8:$A$207,D25)=1,VLOOKUP(D25,'Recipes'!$A$8:$F$207,3,FALSE),"")))</x:f>
        <x:v>P-POWER</x:v>
      </x:c>
      <x:c r="H25" s="9" t="str">
        <x:f>IF(A25="","",IF(COUNTIFS('Definitions'!$A$8:$A$207,G25)=1,REPT("    ",IF(ISNUMBER(M25),M25,0))&amp;VLOOKUP(G25,'Definitions'!$A$8:$J$207,2,FALSE),"Unknown definition"))</x:f>
        <x:v>        Power lead</x:v>
      </x:c>
      <x:c r="I25" s="11" t="n">
        <x:f>IF(A25="","",IF(B25="",1,IF(COUNTIFS('Recipes'!$A$8:$A$207,D25)=1,VLOOKUP(D25,'Recipes'!$A$8:$F$207,4,FALSE),"")))</x:f>
        <x:v>2</x:v>
      </x:c>
      <x:c r="J25" s="11" t="n">
        <x:f>IF(A25="","",IF(ISBLANK(E25),I25,E25))</x:f>
        <x:v>2</x:v>
      </x:c>
      <x:c r="K25" s="11" t="n">
        <x:f>IF(A25="","",IF(NOT(ISNUMBER(J25)),"",IF(B25="",J25,IF(COUNTIFS($A$8:$A$24,B25)=1,IF(ISNUMBER(VLOOKUP(B25,$A$8:$N$24,11,FALSE)),J25*VLOOKUP(B25,$A$8:$N$24,11,FALSE),""),""))))</x:f>
        <x:v>2</x:v>
      </x:c>
      <x:c r="L25" s="9" t="str">
        <x:f>IF(A25="","",IF(B25="",F25,IF(COUNTIFS($A$8:$A$24,B25)=1,VLOOKUP(B25,$A$8:$N$24,12,FALSE),"")))</x:f>
        <x:v>Build</x:v>
      </x:c>
      <x:c r="M25" s="11" t="n">
        <x:f>IF(A25="","",IF(B25="",0,IF(COUNTIFS($A$8:$A$24,B25)=1,IF(ISNUMBER(VLOOKUP(B25,$A$8:$N$24,13,FALSE)),VLOOKUP(B25,$A$8:$N$24,13,FALSE)+1,""),"")))</x:f>
        <x:v>2</x:v>
      </x:c>
      <x:c r="N25" s="9" t="str">
        <x:f>IF(A25="","",IF(COUNTIFS('Layout'!$A$8:$A$207,A25)&lt;&gt;1,"Duplicate role",IF(AND(B25&lt;&gt;"",COUNTIFS($A$8:$A$24,B25)&lt;&gt;1),"Parent must appear above child",IF(COUNTIFS('Definitions'!$A$8:$A$207,G25)&lt;&gt;1,"Unknown / duplicate definition",IF(AND(B25="",OR(C25="",D25&lt;&gt;"",AND(F25&lt;&gt;"Build",F25&lt;&gt;"Spares"))),"Set root definition and purpose",IF(AND(B25&lt;&gt;"",COUNTIFS('Recipes'!$A$8:$A$207,D25)&lt;&gt;1),"Choose a unique recipe line",IF(AND(B25&lt;&gt;"",OR(C25&lt;&gt;"",F25&lt;&gt;"")),"Clear child root-only inputs",IF(AND(B25&lt;&gt;"",COUNTIFS($A$8:$A$24,B25)=1,COUNTIFS('Recipes'!$A$8:$A$207,D25)=1),IF(VLOOKUP(D25,'Recipes'!$A$8:$F$207,2,FALSE)&lt;&gt;VLOOKUP(B25,$A$8:$N$24,7,FALSE),"Recipe parent mismatch",IF(COUNTIFS($B$8:$B$207,B25,$D$8:$D$207,D25)&lt;&gt;1,"Duplicate child recipe",IF(OR(NOT(ISNUMBER(J25)),J25&lt;0,MOD(J25,1)&lt;&gt;0),"Set nonnegative whole qty",IF(COUNTIFS('Recipes'!$B$8:$B$207,G25)&lt;&gt;COUNTIFS($B$8:$B$207,A25,$D$8:$D$207,"&lt;&gt;",$A$8:$A$207,"&lt;&gt;"),"Missing / extra recipe children","OK")))),IF(OR(NOT(ISNUMBER(J25)),J25&lt;0,MOD(J25,1)&lt;&gt;0),"Set nonnegative whole qty",IF(COUNTIFS('Recipes'!$B$8:$B$207,G25)&lt;&gt;COUNTIFS($B$8:$B$207,A25,$D$8:$D$207,"&lt;&gt;",$A$8:$A$207,"&lt;&gt;"),"Missing / extra recipe children","OK"))))))))))</x:f>
        <x:v>OK</x:v>
      </x:c>
    </x:row>
    <x:row r="26" ht="22" customHeight="1">
      <x:c r="A26" s="10" t="str">
        <x:v>vccu2:fhs1</x:v>
      </x:c>
      <x:c r="B26" s="10" t="str">
        <x:v>vccu2</x:v>
      </x:c>
      <x:c r="C26" s="10" t="str"/>
      <x:c r="D26" s="10" t="str">
        <x:v>R-V-FHS1</x:v>
      </x:c>
      <x:c r="E26" s="12"/>
      <x:c r="F26" s="10" t="str"/>
      <x:c r="G26" s="9" t="str">
        <x:f>IF(A26="","",IF(B26="",C26,IF(COUNTIFS('Recipes'!$A$8:$A$207,D26)=1,VLOOKUP(D26,'Recipes'!$A$8:$F$207,3,FALSE),"")))</x:f>
        <x:v>P-FHS</x:v>
      </x:c>
      <x:c r="H26" s="9" t="str">
        <x:f>IF(A26="","",IF(COUNTIFS('Definitions'!$A$8:$A$207,G26)=1,REPT("    ",IF(ISNUMBER(M26),M26,0))&amp;VLOOKUP(G26,'Definitions'!$A$8:$J$207,2,FALSE),"Unknown definition"))</x:f>
        <x:v>    FHS server</x:v>
      </x:c>
      <x:c r="I26" s="11" t="n">
        <x:f>IF(A26="","",IF(B26="",1,IF(COUNTIFS('Recipes'!$A$8:$A$207,D26)=1,VLOOKUP(D26,'Recipes'!$A$8:$F$207,4,FALSE),"")))</x:f>
        <x:v>1</x:v>
      </x:c>
      <x:c r="J26" s="11" t="n">
        <x:f>IF(A26="","",IF(ISBLANK(E26),I26,E26))</x:f>
        <x:v>1</x:v>
      </x:c>
      <x:c r="K26" s="11" t="n">
        <x:f>IF(A26="","",IF(NOT(ISNUMBER(J26)),"",IF(B26="",J26,IF(COUNTIFS($A$8:$A$25,B26)=1,IF(ISNUMBER(VLOOKUP(B26,$A$8:$N$25,11,FALSE)),J26*VLOOKUP(B26,$A$8:$N$25,11,FALSE),""),""))))</x:f>
        <x:v>1</x:v>
      </x:c>
      <x:c r="L26" s="9" t="str">
        <x:f>IF(A26="","",IF(B26="",F26,IF(COUNTIFS($A$8:$A$25,B26)=1,VLOOKUP(B26,$A$8:$N$25,12,FALSE),"")))</x:f>
        <x:v>Build</x:v>
      </x:c>
      <x:c r="M26" s="11" t="n">
        <x:f>IF(A26="","",IF(B26="",0,IF(COUNTIFS($A$8:$A$25,B26)=1,IF(ISNUMBER(VLOOKUP(B26,$A$8:$N$25,13,FALSE)),VLOOKUP(B26,$A$8:$N$25,13,FALSE)+1,""),"")))</x:f>
        <x:v>1</x:v>
      </x:c>
      <x:c r="N26" s="9" t="str">
        <x:f>IF(A26="","",IF(COUNTIFS('Layout'!$A$8:$A$207,A26)&lt;&gt;1,"Duplicate role",IF(AND(B26&lt;&gt;"",COUNTIFS($A$8:$A$25,B26)&lt;&gt;1),"Parent must appear above child",IF(COUNTIFS('Definitions'!$A$8:$A$207,G26)&lt;&gt;1,"Unknown / duplicate definition",IF(AND(B26="",OR(C26="",D26&lt;&gt;"",AND(F26&lt;&gt;"Build",F26&lt;&gt;"Spares"))),"Set root definition and purpose",IF(AND(B26&lt;&gt;"",COUNTIFS('Recipes'!$A$8:$A$207,D26)&lt;&gt;1),"Choose a unique recipe line",IF(AND(B26&lt;&gt;"",OR(C26&lt;&gt;"",F26&lt;&gt;"")),"Clear child root-only inputs",IF(AND(B26&lt;&gt;"",COUNTIFS($A$8:$A$25,B26)=1,COUNTIFS('Recipes'!$A$8:$A$207,D26)=1),IF(VLOOKUP(D26,'Recipes'!$A$8:$F$207,2,FALSE)&lt;&gt;VLOOKUP(B26,$A$8:$N$25,7,FALSE),"Recipe parent mismatch",IF(COUNTIFS($B$8:$B$207,B26,$D$8:$D$207,D26)&lt;&gt;1,"Duplicate child recipe",IF(OR(NOT(ISNUMBER(J26)),J26&lt;0,MOD(J26,1)&lt;&gt;0),"Set nonnegative whole qty",IF(COUNTIFS('Recipes'!$B$8:$B$207,G26)&lt;&gt;COUNTIFS($B$8:$B$207,A26,$D$8:$D$207,"&lt;&gt;",$A$8:$A$207,"&lt;&gt;"),"Missing / extra recipe children","OK")))),IF(OR(NOT(ISNUMBER(J26)),J26&lt;0,MOD(J26,1)&lt;&gt;0),"Set nonnegative whole qty",IF(COUNTIFS('Recipes'!$B$8:$B$207,G26)&lt;&gt;COUNTIFS($B$8:$B$207,A26,$D$8:$D$207,"&lt;&gt;",$A$8:$A$207,"&lt;&gt;"),"Missing / extra recipe children","OK"))))))))))</x:f>
        <x:v>OK</x:v>
      </x:c>
    </x:row>
    <x:row r="27" ht="22" customHeight="1">
      <x:c r="A27" s="10" t="str">
        <x:v>vccu2:fhs1:power</x:v>
      </x:c>
      <x:c r="B27" s="10" t="str">
        <x:v>vccu2:fhs1</x:v>
      </x:c>
      <x:c r="C27" s="10" t="str"/>
      <x:c r="D27" s="10" t="str">
        <x:v>R-FHS-POWER</x:v>
      </x:c>
      <x:c r="E27" s="12"/>
      <x:c r="F27" s="10" t="str"/>
      <x:c r="G27" s="9" t="str">
        <x:f>IF(A27="","",IF(B27="",C27,IF(COUNTIFS('Recipes'!$A$8:$A$207,D27)=1,VLOOKUP(D27,'Recipes'!$A$8:$F$207,3,FALSE),"")))</x:f>
        <x:v>P-POWER</x:v>
      </x:c>
      <x:c r="H27" s="9" t="str">
        <x:f>IF(A27="","",IF(COUNTIFS('Definitions'!$A$8:$A$207,G27)=1,REPT("    ",IF(ISNUMBER(M27),M27,0))&amp;VLOOKUP(G27,'Definitions'!$A$8:$J$207,2,FALSE),"Unknown definition"))</x:f>
        <x:v>        Power lead</x:v>
      </x:c>
      <x:c r="I27" s="11" t="n">
        <x:f>IF(A27="","",IF(B27="",1,IF(COUNTIFS('Recipes'!$A$8:$A$207,D27)=1,VLOOKUP(D27,'Recipes'!$A$8:$F$207,4,FALSE),"")))</x:f>
        <x:v>2</x:v>
      </x:c>
      <x:c r="J27" s="11" t="n">
        <x:f>IF(A27="","",IF(ISBLANK(E27),I27,E27))</x:f>
        <x:v>2</x:v>
      </x:c>
      <x:c r="K27" s="11" t="n">
        <x:f>IF(A27="","",IF(NOT(ISNUMBER(J27)),"",IF(B27="",J27,IF(COUNTIFS($A$8:$A$26,B27)=1,IF(ISNUMBER(VLOOKUP(B27,$A$8:$N$26,11,FALSE)),J27*VLOOKUP(B27,$A$8:$N$26,11,FALSE),""),""))))</x:f>
        <x:v>2</x:v>
      </x:c>
      <x:c r="L27" s="9" t="str">
        <x:f>IF(A27="","",IF(B27="",F27,IF(COUNTIFS($A$8:$A$26,B27)=1,VLOOKUP(B27,$A$8:$N$26,12,FALSE),"")))</x:f>
        <x:v>Build</x:v>
      </x:c>
      <x:c r="M27" s="11" t="n">
        <x:f>IF(A27="","",IF(B27="",0,IF(COUNTIFS($A$8:$A$26,B27)=1,IF(ISNUMBER(VLOOKUP(B27,$A$8:$N$26,13,FALSE)),VLOOKUP(B27,$A$8:$N$26,13,FALSE)+1,""),"")))</x:f>
        <x:v>2</x:v>
      </x:c>
      <x:c r="N27" s="9" t="str">
        <x:f>IF(A27="","",IF(COUNTIFS('Layout'!$A$8:$A$207,A27)&lt;&gt;1,"Duplicate role",IF(AND(B27&lt;&gt;"",COUNTIFS($A$8:$A$26,B27)&lt;&gt;1),"Parent must appear above child",IF(COUNTIFS('Definitions'!$A$8:$A$207,G27)&lt;&gt;1,"Unknown / duplicate definition",IF(AND(B27="",OR(C27="",D27&lt;&gt;"",AND(F27&lt;&gt;"Build",F27&lt;&gt;"Spares"))),"Set root definition and purpose",IF(AND(B27&lt;&gt;"",COUNTIFS('Recipes'!$A$8:$A$207,D27)&lt;&gt;1),"Choose a unique recipe line",IF(AND(B27&lt;&gt;"",OR(C27&lt;&gt;"",F27&lt;&gt;"")),"Clear child root-only inputs",IF(AND(B27&lt;&gt;"",COUNTIFS($A$8:$A$26,B27)=1,COUNTIFS('Recipes'!$A$8:$A$207,D27)=1),IF(VLOOKUP(D27,'Recipes'!$A$8:$F$207,2,FALSE)&lt;&gt;VLOOKUP(B27,$A$8:$N$26,7,FALSE),"Recipe parent mismatch",IF(COUNTIFS($B$8:$B$207,B27,$D$8:$D$207,D27)&lt;&gt;1,"Duplicate child recipe",IF(OR(NOT(ISNUMBER(J27)),J27&lt;0,MOD(J27,1)&lt;&gt;0),"Set nonnegative whole qty",IF(COUNTIFS('Recipes'!$B$8:$B$207,G27)&lt;&gt;COUNTIFS($B$8:$B$207,A27,$D$8:$D$207,"&lt;&gt;",$A$8:$A$207,"&lt;&gt;"),"Missing / extra recipe children","OK")))),IF(OR(NOT(ISNUMBER(J27)),J27&lt;0,MOD(J27,1)&lt;&gt;0),"Set nonnegative whole qty",IF(COUNTIFS('Recipes'!$B$8:$B$207,G27)&lt;&gt;COUNTIFS($B$8:$B$207,A27,$D$8:$D$207,"&lt;&gt;",$A$8:$A$207,"&lt;&gt;"),"Missing / extra recipe children","OK"))))))))))</x:f>
        <x:v>OK</x:v>
      </x:c>
    </x:row>
    <x:row r="28" ht="22" customHeight="1">
      <x:c r="A28" s="10" t="str">
        <x:v>vccu2:fhs1:rails</x:v>
      </x:c>
      <x:c r="B28" s="10" t="str">
        <x:v>vccu2:fhs1</x:v>
      </x:c>
      <x:c r="C28" s="10" t="str"/>
      <x:c r="D28" s="10" t="str">
        <x:v>R-FHS-RAILS</x:v>
      </x:c>
      <x:c r="E28" s="12"/>
      <x:c r="F28" s="10" t="str"/>
      <x:c r="G28" s="9" t="str">
        <x:f>IF(A28="","",IF(B28="",C28,IF(COUNTIFS('Recipes'!$A$8:$A$207,D28)=1,VLOOKUP(D28,'Recipes'!$A$8:$F$207,3,FALSE),"")))</x:f>
        <x:v>P-RAILS</x:v>
      </x:c>
      <x:c r="H28" s="9" t="str">
        <x:f>IF(A28="","",IF(COUNTIFS('Definitions'!$A$8:$A$207,G28)=1,REPT("    ",IF(ISNUMBER(M28),M28,0))&amp;VLOOKUP(G28,'Definitions'!$A$8:$J$207,2,FALSE),"Unknown definition"))</x:f>
        <x:v>        Rack rail kit</x:v>
      </x:c>
      <x:c r="I28" s="11" t="n">
        <x:f>IF(A28="","",IF(B28="",1,IF(COUNTIFS('Recipes'!$A$8:$A$207,D28)=1,VLOOKUP(D28,'Recipes'!$A$8:$F$207,4,FALSE),"")))</x:f>
        <x:v>1</x:v>
      </x:c>
      <x:c r="J28" s="11" t="n">
        <x:f>IF(A28="","",IF(ISBLANK(E28),I28,E28))</x:f>
        <x:v>1</x:v>
      </x:c>
      <x:c r="K28" s="11" t="n">
        <x:f>IF(A28="","",IF(NOT(ISNUMBER(J28)),"",IF(B28="",J28,IF(COUNTIFS($A$8:$A$27,B28)=1,IF(ISNUMBER(VLOOKUP(B28,$A$8:$N$27,11,FALSE)),J28*VLOOKUP(B28,$A$8:$N$27,11,FALSE),""),""))))</x:f>
        <x:v>1</x:v>
      </x:c>
      <x:c r="L28" s="9" t="str">
        <x:f>IF(A28="","",IF(B28="",F28,IF(COUNTIFS($A$8:$A$27,B28)=1,VLOOKUP(B28,$A$8:$N$27,12,FALSE),"")))</x:f>
        <x:v>Build</x:v>
      </x:c>
      <x:c r="M28" s="11" t="n">
        <x:f>IF(A28="","",IF(B28="",0,IF(COUNTIFS($A$8:$A$27,B28)=1,IF(ISNUMBER(VLOOKUP(B28,$A$8:$N$27,13,FALSE)),VLOOKUP(B28,$A$8:$N$27,13,FALSE)+1,""),"")))</x:f>
        <x:v>2</x:v>
      </x:c>
      <x:c r="N28" s="9" t="str">
        <x:f>IF(A28="","",IF(COUNTIFS('Layout'!$A$8:$A$207,A28)&lt;&gt;1,"Duplicate role",IF(AND(B28&lt;&gt;"",COUNTIFS($A$8:$A$27,B28)&lt;&gt;1),"Parent must appear above child",IF(COUNTIFS('Definitions'!$A$8:$A$207,G28)&lt;&gt;1,"Unknown / duplicate definition",IF(AND(B28="",OR(C28="",D28&lt;&gt;"",AND(F28&lt;&gt;"Build",F28&lt;&gt;"Spares"))),"Set root definition and purpose",IF(AND(B28&lt;&gt;"",COUNTIFS('Recipes'!$A$8:$A$207,D28)&lt;&gt;1),"Choose a unique recipe line",IF(AND(B28&lt;&gt;"",OR(C28&lt;&gt;"",F28&lt;&gt;"")),"Clear child root-only inputs",IF(AND(B28&lt;&gt;"",COUNTIFS($A$8:$A$27,B28)=1,COUNTIFS('Recipes'!$A$8:$A$207,D28)=1),IF(VLOOKUP(D28,'Recipes'!$A$8:$F$207,2,FALSE)&lt;&gt;VLOOKUP(B28,$A$8:$N$27,7,FALSE),"Recipe parent mismatch",IF(COUNTIFS($B$8:$B$207,B28,$D$8:$D$207,D28)&lt;&gt;1,"Duplicate child recipe",IF(OR(NOT(ISNUMBER(J28)),J28&lt;0,MOD(J28,1)&lt;&gt;0),"Set nonnegative whole qty",IF(COUNTIFS('Recipes'!$B$8:$B$207,G28)&lt;&gt;COUNTIFS($B$8:$B$207,A28,$D$8:$D$207,"&lt;&gt;",$A$8:$A$207,"&lt;&gt;"),"Missing / extra recipe children","OK")))),IF(OR(NOT(ISNUMBER(J28)),J28&lt;0,MOD(J28,1)&lt;&gt;0),"Set nonnegative whole qty",IF(COUNTIFS('Recipes'!$B$8:$B$207,G28)&lt;&gt;COUNTIFS($B$8:$B$207,A28,$D$8:$D$207,"&lt;&gt;",$A$8:$A$207,"&lt;&gt;"),"Missing / extra recipe children","OK"))))))))))</x:f>
        <x:v>OK</x:v>
      </x:c>
    </x:row>
    <x:row r="29" ht="22" customHeight="1">
      <x:c r="A29" s="10" t="str">
        <x:v>vccu2:fhs2</x:v>
      </x:c>
      <x:c r="B29" s="10" t="str">
        <x:v>vccu2</x:v>
      </x:c>
      <x:c r="C29" s="10" t="str"/>
      <x:c r="D29" s="10" t="str">
        <x:v>R-V-FHS2</x:v>
      </x:c>
      <x:c r="E29" s="12"/>
      <x:c r="F29" s="10" t="str"/>
      <x:c r="G29" s="9" t="str">
        <x:f>IF(A29="","",IF(B29="",C29,IF(COUNTIFS('Recipes'!$A$8:$A$207,D29)=1,VLOOKUP(D29,'Recipes'!$A$8:$F$207,3,FALSE),"")))</x:f>
        <x:v>P-FHS</x:v>
      </x:c>
      <x:c r="H29" s="9" t="str">
        <x:f>IF(A29="","",IF(COUNTIFS('Definitions'!$A$8:$A$207,G29)=1,REPT("    ",IF(ISNUMBER(M29),M29,0))&amp;VLOOKUP(G29,'Definitions'!$A$8:$J$207,2,FALSE),"Unknown definition"))</x:f>
        <x:v>    FHS server</x:v>
      </x:c>
      <x:c r="I29" s="11" t="n">
        <x:f>IF(A29="","",IF(B29="",1,IF(COUNTIFS('Recipes'!$A$8:$A$207,D29)=1,VLOOKUP(D29,'Recipes'!$A$8:$F$207,4,FALSE),"")))</x:f>
        <x:v>1</x:v>
      </x:c>
      <x:c r="J29" s="11" t="n">
        <x:f>IF(A29="","",IF(ISBLANK(E29),I29,E29))</x:f>
        <x:v>1</x:v>
      </x:c>
      <x:c r="K29" s="11" t="n">
        <x:f>IF(A29="","",IF(NOT(ISNUMBER(J29)),"",IF(B29="",J29,IF(COUNTIFS($A$8:$A$28,B29)=1,IF(ISNUMBER(VLOOKUP(B29,$A$8:$N$28,11,FALSE)),J29*VLOOKUP(B29,$A$8:$N$28,11,FALSE),""),""))))</x:f>
        <x:v>1</x:v>
      </x:c>
      <x:c r="L29" s="9" t="str">
        <x:f>IF(A29="","",IF(B29="",F29,IF(COUNTIFS($A$8:$A$28,B29)=1,VLOOKUP(B29,$A$8:$N$28,12,FALSE),"")))</x:f>
        <x:v>Build</x:v>
      </x:c>
      <x:c r="M29" s="11" t="n">
        <x:f>IF(A29="","",IF(B29="",0,IF(COUNTIFS($A$8:$A$28,B29)=1,IF(ISNUMBER(VLOOKUP(B29,$A$8:$N$28,13,FALSE)),VLOOKUP(B29,$A$8:$N$28,13,FALSE)+1,""),"")))</x:f>
        <x:v>1</x:v>
      </x:c>
      <x:c r="N29" s="9" t="str">
        <x:f>IF(A29="","",IF(COUNTIFS('Layout'!$A$8:$A$207,A29)&lt;&gt;1,"Duplicate role",IF(AND(B29&lt;&gt;"",COUNTIFS($A$8:$A$28,B29)&lt;&gt;1),"Parent must appear above child",IF(COUNTIFS('Definitions'!$A$8:$A$207,G29)&lt;&gt;1,"Unknown / duplicate definition",IF(AND(B29="",OR(C29="",D29&lt;&gt;"",AND(F29&lt;&gt;"Build",F29&lt;&gt;"Spares"))),"Set root definition and purpose",IF(AND(B29&lt;&gt;"",COUNTIFS('Recipes'!$A$8:$A$207,D29)&lt;&gt;1),"Choose a unique recipe line",IF(AND(B29&lt;&gt;"",OR(C29&lt;&gt;"",F29&lt;&gt;"")),"Clear child root-only inputs",IF(AND(B29&lt;&gt;"",COUNTIFS($A$8:$A$28,B29)=1,COUNTIFS('Recipes'!$A$8:$A$207,D29)=1),IF(VLOOKUP(D29,'Recipes'!$A$8:$F$207,2,FALSE)&lt;&gt;VLOOKUP(B29,$A$8:$N$28,7,FALSE),"Recipe parent mismatch",IF(COUNTIFS($B$8:$B$207,B29,$D$8:$D$207,D29)&lt;&gt;1,"Duplicate child recipe",IF(OR(NOT(ISNUMBER(J29)),J29&lt;0,MOD(J29,1)&lt;&gt;0),"Set nonnegative whole qty",IF(COUNTIFS('Recipes'!$B$8:$B$207,G29)&lt;&gt;COUNTIFS($B$8:$B$207,A29,$D$8:$D$207,"&lt;&gt;",$A$8:$A$207,"&lt;&gt;"),"Missing / extra recipe children","OK")))),IF(OR(NOT(ISNUMBER(J29)),J29&lt;0,MOD(J29,1)&lt;&gt;0),"Set nonnegative whole qty",IF(COUNTIFS('Recipes'!$B$8:$B$207,G29)&lt;&gt;COUNTIFS($B$8:$B$207,A29,$D$8:$D$207,"&lt;&gt;",$A$8:$A$207,"&lt;&gt;"),"Missing / extra recipe children","OK"))))))))))</x:f>
        <x:v>OK</x:v>
      </x:c>
    </x:row>
    <x:row r="30" ht="22" customHeight="1">
      <x:c r="A30" s="10" t="str">
        <x:v>vccu2:fhs2:power</x:v>
      </x:c>
      <x:c r="B30" s="10" t="str">
        <x:v>vccu2:fhs2</x:v>
      </x:c>
      <x:c r="C30" s="10" t="str"/>
      <x:c r="D30" s="10" t="str">
        <x:v>R-FHS-POWER</x:v>
      </x:c>
      <x:c r="E30" s="12"/>
      <x:c r="F30" s="10" t="str"/>
      <x:c r="G30" s="9" t="str">
        <x:f>IF(A30="","",IF(B30="",C30,IF(COUNTIFS('Recipes'!$A$8:$A$207,D30)=1,VLOOKUP(D30,'Recipes'!$A$8:$F$207,3,FALSE),"")))</x:f>
        <x:v>P-POWER</x:v>
      </x:c>
      <x:c r="H30" s="9" t="str">
        <x:f>IF(A30="","",IF(COUNTIFS('Definitions'!$A$8:$A$207,G30)=1,REPT("    ",IF(ISNUMBER(M30),M30,0))&amp;VLOOKUP(G30,'Definitions'!$A$8:$J$207,2,FALSE),"Unknown definition"))</x:f>
        <x:v>        Power lead</x:v>
      </x:c>
      <x:c r="I30" s="11" t="n">
        <x:f>IF(A30="","",IF(B30="",1,IF(COUNTIFS('Recipes'!$A$8:$A$207,D30)=1,VLOOKUP(D30,'Recipes'!$A$8:$F$207,4,FALSE),"")))</x:f>
        <x:v>2</x:v>
      </x:c>
      <x:c r="J30" s="11" t="n">
        <x:f>IF(A30="","",IF(ISBLANK(E30),I30,E30))</x:f>
        <x:v>2</x:v>
      </x:c>
      <x:c r="K30" s="11" t="n">
        <x:f>IF(A30="","",IF(NOT(ISNUMBER(J30)),"",IF(B30="",J30,IF(COUNTIFS($A$8:$A$29,B30)=1,IF(ISNUMBER(VLOOKUP(B30,$A$8:$N$29,11,FALSE)),J30*VLOOKUP(B30,$A$8:$N$29,11,FALSE),""),""))))</x:f>
        <x:v>2</x:v>
      </x:c>
      <x:c r="L30" s="9" t="str">
        <x:f>IF(A30="","",IF(B30="",F30,IF(COUNTIFS($A$8:$A$29,B30)=1,VLOOKUP(B30,$A$8:$N$29,12,FALSE),"")))</x:f>
        <x:v>Build</x:v>
      </x:c>
      <x:c r="M30" s="11" t="n">
        <x:f>IF(A30="","",IF(B30="",0,IF(COUNTIFS($A$8:$A$29,B30)=1,IF(ISNUMBER(VLOOKUP(B30,$A$8:$N$29,13,FALSE)),VLOOKUP(B30,$A$8:$N$29,13,FALSE)+1,""),"")))</x:f>
        <x:v>2</x:v>
      </x:c>
      <x:c r="N30" s="9" t="str">
        <x:f>IF(A30="","",IF(COUNTIFS('Layout'!$A$8:$A$207,A30)&lt;&gt;1,"Duplicate role",IF(AND(B30&lt;&gt;"",COUNTIFS($A$8:$A$29,B30)&lt;&gt;1),"Parent must appear above child",IF(COUNTIFS('Definitions'!$A$8:$A$207,G30)&lt;&gt;1,"Unknown / duplicate definition",IF(AND(B30="",OR(C30="",D30&lt;&gt;"",AND(F30&lt;&gt;"Build",F30&lt;&gt;"Spares"))),"Set root definition and purpose",IF(AND(B30&lt;&gt;"",COUNTIFS('Recipes'!$A$8:$A$207,D30)&lt;&gt;1),"Choose a unique recipe line",IF(AND(B30&lt;&gt;"",OR(C30&lt;&gt;"",F30&lt;&gt;"")),"Clear child root-only inputs",IF(AND(B30&lt;&gt;"",COUNTIFS($A$8:$A$29,B30)=1,COUNTIFS('Recipes'!$A$8:$A$207,D30)=1),IF(VLOOKUP(D30,'Recipes'!$A$8:$F$207,2,FALSE)&lt;&gt;VLOOKUP(B30,$A$8:$N$29,7,FALSE),"Recipe parent mismatch",IF(COUNTIFS($B$8:$B$207,B30,$D$8:$D$207,D30)&lt;&gt;1,"Duplicate child recipe",IF(OR(NOT(ISNUMBER(J30)),J30&lt;0,MOD(J30,1)&lt;&gt;0),"Set nonnegative whole qty",IF(COUNTIFS('Recipes'!$B$8:$B$207,G30)&lt;&gt;COUNTIFS($B$8:$B$207,A30,$D$8:$D$207,"&lt;&gt;",$A$8:$A$207,"&lt;&gt;"),"Missing / extra recipe children","OK")))),IF(OR(NOT(ISNUMBER(J30)),J30&lt;0,MOD(J30,1)&lt;&gt;0),"Set nonnegative whole qty",IF(COUNTIFS('Recipes'!$B$8:$B$207,G30)&lt;&gt;COUNTIFS($B$8:$B$207,A30,$D$8:$D$207,"&lt;&gt;",$A$8:$A$207,"&lt;&gt;"),"Missing / extra recipe children","OK"))))))))))</x:f>
        <x:v>OK</x:v>
      </x:c>
    </x:row>
    <x:row r="31" ht="22" customHeight="1">
      <x:c r="A31" s="10" t="str">
        <x:v>vccu2:fhs2:rails</x:v>
      </x:c>
      <x:c r="B31" s="10" t="str">
        <x:v>vccu2:fhs2</x:v>
      </x:c>
      <x:c r="C31" s="10" t="str"/>
      <x:c r="D31" s="10" t="str">
        <x:v>R-FHS-RAILS</x:v>
      </x:c>
      <x:c r="E31" s="12"/>
      <x:c r="F31" s="10" t="str"/>
      <x:c r="G31" s="9" t="str">
        <x:f>IF(A31="","",IF(B31="",C31,IF(COUNTIFS('Recipes'!$A$8:$A$207,D31)=1,VLOOKUP(D31,'Recipes'!$A$8:$F$207,3,FALSE),"")))</x:f>
        <x:v>P-RAILS</x:v>
      </x:c>
      <x:c r="H31" s="9" t="str">
        <x:f>IF(A31="","",IF(COUNTIFS('Definitions'!$A$8:$A$207,G31)=1,REPT("    ",IF(ISNUMBER(M31),M31,0))&amp;VLOOKUP(G31,'Definitions'!$A$8:$J$207,2,FALSE),"Unknown definition"))</x:f>
        <x:v>        Rack rail kit</x:v>
      </x:c>
      <x:c r="I31" s="11" t="n">
        <x:f>IF(A31="","",IF(B31="",1,IF(COUNTIFS('Recipes'!$A$8:$A$207,D31)=1,VLOOKUP(D31,'Recipes'!$A$8:$F$207,4,FALSE),"")))</x:f>
        <x:v>1</x:v>
      </x:c>
      <x:c r="J31" s="11" t="n">
        <x:f>IF(A31="","",IF(ISBLANK(E31),I31,E31))</x:f>
        <x:v>1</x:v>
      </x:c>
      <x:c r="K31" s="11" t="n">
        <x:f>IF(A31="","",IF(NOT(ISNUMBER(J31)),"",IF(B31="",J31,IF(COUNTIFS($A$8:$A$30,B31)=1,IF(ISNUMBER(VLOOKUP(B31,$A$8:$N$30,11,FALSE)),J31*VLOOKUP(B31,$A$8:$N$30,11,FALSE),""),""))))</x:f>
        <x:v>1</x:v>
      </x:c>
      <x:c r="L31" s="9" t="str">
        <x:f>IF(A31="","",IF(B31="",F31,IF(COUNTIFS($A$8:$A$30,B31)=1,VLOOKUP(B31,$A$8:$N$30,12,FALSE),"")))</x:f>
        <x:v>Build</x:v>
      </x:c>
      <x:c r="M31" s="11" t="n">
        <x:f>IF(A31="","",IF(B31="",0,IF(COUNTIFS($A$8:$A$30,B31)=1,IF(ISNUMBER(VLOOKUP(B31,$A$8:$N$30,13,FALSE)),VLOOKUP(B31,$A$8:$N$30,13,FALSE)+1,""),"")))</x:f>
        <x:v>2</x:v>
      </x:c>
      <x:c r="N31" s="9" t="str">
        <x:f>IF(A31="","",IF(COUNTIFS('Layout'!$A$8:$A$207,A31)&lt;&gt;1,"Duplicate role",IF(AND(B31&lt;&gt;"",COUNTIFS($A$8:$A$30,B31)&lt;&gt;1),"Parent must appear above child",IF(COUNTIFS('Definitions'!$A$8:$A$207,G31)&lt;&gt;1,"Unknown / duplicate definition",IF(AND(B31="",OR(C31="",D31&lt;&gt;"",AND(F31&lt;&gt;"Build",F31&lt;&gt;"Spares"))),"Set root definition and purpose",IF(AND(B31&lt;&gt;"",COUNTIFS('Recipes'!$A$8:$A$207,D31)&lt;&gt;1),"Choose a unique recipe line",IF(AND(B31&lt;&gt;"",OR(C31&lt;&gt;"",F31&lt;&gt;"")),"Clear child root-only inputs",IF(AND(B31&lt;&gt;"",COUNTIFS($A$8:$A$30,B31)=1,COUNTIFS('Recipes'!$A$8:$A$207,D31)=1),IF(VLOOKUP(D31,'Recipes'!$A$8:$F$207,2,FALSE)&lt;&gt;VLOOKUP(B31,$A$8:$N$30,7,FALSE),"Recipe parent mismatch",IF(COUNTIFS($B$8:$B$207,B31,$D$8:$D$207,D31)&lt;&gt;1,"Duplicate child recipe",IF(OR(NOT(ISNUMBER(J31)),J31&lt;0,MOD(J31,1)&lt;&gt;0),"Set nonnegative whole qty",IF(COUNTIFS('Recipes'!$B$8:$B$207,G31)&lt;&gt;COUNTIFS($B$8:$B$207,A31,$D$8:$D$207,"&lt;&gt;",$A$8:$A$207,"&lt;&gt;"),"Missing / extra recipe children","OK")))),IF(OR(NOT(ISNUMBER(J31)),J31&lt;0,MOD(J31,1)&lt;&gt;0),"Set nonnegative whole qty",IF(COUNTIFS('Recipes'!$B$8:$B$207,G31)&lt;&gt;COUNTIFS($B$8:$B$207,A31,$D$8:$D$207,"&lt;&gt;",$A$8:$A$207,"&lt;&gt;"),"Missing / extra recipe children","OK"))))))))))</x:f>
        <x:v>OK</x:v>
      </x:c>
    </x:row>
    <x:row r="32" ht="22" customHeight="1">
      <x:c r="A32" s="10" t="str">
        <x:v>meshbox1</x:v>
      </x:c>
      <x:c r="B32" s="10" t="str"/>
      <x:c r="C32" s="10" t="str">
        <x:v>P-MESH</x:v>
      </x:c>
      <x:c r="D32" s="10" t="str"/>
      <x:c r="E32" s="12"/>
      <x:c r="F32" s="10" t="str">
        <x:v>Build</x:v>
      </x:c>
      <x:c r="G32" s="9" t="str">
        <x:f>IF(A32="","",IF(B32="",C32,IF(COUNTIFS('Recipes'!$A$8:$A$207,D32)=1,VLOOKUP(D32,'Recipes'!$A$8:$F$207,3,FALSE),"")))</x:f>
        <x:v>P-MESH</x:v>
      </x:c>
      <x:c r="H32" s="9" t="str">
        <x:f>IF(A32="","",IF(COUNTIFS('Definitions'!$A$8:$A$207,G32)=1,REPT("    ",IF(ISNUMBER(M32),M32,0))&amp;VLOOKUP(G32,'Definitions'!$A$8:$J$207,2,FALSE),"Unknown definition"))</x:f>
        <x:v>Mesh box</x:v>
      </x:c>
      <x:c r="I32" s="11" t="n">
        <x:f>IF(A32="","",IF(B32="",1,IF(COUNTIFS('Recipes'!$A$8:$A$207,D32)=1,VLOOKUP(D32,'Recipes'!$A$8:$F$207,4,FALSE),"")))</x:f>
        <x:v>1</x:v>
      </x:c>
      <x:c r="J32" s="11" t="n">
        <x:f>IF(A32="","",IF(ISBLANK(E32),I32,E32))</x:f>
        <x:v>1</x:v>
      </x:c>
      <x:c r="K32" s="11" t="n">
        <x:f>IF(A32="","",IF(NOT(ISNUMBER(J32)),"",IF(B32="",J32,IF(COUNTIFS($A$8:$A$31,B32)=1,IF(ISNUMBER(VLOOKUP(B32,$A$8:$N$31,11,FALSE)),J32*VLOOKUP(B32,$A$8:$N$31,11,FALSE),""),""))))</x:f>
        <x:v>1</x:v>
      </x:c>
      <x:c r="L32" s="9" t="str">
        <x:f>IF(A32="","",IF(B32="",F32,IF(COUNTIFS($A$8:$A$31,B32)=1,VLOOKUP(B32,$A$8:$N$31,12,FALSE),"")))</x:f>
        <x:v>Build</x:v>
      </x:c>
      <x:c r="M32" s="11" t="n">
        <x:f>IF(A32="","",IF(B32="",0,IF(COUNTIFS($A$8:$A$31,B32)=1,IF(ISNUMBER(VLOOKUP(B32,$A$8:$N$31,13,FALSE)),VLOOKUP(B32,$A$8:$N$31,13,FALSE)+1,""),"")))</x:f>
        <x:v>0</x:v>
      </x:c>
      <x:c r="N32" s="9" t="str">
        <x:f>IF(A32="","",IF(COUNTIFS('Layout'!$A$8:$A$207,A32)&lt;&gt;1,"Duplicate role",IF(AND(B32&lt;&gt;"",COUNTIFS($A$8:$A$31,B32)&lt;&gt;1),"Parent must appear above child",IF(COUNTIFS('Definitions'!$A$8:$A$207,G32)&lt;&gt;1,"Unknown / duplicate definition",IF(AND(B32="",OR(C32="",D32&lt;&gt;"",AND(F32&lt;&gt;"Build",F32&lt;&gt;"Spares"))),"Set root definition and purpose",IF(AND(B32&lt;&gt;"",COUNTIFS('Recipes'!$A$8:$A$207,D32)&lt;&gt;1),"Choose a unique recipe line",IF(AND(B32&lt;&gt;"",OR(C32&lt;&gt;"",F32&lt;&gt;"")),"Clear child root-only inputs",IF(AND(B32&lt;&gt;"",COUNTIFS($A$8:$A$31,B32)=1,COUNTIFS('Recipes'!$A$8:$A$207,D32)=1),IF(VLOOKUP(D32,'Recipes'!$A$8:$F$207,2,FALSE)&lt;&gt;VLOOKUP(B32,$A$8:$N$31,7,FALSE),"Recipe parent mismatch",IF(COUNTIFS($B$8:$B$207,B32,$D$8:$D$207,D32)&lt;&gt;1,"Duplicate child recipe",IF(OR(NOT(ISNUMBER(J32)),J32&lt;0,MOD(J32,1)&lt;&gt;0),"Set nonnegative whole qty",IF(COUNTIFS('Recipes'!$B$8:$B$207,G32)&lt;&gt;COUNTIFS($B$8:$B$207,A32,$D$8:$D$207,"&lt;&gt;",$A$8:$A$207,"&lt;&gt;"),"Missing / extra recipe children","OK")))),IF(OR(NOT(ISNUMBER(J32)),J32&lt;0,MOD(J32,1)&lt;&gt;0),"Set nonnegative whole qty",IF(COUNTIFS('Recipes'!$B$8:$B$207,G32)&lt;&gt;COUNTIFS($B$8:$B$207,A32,$D$8:$D$207,"&lt;&gt;",$A$8:$A$207,"&lt;&gt;"),"Missing / extra recipe children","OK"))))))))))</x:f>
        <x:v>OK</x:v>
      </x:c>
    </x:row>
    <x:row r="33" ht="22" customHeight="1">
      <x:c r="A33" s="10" t="str">
        <x:v>meshbox1:rails</x:v>
      </x:c>
      <x:c r="B33" s="10" t="str">
        <x:v>meshbox1</x:v>
      </x:c>
      <x:c r="C33" s="10" t="str"/>
      <x:c r="D33" s="10" t="str">
        <x:v>R-MESH-RAILS</x:v>
      </x:c>
      <x:c r="E33" s="12"/>
      <x:c r="F33" s="10" t="str"/>
      <x:c r="G33" s="9" t="str">
        <x:f>IF(A33="","",IF(B33="",C33,IF(COUNTIFS('Recipes'!$A$8:$A$207,D33)=1,VLOOKUP(D33,'Recipes'!$A$8:$F$207,3,FALSE),"")))</x:f>
        <x:v>P-RAILS</x:v>
      </x:c>
      <x:c r="H33" s="9" t="str">
        <x:f>IF(A33="","",IF(COUNTIFS('Definitions'!$A$8:$A$207,G33)=1,REPT("    ",IF(ISNUMBER(M33),M33,0))&amp;VLOOKUP(G33,'Definitions'!$A$8:$J$207,2,FALSE),"Unknown definition"))</x:f>
        <x:v>    Rack rail kit</x:v>
      </x:c>
      <x:c r="I33" s="11" t="n">
        <x:f>IF(A33="","",IF(B33="",1,IF(COUNTIFS('Recipes'!$A$8:$A$207,D33)=1,VLOOKUP(D33,'Recipes'!$A$8:$F$207,4,FALSE),"")))</x:f>
        <x:v>1</x:v>
      </x:c>
      <x:c r="J33" s="11" t="n">
        <x:f>IF(A33="","",IF(ISBLANK(E33),I33,E33))</x:f>
        <x:v>1</x:v>
      </x:c>
      <x:c r="K33" s="11" t="n">
        <x:f>IF(A33="","",IF(NOT(ISNUMBER(J33)),"",IF(B33="",J33,IF(COUNTIFS($A$8:$A$32,B33)=1,IF(ISNUMBER(VLOOKUP(B33,$A$8:$N$32,11,FALSE)),J33*VLOOKUP(B33,$A$8:$N$32,11,FALSE),""),""))))</x:f>
        <x:v>1</x:v>
      </x:c>
      <x:c r="L33" s="9" t="str">
        <x:f>IF(A33="","",IF(B33="",F33,IF(COUNTIFS($A$8:$A$32,B33)=1,VLOOKUP(B33,$A$8:$N$32,12,FALSE),"")))</x:f>
        <x:v>Build</x:v>
      </x:c>
      <x:c r="M33" s="11" t="n">
        <x:f>IF(A33="","",IF(B33="",0,IF(COUNTIFS($A$8:$A$32,B33)=1,IF(ISNUMBER(VLOOKUP(B33,$A$8:$N$32,13,FALSE)),VLOOKUP(B33,$A$8:$N$32,13,FALSE)+1,""),"")))</x:f>
        <x:v>1</x:v>
      </x:c>
      <x:c r="N33" s="9" t="str">
        <x:f>IF(A33="","",IF(COUNTIFS('Layout'!$A$8:$A$207,A33)&lt;&gt;1,"Duplicate role",IF(AND(B33&lt;&gt;"",COUNTIFS($A$8:$A$32,B33)&lt;&gt;1),"Parent must appear above child",IF(COUNTIFS('Definitions'!$A$8:$A$207,G33)&lt;&gt;1,"Unknown / duplicate definition",IF(AND(B33="",OR(C33="",D33&lt;&gt;"",AND(F33&lt;&gt;"Build",F33&lt;&gt;"Spares"))),"Set root definition and purpose",IF(AND(B33&lt;&gt;"",COUNTIFS('Recipes'!$A$8:$A$207,D33)&lt;&gt;1),"Choose a unique recipe line",IF(AND(B33&lt;&gt;"",OR(C33&lt;&gt;"",F33&lt;&gt;"")),"Clear child root-only inputs",IF(AND(B33&lt;&gt;"",COUNTIFS($A$8:$A$32,B33)=1,COUNTIFS('Recipes'!$A$8:$A$207,D33)=1),IF(VLOOKUP(D33,'Recipes'!$A$8:$F$207,2,FALSE)&lt;&gt;VLOOKUP(B33,$A$8:$N$32,7,FALSE),"Recipe parent mismatch",IF(COUNTIFS($B$8:$B$207,B33,$D$8:$D$207,D33)&lt;&gt;1,"Duplicate child recipe",IF(OR(NOT(ISNUMBER(J33)),J33&lt;0,MOD(J33,1)&lt;&gt;0),"Set nonnegative whole qty",IF(COUNTIFS('Recipes'!$B$8:$B$207,G33)&lt;&gt;COUNTIFS($B$8:$B$207,A33,$D$8:$D$207,"&lt;&gt;",$A$8:$A$207,"&lt;&gt;"),"Missing / extra recipe children","OK")))),IF(OR(NOT(ISNUMBER(J33)),J33&lt;0,MOD(J33,1)&lt;&gt;0),"Set nonnegative whole qty",IF(COUNTIFS('Recipes'!$B$8:$B$207,G33)&lt;&gt;COUNTIFS($B$8:$B$207,A33,$D$8:$D$207,"&lt;&gt;",$A$8:$A$207,"&lt;&gt;"),"Missing / extra recipe children","OK"))))))))))</x:f>
        <x:v>OK</x:v>
      </x:c>
    </x:row>
    <x:row r="34" ht="22" customHeight="1">
      <x:c r="A34" s="10" t="str">
        <x:v>rack1</x:v>
      </x:c>
      <x:c r="B34" s="10" t="str"/>
      <x:c r="C34" s="10" t="str">
        <x:v>P-RACK</x:v>
      </x:c>
      <x:c r="D34" s="10" t="str"/>
      <x:c r="E34" s="12"/>
      <x:c r="F34" s="10" t="str">
        <x:v>Build</x:v>
      </x:c>
      <x:c r="G34" s="9" t="str">
        <x:f>IF(A34="","",IF(B34="",C34,IF(COUNTIFS('Recipes'!$A$8:$A$207,D34)=1,VLOOKUP(D34,'Recipes'!$A$8:$F$207,3,FALSE),"")))</x:f>
        <x:v>P-RACK</x:v>
      </x:c>
      <x:c r="H34" s="9" t="str">
        <x:f>IF(A34="","",IF(COUNTIFS('Definitions'!$A$8:$A$207,G34)=1,REPT("    ",IF(ISNUMBER(M34),M34,0))&amp;VLOOKUP(G34,'Definitions'!$A$8:$J$207,2,FALSE),"Unknown definition"))</x:f>
        <x:v>Rack</x:v>
      </x:c>
      <x:c r="I34" s="11" t="n">
        <x:f>IF(A34="","",IF(B34="",1,IF(COUNTIFS('Recipes'!$A$8:$A$207,D34)=1,VLOOKUP(D34,'Recipes'!$A$8:$F$207,4,FALSE),"")))</x:f>
        <x:v>1</x:v>
      </x:c>
      <x:c r="J34" s="11" t="n">
        <x:f>IF(A34="","",IF(ISBLANK(E34),I34,E34))</x:f>
        <x:v>1</x:v>
      </x:c>
      <x:c r="K34" s="11" t="n">
        <x:f>IF(A34="","",IF(NOT(ISNUMBER(J34)),"",IF(B34="",J34,IF(COUNTIFS($A$8:$A$33,B34)=1,IF(ISNUMBER(VLOOKUP(B34,$A$8:$N$33,11,FALSE)),J34*VLOOKUP(B34,$A$8:$N$33,11,FALSE),""),""))))</x:f>
        <x:v>1</x:v>
      </x:c>
      <x:c r="L34" s="9" t="str">
        <x:f>IF(A34="","",IF(B34="",F34,IF(COUNTIFS($A$8:$A$33,B34)=1,VLOOKUP(B34,$A$8:$N$33,12,FALSE),"")))</x:f>
        <x:v>Build</x:v>
      </x:c>
      <x:c r="M34" s="11" t="n">
        <x:f>IF(A34="","",IF(B34="",0,IF(COUNTIFS($A$8:$A$33,B34)=1,IF(ISNUMBER(VLOOKUP(B34,$A$8:$N$33,13,FALSE)),VLOOKUP(B34,$A$8:$N$33,13,FALSE)+1,""),"")))</x:f>
        <x:v>0</x:v>
      </x:c>
      <x:c r="N34" s="9" t="str">
        <x:f>IF(A34="","",IF(COUNTIFS('Layout'!$A$8:$A$207,A34)&lt;&gt;1,"Duplicate role",IF(AND(B34&lt;&gt;"",COUNTIFS($A$8:$A$33,B34)&lt;&gt;1),"Parent must appear above child",IF(COUNTIFS('Definitions'!$A$8:$A$207,G34)&lt;&gt;1,"Unknown / duplicate definition",IF(AND(B34="",OR(C34="",D34&lt;&gt;"",AND(F34&lt;&gt;"Build",F34&lt;&gt;"Spares"))),"Set root definition and purpose",IF(AND(B34&lt;&gt;"",COUNTIFS('Recipes'!$A$8:$A$207,D34)&lt;&gt;1),"Choose a unique recipe line",IF(AND(B34&lt;&gt;"",OR(C34&lt;&gt;"",F34&lt;&gt;"")),"Clear child root-only inputs",IF(AND(B34&lt;&gt;"",COUNTIFS($A$8:$A$33,B34)=1,COUNTIFS('Recipes'!$A$8:$A$207,D34)=1),IF(VLOOKUP(D34,'Recipes'!$A$8:$F$207,2,FALSE)&lt;&gt;VLOOKUP(B34,$A$8:$N$33,7,FALSE),"Recipe parent mismatch",IF(COUNTIFS($B$8:$B$207,B34,$D$8:$D$207,D34)&lt;&gt;1,"Duplicate child recipe",IF(OR(NOT(ISNUMBER(J34)),J34&lt;0,MOD(J34,1)&lt;&gt;0),"Set nonnegative whole qty",IF(COUNTIFS('Recipes'!$B$8:$B$207,G34)&lt;&gt;COUNTIFS($B$8:$B$207,A34,$D$8:$D$207,"&lt;&gt;",$A$8:$A$207,"&lt;&gt;"),"Missing / extra recipe children","OK")))),IF(OR(NOT(ISNUMBER(J34)),J34&lt;0,MOD(J34,1)&lt;&gt;0),"Set nonnegative whole qty",IF(COUNTIFS('Recipes'!$B$8:$B$207,G34)&lt;&gt;COUNTIFS($B$8:$B$207,A34,$D$8:$D$207,"&lt;&gt;",$A$8:$A$207,"&lt;&gt;"),"Missing / extra recipe children","OK"))))))))))</x:f>
        <x:v>OK</x:v>
      </x:c>
    </x:row>
    <x:row r="35" ht="22" customHeight="1">
      <x:c r="A35" s="10" t="str">
        <x:v>rack1:pdu</x:v>
      </x:c>
      <x:c r="B35" s="10" t="str">
        <x:v>rack1</x:v>
      </x:c>
      <x:c r="C35" s="10" t="str"/>
      <x:c r="D35" s="10" t="str">
        <x:v>R-RACK-PDU</x:v>
      </x:c>
      <x:c r="E35" s="12"/>
      <x:c r="F35" s="10" t="str"/>
      <x:c r="G35" s="9" t="str">
        <x:f>IF(A35="","",IF(B35="",C35,IF(COUNTIFS('Recipes'!$A$8:$A$207,D35)=1,VLOOKUP(D35,'Recipes'!$A$8:$F$207,3,FALSE),"")))</x:f>
        <x:v>P-PDU</x:v>
      </x:c>
      <x:c r="H35" s="9" t="str">
        <x:f>IF(A35="","",IF(COUNTIFS('Definitions'!$A$8:$A$207,G35)=1,REPT("    ",IF(ISNUMBER(M35),M35,0))&amp;VLOOKUP(G35,'Definitions'!$A$8:$J$207,2,FALSE),"Unknown definition"))</x:f>
        <x:v>    PDU</x:v>
      </x:c>
      <x:c r="I35" s="11" t="n">
        <x:f>IF(A35="","",IF(B35="",1,IF(COUNTIFS('Recipes'!$A$8:$A$207,D35)=1,VLOOKUP(D35,'Recipes'!$A$8:$F$207,4,FALSE),"")))</x:f>
        <x:v>2</x:v>
      </x:c>
      <x:c r="J35" s="11" t="n">
        <x:f>IF(A35="","",IF(ISBLANK(E35),I35,E35))</x:f>
        <x:v>2</x:v>
      </x:c>
      <x:c r="K35" s="11" t="n">
        <x:f>IF(A35="","",IF(NOT(ISNUMBER(J35)),"",IF(B35="",J35,IF(COUNTIFS($A$8:$A$34,B35)=1,IF(ISNUMBER(VLOOKUP(B35,$A$8:$N$34,11,FALSE)),J35*VLOOKUP(B35,$A$8:$N$34,11,FALSE),""),""))))</x:f>
        <x:v>2</x:v>
      </x:c>
      <x:c r="L35" s="9" t="str">
        <x:f>IF(A35="","",IF(B35="",F35,IF(COUNTIFS($A$8:$A$34,B35)=1,VLOOKUP(B35,$A$8:$N$34,12,FALSE),"")))</x:f>
        <x:v>Build</x:v>
      </x:c>
      <x:c r="M35" s="11" t="n">
        <x:f>IF(A35="","",IF(B35="",0,IF(COUNTIFS($A$8:$A$34,B35)=1,IF(ISNUMBER(VLOOKUP(B35,$A$8:$N$34,13,FALSE)),VLOOKUP(B35,$A$8:$N$34,13,FALSE)+1,""),"")))</x:f>
        <x:v>1</x:v>
      </x:c>
      <x:c r="N35" s="9" t="str">
        <x:f>IF(A35="","",IF(COUNTIFS('Layout'!$A$8:$A$207,A35)&lt;&gt;1,"Duplicate role",IF(AND(B35&lt;&gt;"",COUNTIFS($A$8:$A$34,B35)&lt;&gt;1),"Parent must appear above child",IF(COUNTIFS('Definitions'!$A$8:$A$207,G35)&lt;&gt;1,"Unknown / duplicate definition",IF(AND(B35="",OR(C35="",D35&lt;&gt;"",AND(F35&lt;&gt;"Build",F35&lt;&gt;"Spares"))),"Set root definition and purpose",IF(AND(B35&lt;&gt;"",COUNTIFS('Recipes'!$A$8:$A$207,D35)&lt;&gt;1),"Choose a unique recipe line",IF(AND(B35&lt;&gt;"",OR(C35&lt;&gt;"",F35&lt;&gt;"")),"Clear child root-only inputs",IF(AND(B35&lt;&gt;"",COUNTIFS($A$8:$A$34,B35)=1,COUNTIFS('Recipes'!$A$8:$A$207,D35)=1),IF(VLOOKUP(D35,'Recipes'!$A$8:$F$207,2,FALSE)&lt;&gt;VLOOKUP(B35,$A$8:$N$34,7,FALSE),"Recipe parent mismatch",IF(COUNTIFS($B$8:$B$207,B35,$D$8:$D$207,D35)&lt;&gt;1,"Duplicate child recipe",IF(OR(NOT(ISNUMBER(J35)),J35&lt;0,MOD(J35,1)&lt;&gt;0),"Set nonnegative whole qty",IF(COUNTIFS('Recipes'!$B$8:$B$207,G35)&lt;&gt;COUNTIFS($B$8:$B$207,A35,$D$8:$D$207,"&lt;&gt;",$A$8:$A$207,"&lt;&gt;"),"Missing / extra recipe children","OK")))),IF(OR(NOT(ISNUMBER(J35)),J35&lt;0,MOD(J35,1)&lt;&gt;0),"Set nonnegative whole qty",IF(COUNTIFS('Recipes'!$B$8:$B$207,G35)&lt;&gt;COUNTIFS($B$8:$B$207,A35,$D$8:$D$207,"&lt;&gt;",$A$8:$A$207,"&lt;&gt;"),"Missing / extra recipe children","OK"))))))))))</x:f>
        <x:v>OK</x:v>
      </x:c>
    </x:row>
    <x:row r="36" ht="22" customHeight="1">
      <x:c r="A36" s="10" t="str">
        <x:v>rack1:cable-management</x:v>
      </x:c>
      <x:c r="B36" s="10" t="str">
        <x:v>rack1</x:v>
      </x:c>
      <x:c r="C36" s="10" t="str"/>
      <x:c r="D36" s="10" t="str">
        <x:v>R-RACK-MGMT</x:v>
      </x:c>
      <x:c r="E36" s="12"/>
      <x:c r="F36" s="10" t="str"/>
      <x:c r="G36" s="9" t="str">
        <x:f>IF(A36="","",IF(B36="",C36,IF(COUNTIFS('Recipes'!$A$8:$A$207,D36)=1,VLOOKUP(D36,'Recipes'!$A$8:$F$207,3,FALSE),"")))</x:f>
        <x:v>P-MGMT</x:v>
      </x:c>
      <x:c r="H36" s="9" t="str">
        <x:f>IF(A36="","",IF(COUNTIFS('Definitions'!$A$8:$A$207,G36)=1,REPT("    ",IF(ISNUMBER(M36),M36,0))&amp;VLOOKUP(G36,'Definitions'!$A$8:$J$207,2,FALSE),"Unknown definition"))</x:f>
        <x:v>    Cable management kit</x:v>
      </x:c>
      <x:c r="I36" s="11" t="n">
        <x:f>IF(A36="","",IF(B36="",1,IF(COUNTIFS('Recipes'!$A$8:$A$207,D36)=1,VLOOKUP(D36,'Recipes'!$A$8:$F$207,4,FALSE),"")))</x:f>
        <x:v>2</x:v>
      </x:c>
      <x:c r="J36" s="11" t="n">
        <x:f>IF(A36="","",IF(ISBLANK(E36),I36,E36))</x:f>
        <x:v>2</x:v>
      </x:c>
      <x:c r="K36" s="11" t="n">
        <x:f>IF(A36="","",IF(NOT(ISNUMBER(J36)),"",IF(B36="",J36,IF(COUNTIFS($A$8:$A$35,B36)=1,IF(ISNUMBER(VLOOKUP(B36,$A$8:$N$35,11,FALSE)),J36*VLOOKUP(B36,$A$8:$N$35,11,FALSE),""),""))))</x:f>
        <x:v>2</x:v>
      </x:c>
      <x:c r="L36" s="9" t="str">
        <x:f>IF(A36="","",IF(B36="",F36,IF(COUNTIFS($A$8:$A$35,B36)=1,VLOOKUP(B36,$A$8:$N$35,12,FALSE),"")))</x:f>
        <x:v>Build</x:v>
      </x:c>
      <x:c r="M36" s="11" t="n">
        <x:f>IF(A36="","",IF(B36="",0,IF(COUNTIFS($A$8:$A$35,B36)=1,IF(ISNUMBER(VLOOKUP(B36,$A$8:$N$35,13,FALSE)),VLOOKUP(B36,$A$8:$N$35,13,FALSE)+1,""),"")))</x:f>
        <x:v>1</x:v>
      </x:c>
      <x:c r="N36" s="9" t="str">
        <x:f>IF(A36="","",IF(COUNTIFS('Layout'!$A$8:$A$207,A36)&lt;&gt;1,"Duplicate role",IF(AND(B36&lt;&gt;"",COUNTIFS($A$8:$A$35,B36)&lt;&gt;1),"Parent must appear above child",IF(COUNTIFS('Definitions'!$A$8:$A$207,G36)&lt;&gt;1,"Unknown / duplicate definition",IF(AND(B36="",OR(C36="",D36&lt;&gt;"",AND(F36&lt;&gt;"Build",F36&lt;&gt;"Spares"))),"Set root definition and purpose",IF(AND(B36&lt;&gt;"",COUNTIFS('Recipes'!$A$8:$A$207,D36)&lt;&gt;1),"Choose a unique recipe line",IF(AND(B36&lt;&gt;"",OR(C36&lt;&gt;"",F36&lt;&gt;"")),"Clear child root-only inputs",IF(AND(B36&lt;&gt;"",COUNTIFS($A$8:$A$35,B36)=1,COUNTIFS('Recipes'!$A$8:$A$207,D36)=1),IF(VLOOKUP(D36,'Recipes'!$A$8:$F$207,2,FALSE)&lt;&gt;VLOOKUP(B36,$A$8:$N$35,7,FALSE),"Recipe parent mismatch",IF(COUNTIFS($B$8:$B$207,B36,$D$8:$D$207,D36)&lt;&gt;1,"Duplicate child recipe",IF(OR(NOT(ISNUMBER(J36)),J36&lt;0,MOD(J36,1)&lt;&gt;0),"Set nonnegative whole qty",IF(COUNTIFS('Recipes'!$B$8:$B$207,G36)&lt;&gt;COUNTIFS($B$8:$B$207,A36,$D$8:$D$207,"&lt;&gt;",$A$8:$A$207,"&lt;&gt;"),"Missing / extra recipe children","OK")))),IF(OR(NOT(ISNUMBER(J36)),J36&lt;0,MOD(J36,1)&lt;&gt;0),"Set nonnegative whole qty",IF(COUNTIFS('Recipes'!$B$8:$B$207,G36)&lt;&gt;COUNTIFS($B$8:$B$207,A36,$D$8:$D$207,"&lt;&gt;",$A$8:$A$207,"&lt;&gt;"),"Missing / extra recipe children","OK"))))))))))</x:f>
        <x:v>OK</x:v>
      </x:c>
    </x:row>
    <x:row r="37" ht="22" customHeight="1">
      <x:c r="A37" s="10" t="str">
        <x:v>rack1:grounding</x:v>
      </x:c>
      <x:c r="B37" s="10" t="str">
        <x:v>rack1</x:v>
      </x:c>
      <x:c r="C37" s="10" t="str"/>
      <x:c r="D37" s="10" t="str">
        <x:v>R-RACK-GND</x:v>
      </x:c>
      <x:c r="E37" s="12"/>
      <x:c r="F37" s="10" t="str"/>
      <x:c r="G37" s="9" t="str">
        <x:f>IF(A37="","",IF(B37="",C37,IF(COUNTIFS('Recipes'!$A$8:$A$207,D37)=1,VLOOKUP(D37,'Recipes'!$A$8:$F$207,3,FALSE),"")))</x:f>
        <x:v>P-GROUND</x:v>
      </x:c>
      <x:c r="H37" s="9" t="str">
        <x:f>IF(A37="","",IF(COUNTIFS('Definitions'!$A$8:$A$207,G37)=1,REPT("    ",IF(ISNUMBER(M37),M37,0))&amp;VLOOKUP(G37,'Definitions'!$A$8:$J$207,2,FALSE),"Unknown definition"))</x:f>
        <x:v>    Grounding kit</x:v>
      </x:c>
      <x:c r="I37" s="11" t="n">
        <x:f>IF(A37="","",IF(B37="",1,IF(COUNTIFS('Recipes'!$A$8:$A$207,D37)=1,VLOOKUP(D37,'Recipes'!$A$8:$F$207,4,FALSE),"")))</x:f>
        <x:v>1</x:v>
      </x:c>
      <x:c r="J37" s="11" t="n">
        <x:f>IF(A37="","",IF(ISBLANK(E37),I37,E37))</x:f>
        <x:v>1</x:v>
      </x:c>
      <x:c r="K37" s="11" t="n">
        <x:f>IF(A37="","",IF(NOT(ISNUMBER(J37)),"",IF(B37="",J37,IF(COUNTIFS($A$8:$A$36,B37)=1,IF(ISNUMBER(VLOOKUP(B37,$A$8:$N$36,11,FALSE)),J37*VLOOKUP(B37,$A$8:$N$36,11,FALSE),""),""))))</x:f>
        <x:v>1</x:v>
      </x:c>
      <x:c r="L37" s="9" t="str">
        <x:f>IF(A37="","",IF(B37="",F37,IF(COUNTIFS($A$8:$A$36,B37)=1,VLOOKUP(B37,$A$8:$N$36,12,FALSE),"")))</x:f>
        <x:v>Build</x:v>
      </x:c>
      <x:c r="M37" s="11" t="n">
        <x:f>IF(A37="","",IF(B37="",0,IF(COUNTIFS($A$8:$A$36,B37)=1,IF(ISNUMBER(VLOOKUP(B37,$A$8:$N$36,13,FALSE)),VLOOKUP(B37,$A$8:$N$36,13,FALSE)+1,""),"")))</x:f>
        <x:v>1</x:v>
      </x:c>
      <x:c r="N37" s="9" t="str">
        <x:f>IF(A37="","",IF(COUNTIFS('Layout'!$A$8:$A$207,A37)&lt;&gt;1,"Duplicate role",IF(AND(B37&lt;&gt;"",COUNTIFS($A$8:$A$36,B37)&lt;&gt;1),"Parent must appear above child",IF(COUNTIFS('Definitions'!$A$8:$A$207,G37)&lt;&gt;1,"Unknown / duplicate definition",IF(AND(B37="",OR(C37="",D37&lt;&gt;"",AND(F37&lt;&gt;"Build",F37&lt;&gt;"Spares"))),"Set root definition and purpose",IF(AND(B37&lt;&gt;"",COUNTIFS('Recipes'!$A$8:$A$207,D37)&lt;&gt;1),"Choose a unique recipe line",IF(AND(B37&lt;&gt;"",OR(C37&lt;&gt;"",F37&lt;&gt;"")),"Clear child root-only inputs",IF(AND(B37&lt;&gt;"",COUNTIFS($A$8:$A$36,B37)=1,COUNTIFS('Recipes'!$A$8:$A$207,D37)=1),IF(VLOOKUP(D37,'Recipes'!$A$8:$F$207,2,FALSE)&lt;&gt;VLOOKUP(B37,$A$8:$N$36,7,FALSE),"Recipe parent mismatch",IF(COUNTIFS($B$8:$B$207,B37,$D$8:$D$207,D37)&lt;&gt;1,"Duplicate child recipe",IF(OR(NOT(ISNUMBER(J37)),J37&lt;0,MOD(J37,1)&lt;&gt;0),"Set nonnegative whole qty",IF(COUNTIFS('Recipes'!$B$8:$B$207,G37)&lt;&gt;COUNTIFS($B$8:$B$207,A37,$D$8:$D$207,"&lt;&gt;",$A$8:$A$207,"&lt;&gt;"),"Missing / extra recipe children","OK")))),IF(OR(NOT(ISNUMBER(J37)),J37&lt;0,MOD(J37,1)&lt;&gt;0),"Set nonnegative whole qty",IF(COUNTIFS('Recipes'!$B$8:$B$207,G37)&lt;&gt;COUNTIFS($B$8:$B$207,A37,$D$8:$D$207,"&lt;&gt;",$A$8:$A$207,"&lt;&gt;"),"Missing / extra recipe children","OK"))))))))))</x:f>
        <x:v>OK</x:v>
      </x:c>
    </x:row>
    <x:row r="38" ht="22" customHeight="1">
      <x:c r="A38" s="10" t="str">
        <x:v>rack1:labels</x:v>
      </x:c>
      <x:c r="B38" s="10" t="str">
        <x:v>rack1</x:v>
      </x:c>
      <x:c r="C38" s="10" t="str"/>
      <x:c r="D38" s="10" t="str">
        <x:v>R-RACK-LABEL</x:v>
      </x:c>
      <x:c r="E38" s="12"/>
      <x:c r="F38" s="10" t="str"/>
      <x:c r="G38" s="9" t="str">
        <x:f>IF(A38="","",IF(B38="",C38,IF(COUNTIFS('Recipes'!$A$8:$A$207,D38)=1,VLOOKUP(D38,'Recipes'!$A$8:$F$207,3,FALSE),"")))</x:f>
        <x:v>P-LABEL</x:v>
      </x:c>
      <x:c r="H38" s="9" t="str">
        <x:f>IF(A38="","",IF(COUNTIFS('Definitions'!$A$8:$A$207,G38)=1,REPT("    ",IF(ISNUMBER(M38),M38,0))&amp;VLOOKUP(G38,'Definitions'!$A$8:$J$207,2,FALSE),"Unknown definition"))</x:f>
        <x:v>    Label pack</x:v>
      </x:c>
      <x:c r="I38" s="11" t="n">
        <x:f>IF(A38="","",IF(B38="",1,IF(COUNTIFS('Recipes'!$A$8:$A$207,D38)=1,VLOOKUP(D38,'Recipes'!$A$8:$F$207,4,FALSE),"")))</x:f>
        <x:v>1</x:v>
      </x:c>
      <x:c r="J38" s="11" t="n">
        <x:f>IF(A38="","",IF(ISBLANK(E38),I38,E38))</x:f>
        <x:v>1</x:v>
      </x:c>
      <x:c r="K38" s="11" t="n">
        <x:f>IF(A38="","",IF(NOT(ISNUMBER(J38)),"",IF(B38="",J38,IF(COUNTIFS($A$8:$A$37,B38)=1,IF(ISNUMBER(VLOOKUP(B38,$A$8:$N$37,11,FALSE)),J38*VLOOKUP(B38,$A$8:$N$37,11,FALSE),""),""))))</x:f>
        <x:v>1</x:v>
      </x:c>
      <x:c r="L38" s="9" t="str">
        <x:f>IF(A38="","",IF(B38="",F38,IF(COUNTIFS($A$8:$A$37,B38)=1,VLOOKUP(B38,$A$8:$N$37,12,FALSE),"")))</x:f>
        <x:v>Build</x:v>
      </x:c>
      <x:c r="M38" s="11" t="n">
        <x:f>IF(A38="","",IF(B38="",0,IF(COUNTIFS($A$8:$A$37,B38)=1,IF(ISNUMBER(VLOOKUP(B38,$A$8:$N$37,13,FALSE)),VLOOKUP(B38,$A$8:$N$37,13,FALSE)+1,""),"")))</x:f>
        <x:v>1</x:v>
      </x:c>
      <x:c r="N38" s="9" t="str">
        <x:f>IF(A38="","",IF(COUNTIFS('Layout'!$A$8:$A$207,A38)&lt;&gt;1,"Duplicate role",IF(AND(B38&lt;&gt;"",COUNTIFS($A$8:$A$37,B38)&lt;&gt;1),"Parent must appear above child",IF(COUNTIFS('Definitions'!$A$8:$A$207,G38)&lt;&gt;1,"Unknown / duplicate definition",IF(AND(B38="",OR(C38="",D38&lt;&gt;"",AND(F38&lt;&gt;"Build",F38&lt;&gt;"Spares"))),"Set root definition and purpose",IF(AND(B38&lt;&gt;"",COUNTIFS('Recipes'!$A$8:$A$207,D38)&lt;&gt;1),"Choose a unique recipe line",IF(AND(B38&lt;&gt;"",OR(C38&lt;&gt;"",F38&lt;&gt;"")),"Clear child root-only inputs",IF(AND(B38&lt;&gt;"",COUNTIFS($A$8:$A$37,B38)=1,COUNTIFS('Recipes'!$A$8:$A$207,D38)=1),IF(VLOOKUP(D38,'Recipes'!$A$8:$F$207,2,FALSE)&lt;&gt;VLOOKUP(B38,$A$8:$N$37,7,FALSE),"Recipe parent mismatch",IF(COUNTIFS($B$8:$B$207,B38,$D$8:$D$207,D38)&lt;&gt;1,"Duplicate child recipe",IF(OR(NOT(ISNUMBER(J38)),J38&lt;0,MOD(J38,1)&lt;&gt;0),"Set nonnegative whole qty",IF(COUNTIFS('Recipes'!$B$8:$B$207,G38)&lt;&gt;COUNTIFS($B$8:$B$207,A38,$D$8:$D$207,"&lt;&gt;",$A$8:$A$207,"&lt;&gt;"),"Missing / extra recipe children","OK")))),IF(OR(NOT(ISNUMBER(J38)),J38&lt;0,MOD(J38,1)&lt;&gt;0),"Set nonnegative whole qty",IF(COUNTIFS('Recipes'!$B$8:$B$207,G38)&lt;&gt;COUNTIFS($B$8:$B$207,A38,$D$8:$D$207,"&lt;&gt;",$A$8:$A$207,"&lt;&gt;"),"Missing / extra recipe children","OK"))))))))))</x:f>
        <x:v>OK</x:v>
      </x:c>
    </x:row>
    <x:row r="39" ht="22" customHeight="1">
      <x:c r="A39" s="10" t="str">
        <x:v>spares</x:v>
      </x:c>
      <x:c r="B39" s="10" t="str"/>
      <x:c r="C39" s="10" t="str">
        <x:v>A-SPARES</x:v>
      </x:c>
      <x:c r="D39" s="10" t="str"/>
      <x:c r="E39" s="12"/>
      <x:c r="F39" s="10" t="str">
        <x:v>Spares</x:v>
      </x:c>
      <x:c r="G39" s="9" t="str">
        <x:f>IF(A39="","",IF(B39="",C39,IF(COUNTIFS('Recipes'!$A$8:$A$207,D39)=1,VLOOKUP(D39,'Recipes'!$A$8:$F$207,3,FALSE),"")))</x:f>
        <x:v>A-SPARES</x:v>
      </x:c>
      <x:c r="H39" s="9" t="str">
        <x:f>IF(A39="","",IF(COUNTIFS('Definitions'!$A$8:$A$207,G39)=1,REPT("    ",IF(ISNUMBER(M39),M39,0))&amp;VLOOKUP(G39,'Definitions'!$A$8:$J$207,2,FALSE),"Unknown definition"))</x:f>
        <x:v>Deployment spares</x:v>
      </x:c>
      <x:c r="I39" s="11" t="n">
        <x:f>IF(A39="","",IF(B39="",1,IF(COUNTIFS('Recipes'!$A$8:$A$207,D39)=1,VLOOKUP(D39,'Recipes'!$A$8:$F$207,4,FALSE),"")))</x:f>
        <x:v>1</x:v>
      </x:c>
      <x:c r="J39" s="11" t="n">
        <x:f>IF(A39="","",IF(ISBLANK(E39),I39,E39))</x:f>
        <x:v>1</x:v>
      </x:c>
      <x:c r="K39" s="11" t="n">
        <x:f>IF(A39="","",IF(NOT(ISNUMBER(J39)),"",IF(B39="",J39,IF(COUNTIFS($A$8:$A$38,B39)=1,IF(ISNUMBER(VLOOKUP(B39,$A$8:$N$38,11,FALSE)),J39*VLOOKUP(B39,$A$8:$N$38,11,FALSE),""),""))))</x:f>
        <x:v>1</x:v>
      </x:c>
      <x:c r="L39" s="9" t="str">
        <x:f>IF(A39="","",IF(B39="",F39,IF(COUNTIFS($A$8:$A$38,B39)=1,VLOOKUP(B39,$A$8:$N$38,12,FALSE),"")))</x:f>
        <x:v>Spares</x:v>
      </x:c>
      <x:c r="M39" s="11" t="n">
        <x:f>IF(A39="","",IF(B39="",0,IF(COUNTIFS($A$8:$A$38,B39)=1,IF(ISNUMBER(VLOOKUP(B39,$A$8:$N$38,13,FALSE)),VLOOKUP(B39,$A$8:$N$38,13,FALSE)+1,""),"")))</x:f>
        <x:v>0</x:v>
      </x:c>
      <x:c r="N39" s="9" t="str">
        <x:f>IF(A39="","",IF(COUNTIFS('Layout'!$A$8:$A$207,A39)&lt;&gt;1,"Duplicate role",IF(AND(B39&lt;&gt;"",COUNTIFS($A$8:$A$38,B39)&lt;&gt;1),"Parent must appear above child",IF(COUNTIFS('Definitions'!$A$8:$A$207,G39)&lt;&gt;1,"Unknown / duplicate definition",IF(AND(B39="",OR(C39="",D39&lt;&gt;"",AND(F39&lt;&gt;"Build",F39&lt;&gt;"Spares"))),"Set root definition and purpose",IF(AND(B39&lt;&gt;"",COUNTIFS('Recipes'!$A$8:$A$207,D39)&lt;&gt;1),"Choose a unique recipe line",IF(AND(B39&lt;&gt;"",OR(C39&lt;&gt;"",F39&lt;&gt;"")),"Clear child root-only inputs",IF(AND(B39&lt;&gt;"",COUNTIFS($A$8:$A$38,B39)=1,COUNTIFS('Recipes'!$A$8:$A$207,D39)=1),IF(VLOOKUP(D39,'Recipes'!$A$8:$F$207,2,FALSE)&lt;&gt;VLOOKUP(B39,$A$8:$N$38,7,FALSE),"Recipe parent mismatch",IF(COUNTIFS($B$8:$B$207,B39,$D$8:$D$207,D39)&lt;&gt;1,"Duplicate child recipe",IF(OR(NOT(ISNUMBER(J39)),J39&lt;0,MOD(J39,1)&lt;&gt;0),"Set nonnegative whole qty",IF(COUNTIFS('Recipes'!$B$8:$B$207,G39)&lt;&gt;COUNTIFS($B$8:$B$207,A39,$D$8:$D$207,"&lt;&gt;",$A$8:$A$207,"&lt;&gt;"),"Missing / extra recipe children","OK")))),IF(OR(NOT(ISNUMBER(J39)),J39&lt;0,MOD(J39,1)&lt;&gt;0),"Set nonnegative whole qty",IF(COUNTIFS('Recipes'!$B$8:$B$207,G39)&lt;&gt;COUNTIFS($B$8:$B$207,A39,$D$8:$D$207,"&lt;&gt;",$A$8:$A$207,"&lt;&gt;"),"Missing / extra recipe children","OK"))))))))))</x:f>
        <x:v>OK</x:v>
      </x:c>
    </x:row>
    <x:row r="40" ht="22" customHeight="1">
      <x:c r="A40" s="10" t="str">
        <x:v>spares:fibre</x:v>
      </x:c>
      <x:c r="B40" s="10" t="str">
        <x:v>spares</x:v>
      </x:c>
      <x:c r="C40" s="10" t="str"/>
      <x:c r="D40" s="10" t="str">
        <x:v>R-SP-FIB</x:v>
      </x:c>
      <x:c r="E40" s="12"/>
      <x:c r="F40" s="10" t="str"/>
      <x:c r="G40" s="9" t="str">
        <x:f>IF(A40="","",IF(B40="",C40,IF(COUNTIFS('Recipes'!$A$8:$A$207,D40)=1,VLOOKUP(D40,'Recipes'!$A$8:$F$207,3,FALSE),"")))</x:f>
        <x:v>P-FIBRE</x:v>
      </x:c>
      <x:c r="H40" s="9" t="str">
        <x:f>IF(A40="","",IF(COUNTIFS('Definitions'!$A$8:$A$207,G40)=1,REPT("    ",IF(ISNUMBER(M40),M40,0))&amp;VLOOKUP(G40,'Definitions'!$A$8:$J$207,2,FALSE),"Unknown definition"))</x:f>
        <x:v>    Fibre patch lead</x:v>
      </x:c>
      <x:c r="I40" s="11" t="n">
        <x:f>IF(A40="","",IF(B40="",1,IF(COUNTIFS('Recipes'!$A$8:$A$207,D40)=1,VLOOKUP(D40,'Recipes'!$A$8:$F$207,4,FALSE),"")))</x:f>
        <x:v>2</x:v>
      </x:c>
      <x:c r="J40" s="11" t="n">
        <x:f>IF(A40="","",IF(ISBLANK(E40),I40,E40))</x:f>
        <x:v>2</x:v>
      </x:c>
      <x:c r="K40" s="11" t="n">
        <x:f>IF(A40="","",IF(NOT(ISNUMBER(J40)),"",IF(B40="",J40,IF(COUNTIFS($A$8:$A$39,B40)=1,IF(ISNUMBER(VLOOKUP(B40,$A$8:$N$39,11,FALSE)),J40*VLOOKUP(B40,$A$8:$N$39,11,FALSE),""),""))))</x:f>
        <x:v>2</x:v>
      </x:c>
      <x:c r="L40" s="9" t="str">
        <x:f>IF(A40="","",IF(B40="",F40,IF(COUNTIFS($A$8:$A$39,B40)=1,VLOOKUP(B40,$A$8:$N$39,12,FALSE),"")))</x:f>
        <x:v>Spares</x:v>
      </x:c>
      <x:c r="M40" s="11" t="n">
        <x:f>IF(A40="","",IF(B40="",0,IF(COUNTIFS($A$8:$A$39,B40)=1,IF(ISNUMBER(VLOOKUP(B40,$A$8:$N$39,13,FALSE)),VLOOKUP(B40,$A$8:$N$39,13,FALSE)+1,""),"")))</x:f>
        <x:v>1</x:v>
      </x:c>
      <x:c r="N40" s="9" t="str">
        <x:f>IF(A40="","",IF(COUNTIFS('Layout'!$A$8:$A$207,A40)&lt;&gt;1,"Duplicate role",IF(AND(B40&lt;&gt;"",COUNTIFS($A$8:$A$39,B40)&lt;&gt;1),"Parent must appear above child",IF(COUNTIFS('Definitions'!$A$8:$A$207,G40)&lt;&gt;1,"Unknown / duplicate definition",IF(AND(B40="",OR(C40="",D40&lt;&gt;"",AND(F40&lt;&gt;"Build",F40&lt;&gt;"Spares"))),"Set root definition and purpose",IF(AND(B40&lt;&gt;"",COUNTIFS('Recipes'!$A$8:$A$207,D40)&lt;&gt;1),"Choose a unique recipe line",IF(AND(B40&lt;&gt;"",OR(C40&lt;&gt;"",F40&lt;&gt;"")),"Clear child root-only inputs",IF(AND(B40&lt;&gt;"",COUNTIFS($A$8:$A$39,B40)=1,COUNTIFS('Recipes'!$A$8:$A$207,D40)=1),IF(VLOOKUP(D40,'Recipes'!$A$8:$F$207,2,FALSE)&lt;&gt;VLOOKUP(B40,$A$8:$N$39,7,FALSE),"Recipe parent mismatch",IF(COUNTIFS($B$8:$B$207,B40,$D$8:$D$207,D40)&lt;&gt;1,"Duplicate child recipe",IF(OR(NOT(ISNUMBER(J40)),J40&lt;0,MOD(J40,1)&lt;&gt;0),"Set nonnegative whole qty",IF(COUNTIFS('Recipes'!$B$8:$B$207,G40)&lt;&gt;COUNTIFS($B$8:$B$207,A40,$D$8:$D$207,"&lt;&gt;",$A$8:$A$207,"&lt;&gt;"),"Missing / extra recipe children","OK")))),IF(OR(NOT(ISNUMBER(J40)),J40&lt;0,MOD(J40,1)&lt;&gt;0),"Set nonnegative whole qty",IF(COUNTIFS('Recipes'!$B$8:$B$207,G40)&lt;&gt;COUNTIFS($B$8:$B$207,A40,$D$8:$D$207,"&lt;&gt;",$A$8:$A$207,"&lt;&gt;"),"Missing / extra recipe children","OK"))))))))))</x:f>
        <x:v>OK</x:v>
      </x:c>
    </x:row>
    <x:row r="41" ht="22" customHeight="1">
      <x:c r="A41" s="10" t="str">
        <x:v>spares:power</x:v>
      </x:c>
      <x:c r="B41" s="10" t="str">
        <x:v>spares</x:v>
      </x:c>
      <x:c r="C41" s="10" t="str"/>
      <x:c r="D41" s="10" t="str">
        <x:v>R-SP-POWER</x:v>
      </x:c>
      <x:c r="E41" s="12"/>
      <x:c r="F41" s="10" t="str"/>
      <x:c r="G41" s="9" t="str">
        <x:f>IF(A41="","",IF(B41="",C41,IF(COUNTIFS('Recipes'!$A$8:$A$207,D41)=1,VLOOKUP(D41,'Recipes'!$A$8:$F$207,3,FALSE),"")))</x:f>
        <x:v>P-POWER</x:v>
      </x:c>
      <x:c r="H41" s="9" t="str">
        <x:f>IF(A41="","",IF(COUNTIFS('Definitions'!$A$8:$A$207,G41)=1,REPT("    ",IF(ISNUMBER(M41),M41,0))&amp;VLOOKUP(G41,'Definitions'!$A$8:$J$207,2,FALSE),"Unknown definition"))</x:f>
        <x:v>    Power lead</x:v>
      </x:c>
      <x:c r="I41" s="11" t="n">
        <x:f>IF(A41="","",IF(B41="",1,IF(COUNTIFS('Recipes'!$A$8:$A$207,D41)=1,VLOOKUP(D41,'Recipes'!$A$8:$F$207,4,FALSE),"")))</x:f>
        <x:v>2</x:v>
      </x:c>
      <x:c r="J41" s="11" t="n">
        <x:f>IF(A41="","",IF(ISBLANK(E41),I41,E41))</x:f>
        <x:v>2</x:v>
      </x:c>
      <x:c r="K41" s="11" t="n">
        <x:f>IF(A41="","",IF(NOT(ISNUMBER(J41)),"",IF(B41="",J41,IF(COUNTIFS($A$8:$A$40,B41)=1,IF(ISNUMBER(VLOOKUP(B41,$A$8:$N$40,11,FALSE)),J41*VLOOKUP(B41,$A$8:$N$40,11,FALSE),""),""))))</x:f>
        <x:v>2</x:v>
      </x:c>
      <x:c r="L41" s="9" t="str">
        <x:f>IF(A41="","",IF(B41="",F41,IF(COUNTIFS($A$8:$A$40,B41)=1,VLOOKUP(B41,$A$8:$N$40,12,FALSE),"")))</x:f>
        <x:v>Spares</x:v>
      </x:c>
      <x:c r="M41" s="11" t="n">
        <x:f>IF(A41="","",IF(B41="",0,IF(COUNTIFS($A$8:$A$40,B41)=1,IF(ISNUMBER(VLOOKUP(B41,$A$8:$N$40,13,FALSE)),VLOOKUP(B41,$A$8:$N$40,13,FALSE)+1,""),"")))</x:f>
        <x:v>1</x:v>
      </x:c>
      <x:c r="N41" s="9" t="str">
        <x:f>IF(A41="","",IF(COUNTIFS('Layout'!$A$8:$A$207,A41)&lt;&gt;1,"Duplicate role",IF(AND(B41&lt;&gt;"",COUNTIFS($A$8:$A$40,B41)&lt;&gt;1),"Parent must appear above child",IF(COUNTIFS('Definitions'!$A$8:$A$207,G41)&lt;&gt;1,"Unknown / duplicate definition",IF(AND(B41="",OR(C41="",D41&lt;&gt;"",AND(F41&lt;&gt;"Build",F41&lt;&gt;"Spares"))),"Set root definition and purpose",IF(AND(B41&lt;&gt;"",COUNTIFS('Recipes'!$A$8:$A$207,D41)&lt;&gt;1),"Choose a unique recipe line",IF(AND(B41&lt;&gt;"",OR(C41&lt;&gt;"",F41&lt;&gt;"")),"Clear child root-only inputs",IF(AND(B41&lt;&gt;"",COUNTIFS($A$8:$A$40,B41)=1,COUNTIFS('Recipes'!$A$8:$A$207,D41)=1),IF(VLOOKUP(D41,'Recipes'!$A$8:$F$207,2,FALSE)&lt;&gt;VLOOKUP(B41,$A$8:$N$40,7,FALSE),"Recipe parent mismatch",IF(COUNTIFS($B$8:$B$207,B41,$D$8:$D$207,D41)&lt;&gt;1,"Duplicate child recipe",IF(OR(NOT(ISNUMBER(J41)),J41&lt;0,MOD(J41,1)&lt;&gt;0),"Set nonnegative whole qty",IF(COUNTIFS('Recipes'!$B$8:$B$207,G41)&lt;&gt;COUNTIFS($B$8:$B$207,A41,$D$8:$D$207,"&lt;&gt;",$A$8:$A$207,"&lt;&gt;"),"Missing / extra recipe children","OK")))),IF(OR(NOT(ISNUMBER(J41)),J41&lt;0,MOD(J41,1)&lt;&gt;0),"Set nonnegative whole qty",IF(COUNTIFS('Recipes'!$B$8:$B$207,G41)&lt;&gt;COUNTIFS($B$8:$B$207,A41,$D$8:$D$207,"&lt;&gt;",$A$8:$A$207,"&lt;&gt;"),"Missing / extra recipe children","OK"))))))))))</x:f>
        <x:v>OK</x:v>
      </x:c>
    </x:row>
    <x:row r="42" ht="22" customHeight="1">
      <x:c r="A42" s="10" t="str">
        <x:v>spares:transceivers</x:v>
      </x:c>
      <x:c r="B42" s="10" t="str">
        <x:v>spares</x:v>
      </x:c>
      <x:c r="C42" s="10" t="str"/>
      <x:c r="D42" s="10" t="str">
        <x:v>R-SP-OPT</x:v>
      </x:c>
      <x:c r="E42" s="12"/>
      <x:c r="F42" s="10" t="str"/>
      <x:c r="G42" s="9" t="str">
        <x:f>IF(A42="","",IF(B42="",C42,IF(COUNTIFS('Recipes'!$A$8:$A$207,D42)=1,VLOOKUP(D42,'Recipes'!$A$8:$F$207,3,FALSE),"")))</x:f>
        <x:v>P-OPTIC</x:v>
      </x:c>
      <x:c r="H42" s="9" t="str">
        <x:f>IF(A42="","",IF(COUNTIFS('Definitions'!$A$8:$A$207,G42)=1,REPT("    ",IF(ISNUMBER(M42),M42,0))&amp;VLOOKUP(G42,'Definitions'!$A$8:$J$207,2,FALSE),"Unknown definition"))</x:f>
        <x:v>    Transceiver</x:v>
      </x:c>
      <x:c r="I42" s="11" t="n">
        <x:f>IF(A42="","",IF(B42="",1,IF(COUNTIFS('Recipes'!$A$8:$A$207,D42)=1,VLOOKUP(D42,'Recipes'!$A$8:$F$207,4,FALSE),"")))</x:f>
        <x:v>2</x:v>
      </x:c>
      <x:c r="J42" s="11" t="n">
        <x:f>IF(A42="","",IF(ISBLANK(E42),I42,E42))</x:f>
        <x:v>2</x:v>
      </x:c>
      <x:c r="K42" s="11" t="n">
        <x:f>IF(A42="","",IF(NOT(ISNUMBER(J42)),"",IF(B42="",J42,IF(COUNTIFS($A$8:$A$41,B42)=1,IF(ISNUMBER(VLOOKUP(B42,$A$8:$N$41,11,FALSE)),J42*VLOOKUP(B42,$A$8:$N$41,11,FALSE),""),""))))</x:f>
        <x:v>2</x:v>
      </x:c>
      <x:c r="L42" s="9" t="str">
        <x:f>IF(A42="","",IF(B42="",F42,IF(COUNTIFS($A$8:$A$41,B42)=1,VLOOKUP(B42,$A$8:$N$41,12,FALSE),"")))</x:f>
        <x:v>Spares</x:v>
      </x:c>
      <x:c r="M42" s="11" t="n">
        <x:f>IF(A42="","",IF(B42="",0,IF(COUNTIFS($A$8:$A$41,B42)=1,IF(ISNUMBER(VLOOKUP(B42,$A$8:$N$41,13,FALSE)),VLOOKUP(B42,$A$8:$N$41,13,FALSE)+1,""),"")))</x:f>
        <x:v>1</x:v>
      </x:c>
      <x:c r="N42" s="9" t="str">
        <x:f>IF(A42="","",IF(COUNTIFS('Layout'!$A$8:$A$207,A42)&lt;&gt;1,"Duplicate role",IF(AND(B42&lt;&gt;"",COUNTIFS($A$8:$A$41,B42)&lt;&gt;1),"Parent must appear above child",IF(COUNTIFS('Definitions'!$A$8:$A$207,G42)&lt;&gt;1,"Unknown / duplicate definition",IF(AND(B42="",OR(C42="",D42&lt;&gt;"",AND(F42&lt;&gt;"Build",F42&lt;&gt;"Spares"))),"Set root definition and purpose",IF(AND(B42&lt;&gt;"",COUNTIFS('Recipes'!$A$8:$A$207,D42)&lt;&gt;1),"Choose a unique recipe line",IF(AND(B42&lt;&gt;"",OR(C42&lt;&gt;"",F42&lt;&gt;"")),"Clear child root-only inputs",IF(AND(B42&lt;&gt;"",COUNTIFS($A$8:$A$41,B42)=1,COUNTIFS('Recipes'!$A$8:$A$207,D42)=1),IF(VLOOKUP(D42,'Recipes'!$A$8:$F$207,2,FALSE)&lt;&gt;VLOOKUP(B42,$A$8:$N$41,7,FALSE),"Recipe parent mismatch",IF(COUNTIFS($B$8:$B$207,B42,$D$8:$D$207,D42)&lt;&gt;1,"Duplicate child recipe",IF(OR(NOT(ISNUMBER(J42)),J42&lt;0,MOD(J42,1)&lt;&gt;0),"Set nonnegative whole qty",IF(COUNTIFS('Recipes'!$B$8:$B$207,G42)&lt;&gt;COUNTIFS($B$8:$B$207,A42,$D$8:$D$207,"&lt;&gt;",$A$8:$A$207,"&lt;&gt;"),"Missing / extra recipe children","OK")))),IF(OR(NOT(ISNUMBER(J42)),J42&lt;0,MOD(J42,1)&lt;&gt;0),"Set nonnegative whole qty",IF(COUNTIFS('Recipes'!$B$8:$B$207,G42)&lt;&gt;COUNTIFS($B$8:$B$207,A42,$D$8:$D$207,"&lt;&gt;",$A$8:$A$207,"&lt;&gt;"),"Missing / extra recipe children","OK"))))))))))</x:f>
        <x:v>OK</x:v>
      </x:c>
    </x:row>
    <x:row r="43" ht="22" customHeight="1">
      <x:c r="A43" s="10"/>
      <x:c r="B43" s="10"/>
      <x:c r="C43" s="10"/>
      <x:c r="D43" s="10"/>
      <x:c r="E43" s="12"/>
      <x:c r="F43" s="10"/>
      <x:c r="G43" s="9" t="str">
        <x:f>IF(A43="","",IF(B43="",C43,IF(COUNTIFS('Recipes'!$A$8:$A$207,D43)=1,VLOOKUP(D43,'Recipes'!$A$8:$F$207,3,FALSE),"")))</x:f>
      </x:c>
      <x:c r="H43" s="9" t="str">
        <x:f>IF(A43="","",IF(COUNTIFS('Definitions'!$A$8:$A$207,G43)=1,REPT("    ",IF(ISNUMBER(M43),M43,0))&amp;VLOOKUP(G43,'Definitions'!$A$8:$J$207,2,FALSE),"Unknown definition"))</x:f>
      </x:c>
      <x:c r="I43" s="11" t="str">
        <x:f>IF(A43="","",IF(B43="",1,IF(COUNTIFS('Recipes'!$A$8:$A$207,D43)=1,VLOOKUP(D43,'Recipes'!$A$8:$F$207,4,FALSE),"")))</x:f>
      </x:c>
      <x:c r="J43" s="11" t="str">
        <x:f>IF(A43="","",IF(ISBLANK(E43),I43,E43))</x:f>
      </x:c>
      <x:c r="K43" s="11" t="str">
        <x:f>IF(A43="","",IF(NOT(ISNUMBER(J43)),"",IF(B43="",J43,IF(COUNTIFS($A$8:$A$42,B43)=1,IF(ISNUMBER(VLOOKUP(B43,$A$8:$N$42,11,FALSE)),J43*VLOOKUP(B43,$A$8:$N$42,11,FALSE),""),""))))</x:f>
      </x:c>
      <x:c r="L43" s="9" t="str">
        <x:f>IF(A43="","",IF(B43="",F43,IF(COUNTIFS($A$8:$A$42,B43)=1,VLOOKUP(B43,$A$8:$N$42,12,FALSE),"")))</x:f>
      </x:c>
      <x:c r="M43" s="11" t="str">
        <x:f>IF(A43="","",IF(B43="",0,IF(COUNTIFS($A$8:$A$42,B43)=1,IF(ISNUMBER(VLOOKUP(B43,$A$8:$N$42,13,FALSE)),VLOOKUP(B43,$A$8:$N$42,13,FALSE)+1,""),"")))</x:f>
      </x:c>
      <x:c r="N43" s="9" t="str">
        <x:f>IF(A43="","",IF(COUNTIFS('Layout'!$A$8:$A$207,A43)&lt;&gt;1,"Duplicate role",IF(AND(B43&lt;&gt;"",COUNTIFS($A$8:$A$42,B43)&lt;&gt;1),"Parent must appear above child",IF(COUNTIFS('Definitions'!$A$8:$A$207,G43)&lt;&gt;1,"Unknown / duplicate definition",IF(AND(B43="",OR(C43="",D43&lt;&gt;"",AND(F43&lt;&gt;"Build",F43&lt;&gt;"Spares"))),"Set root definition and purpose",IF(AND(B43&lt;&gt;"",COUNTIFS('Recipes'!$A$8:$A$207,D43)&lt;&gt;1),"Choose a unique recipe line",IF(AND(B43&lt;&gt;"",OR(C43&lt;&gt;"",F43&lt;&gt;"")),"Clear child root-only inputs",IF(AND(B43&lt;&gt;"",COUNTIFS($A$8:$A$42,B43)=1,COUNTIFS('Recipes'!$A$8:$A$207,D43)=1),IF(VLOOKUP(D43,'Recipes'!$A$8:$F$207,2,FALSE)&lt;&gt;VLOOKUP(B43,$A$8:$N$42,7,FALSE),"Recipe parent mismatch",IF(COUNTIFS($B$8:$B$207,B43,$D$8:$D$207,D43)&lt;&gt;1,"Duplicate child recipe",IF(OR(NOT(ISNUMBER(J43)),J43&lt;0,MOD(J43,1)&lt;&gt;0),"Set nonnegative whole qty",IF(COUNTIFS('Recipes'!$B$8:$B$207,G43)&lt;&gt;COUNTIFS($B$8:$B$207,A43,$D$8:$D$207,"&lt;&gt;",$A$8:$A$207,"&lt;&gt;"),"Missing / extra recipe children","OK")))),IF(OR(NOT(ISNUMBER(J43)),J43&lt;0,MOD(J43,1)&lt;&gt;0),"Set nonnegative whole qty",IF(COUNTIFS('Recipes'!$B$8:$B$207,G43)&lt;&gt;COUNTIFS($B$8:$B$207,A43,$D$8:$D$207,"&lt;&gt;",$A$8:$A$207,"&lt;&gt;"),"Missing / extra recipe children","OK"))))))))))</x:f>
      </x:c>
    </x:row>
    <x:row r="44" ht="22" customHeight="1">
      <x:c r="A44" s="10"/>
      <x:c r="B44" s="10"/>
      <x:c r="C44" s="10"/>
      <x:c r="D44" s="10"/>
      <x:c r="E44" s="12"/>
      <x:c r="F44" s="10"/>
      <x:c r="G44" s="9" t="str">
        <x:f>IF(A44="","",IF(B44="",C44,IF(COUNTIFS('Recipes'!$A$8:$A$207,D44)=1,VLOOKUP(D44,'Recipes'!$A$8:$F$207,3,FALSE),"")))</x:f>
      </x:c>
      <x:c r="H44" s="9" t="str">
        <x:f>IF(A44="","",IF(COUNTIFS('Definitions'!$A$8:$A$207,G44)=1,REPT("    ",IF(ISNUMBER(M44),M44,0))&amp;VLOOKUP(G44,'Definitions'!$A$8:$J$207,2,FALSE),"Unknown definition"))</x:f>
      </x:c>
      <x:c r="I44" s="11" t="str">
        <x:f>IF(A44="","",IF(B44="",1,IF(COUNTIFS('Recipes'!$A$8:$A$207,D44)=1,VLOOKUP(D44,'Recipes'!$A$8:$F$207,4,FALSE),"")))</x:f>
      </x:c>
      <x:c r="J44" s="11" t="str">
        <x:f>IF(A44="","",IF(ISBLANK(E44),I44,E44))</x:f>
      </x:c>
      <x:c r="K44" s="11" t="str">
        <x:f>IF(A44="","",IF(NOT(ISNUMBER(J44)),"",IF(B44="",J44,IF(COUNTIFS($A$8:$A$43,B44)=1,IF(ISNUMBER(VLOOKUP(B44,$A$8:$N$43,11,FALSE)),J44*VLOOKUP(B44,$A$8:$N$43,11,FALSE),""),""))))</x:f>
      </x:c>
      <x:c r="L44" s="9" t="str">
        <x:f>IF(A44="","",IF(B44="",F44,IF(COUNTIFS($A$8:$A$43,B44)=1,VLOOKUP(B44,$A$8:$N$43,12,FALSE),"")))</x:f>
      </x:c>
      <x:c r="M44" s="11" t="str">
        <x:f>IF(A44="","",IF(B44="",0,IF(COUNTIFS($A$8:$A$43,B44)=1,IF(ISNUMBER(VLOOKUP(B44,$A$8:$N$43,13,FALSE)),VLOOKUP(B44,$A$8:$N$43,13,FALSE)+1,""),"")))</x:f>
      </x:c>
      <x:c r="N44" s="9" t="str">
        <x:f>IF(A44="","",IF(COUNTIFS('Layout'!$A$8:$A$207,A44)&lt;&gt;1,"Duplicate role",IF(AND(B44&lt;&gt;"",COUNTIFS($A$8:$A$43,B44)&lt;&gt;1),"Parent must appear above child",IF(COUNTIFS('Definitions'!$A$8:$A$207,G44)&lt;&gt;1,"Unknown / duplicate definition",IF(AND(B44="",OR(C44="",D44&lt;&gt;"",AND(F44&lt;&gt;"Build",F44&lt;&gt;"Spares"))),"Set root definition and purpose",IF(AND(B44&lt;&gt;"",COUNTIFS('Recipes'!$A$8:$A$207,D44)&lt;&gt;1),"Choose a unique recipe line",IF(AND(B44&lt;&gt;"",OR(C44&lt;&gt;"",F44&lt;&gt;"")),"Clear child root-only inputs",IF(AND(B44&lt;&gt;"",COUNTIFS($A$8:$A$43,B44)=1,COUNTIFS('Recipes'!$A$8:$A$207,D44)=1),IF(VLOOKUP(D44,'Recipes'!$A$8:$F$207,2,FALSE)&lt;&gt;VLOOKUP(B44,$A$8:$N$43,7,FALSE),"Recipe parent mismatch",IF(COUNTIFS($B$8:$B$207,B44,$D$8:$D$207,D44)&lt;&gt;1,"Duplicate child recipe",IF(OR(NOT(ISNUMBER(J44)),J44&lt;0,MOD(J44,1)&lt;&gt;0),"Set nonnegative whole qty",IF(COUNTIFS('Recipes'!$B$8:$B$207,G44)&lt;&gt;COUNTIFS($B$8:$B$207,A44,$D$8:$D$207,"&lt;&gt;",$A$8:$A$207,"&lt;&gt;"),"Missing / extra recipe children","OK")))),IF(OR(NOT(ISNUMBER(J44)),J44&lt;0,MOD(J44,1)&lt;&gt;0),"Set nonnegative whole qty",IF(COUNTIFS('Recipes'!$B$8:$B$207,G44)&lt;&gt;COUNTIFS($B$8:$B$207,A44,$D$8:$D$207,"&lt;&gt;",$A$8:$A$207,"&lt;&gt;"),"Missing / extra recipe children","OK"))))))))))</x:f>
      </x:c>
    </x:row>
    <x:row r="45" ht="22" customHeight="1">
      <x:c r="A45" s="10"/>
      <x:c r="B45" s="10"/>
      <x:c r="C45" s="10"/>
      <x:c r="D45" s="10"/>
      <x:c r="E45" s="12"/>
      <x:c r="F45" s="10"/>
      <x:c r="G45" s="9" t="str">
        <x:f>IF(A45="","",IF(B45="",C45,IF(COUNTIFS('Recipes'!$A$8:$A$207,D45)=1,VLOOKUP(D45,'Recipes'!$A$8:$F$207,3,FALSE),"")))</x:f>
      </x:c>
      <x:c r="H45" s="9" t="str">
        <x:f>IF(A45="","",IF(COUNTIFS('Definitions'!$A$8:$A$207,G45)=1,REPT("    ",IF(ISNUMBER(M45),M45,0))&amp;VLOOKUP(G45,'Definitions'!$A$8:$J$207,2,FALSE),"Unknown definition"))</x:f>
      </x:c>
      <x:c r="I45" s="11" t="str">
        <x:f>IF(A45="","",IF(B45="",1,IF(COUNTIFS('Recipes'!$A$8:$A$207,D45)=1,VLOOKUP(D45,'Recipes'!$A$8:$F$207,4,FALSE),"")))</x:f>
      </x:c>
      <x:c r="J45" s="11" t="str">
        <x:f>IF(A45="","",IF(ISBLANK(E45),I45,E45))</x:f>
      </x:c>
      <x:c r="K45" s="11" t="str">
        <x:f>IF(A45="","",IF(NOT(ISNUMBER(J45)),"",IF(B45="",J45,IF(COUNTIFS($A$8:$A$44,B45)=1,IF(ISNUMBER(VLOOKUP(B45,$A$8:$N$44,11,FALSE)),J45*VLOOKUP(B45,$A$8:$N$44,11,FALSE),""),""))))</x:f>
      </x:c>
      <x:c r="L45" s="9" t="str">
        <x:f>IF(A45="","",IF(B45="",F45,IF(COUNTIFS($A$8:$A$44,B45)=1,VLOOKUP(B45,$A$8:$N$44,12,FALSE),"")))</x:f>
      </x:c>
      <x:c r="M45" s="11" t="str">
        <x:f>IF(A45="","",IF(B45="",0,IF(COUNTIFS($A$8:$A$44,B45)=1,IF(ISNUMBER(VLOOKUP(B45,$A$8:$N$44,13,FALSE)),VLOOKUP(B45,$A$8:$N$44,13,FALSE)+1,""),"")))</x:f>
      </x:c>
      <x:c r="N45" s="9" t="str">
        <x:f>IF(A45="","",IF(COUNTIFS('Layout'!$A$8:$A$207,A45)&lt;&gt;1,"Duplicate role",IF(AND(B45&lt;&gt;"",COUNTIFS($A$8:$A$44,B45)&lt;&gt;1),"Parent must appear above child",IF(COUNTIFS('Definitions'!$A$8:$A$207,G45)&lt;&gt;1,"Unknown / duplicate definition",IF(AND(B45="",OR(C45="",D45&lt;&gt;"",AND(F45&lt;&gt;"Build",F45&lt;&gt;"Spares"))),"Set root definition and purpose",IF(AND(B45&lt;&gt;"",COUNTIFS('Recipes'!$A$8:$A$207,D45)&lt;&gt;1),"Choose a unique recipe line",IF(AND(B45&lt;&gt;"",OR(C45&lt;&gt;"",F45&lt;&gt;"")),"Clear child root-only inputs",IF(AND(B45&lt;&gt;"",COUNTIFS($A$8:$A$44,B45)=1,COUNTIFS('Recipes'!$A$8:$A$207,D45)=1),IF(VLOOKUP(D45,'Recipes'!$A$8:$F$207,2,FALSE)&lt;&gt;VLOOKUP(B45,$A$8:$N$44,7,FALSE),"Recipe parent mismatch",IF(COUNTIFS($B$8:$B$207,B45,$D$8:$D$207,D45)&lt;&gt;1,"Duplicate child recipe",IF(OR(NOT(ISNUMBER(J45)),J45&lt;0,MOD(J45,1)&lt;&gt;0),"Set nonnegative whole qty",IF(COUNTIFS('Recipes'!$B$8:$B$207,G45)&lt;&gt;COUNTIFS($B$8:$B$207,A45,$D$8:$D$207,"&lt;&gt;",$A$8:$A$207,"&lt;&gt;"),"Missing / extra recipe children","OK")))),IF(OR(NOT(ISNUMBER(J45)),J45&lt;0,MOD(J45,1)&lt;&gt;0),"Set nonnegative whole qty",IF(COUNTIFS('Recipes'!$B$8:$B$207,G45)&lt;&gt;COUNTIFS($B$8:$B$207,A45,$D$8:$D$207,"&lt;&gt;",$A$8:$A$207,"&lt;&gt;"),"Missing / extra recipe children","OK"))))))))))</x:f>
      </x:c>
    </x:row>
    <x:row r="46" ht="22" customHeight="1">
      <x:c r="A46" s="10"/>
      <x:c r="B46" s="10"/>
      <x:c r="C46" s="10"/>
      <x:c r="D46" s="10"/>
      <x:c r="E46" s="12"/>
      <x:c r="F46" s="10"/>
      <x:c r="G46" s="9" t="str">
        <x:f>IF(A46="","",IF(B46="",C46,IF(COUNTIFS('Recipes'!$A$8:$A$207,D46)=1,VLOOKUP(D46,'Recipes'!$A$8:$F$207,3,FALSE),"")))</x:f>
      </x:c>
      <x:c r="H46" s="9" t="str">
        <x:f>IF(A46="","",IF(COUNTIFS('Definitions'!$A$8:$A$207,G46)=1,REPT("    ",IF(ISNUMBER(M46),M46,0))&amp;VLOOKUP(G46,'Definitions'!$A$8:$J$207,2,FALSE),"Unknown definition"))</x:f>
      </x:c>
      <x:c r="I46" s="11" t="str">
        <x:f>IF(A46="","",IF(B46="",1,IF(COUNTIFS('Recipes'!$A$8:$A$207,D46)=1,VLOOKUP(D46,'Recipes'!$A$8:$F$207,4,FALSE),"")))</x:f>
      </x:c>
      <x:c r="J46" s="11" t="str">
        <x:f>IF(A46="","",IF(ISBLANK(E46),I46,E46))</x:f>
      </x:c>
      <x:c r="K46" s="11" t="str">
        <x:f>IF(A46="","",IF(NOT(ISNUMBER(J46)),"",IF(B46="",J46,IF(COUNTIFS($A$8:$A$45,B46)=1,IF(ISNUMBER(VLOOKUP(B46,$A$8:$N$45,11,FALSE)),J46*VLOOKUP(B46,$A$8:$N$45,11,FALSE),""),""))))</x:f>
      </x:c>
      <x:c r="L46" s="9" t="str">
        <x:f>IF(A46="","",IF(B46="",F46,IF(COUNTIFS($A$8:$A$45,B46)=1,VLOOKUP(B46,$A$8:$N$45,12,FALSE),"")))</x:f>
      </x:c>
      <x:c r="M46" s="11" t="str">
        <x:f>IF(A46="","",IF(B46="",0,IF(COUNTIFS($A$8:$A$45,B46)=1,IF(ISNUMBER(VLOOKUP(B46,$A$8:$N$45,13,FALSE)),VLOOKUP(B46,$A$8:$N$45,13,FALSE)+1,""),"")))</x:f>
      </x:c>
      <x:c r="N46" s="9" t="str">
        <x:f>IF(A46="","",IF(COUNTIFS('Layout'!$A$8:$A$207,A46)&lt;&gt;1,"Duplicate role",IF(AND(B46&lt;&gt;"",COUNTIFS($A$8:$A$45,B46)&lt;&gt;1),"Parent must appear above child",IF(COUNTIFS('Definitions'!$A$8:$A$207,G46)&lt;&gt;1,"Unknown / duplicate definition",IF(AND(B46="",OR(C46="",D46&lt;&gt;"",AND(F46&lt;&gt;"Build",F46&lt;&gt;"Spares"))),"Set root definition and purpose",IF(AND(B46&lt;&gt;"",COUNTIFS('Recipes'!$A$8:$A$207,D46)&lt;&gt;1),"Choose a unique recipe line",IF(AND(B46&lt;&gt;"",OR(C46&lt;&gt;"",F46&lt;&gt;"")),"Clear child root-only inputs",IF(AND(B46&lt;&gt;"",COUNTIFS($A$8:$A$45,B46)=1,COUNTIFS('Recipes'!$A$8:$A$207,D46)=1),IF(VLOOKUP(D46,'Recipes'!$A$8:$F$207,2,FALSE)&lt;&gt;VLOOKUP(B46,$A$8:$N$45,7,FALSE),"Recipe parent mismatch",IF(COUNTIFS($B$8:$B$207,B46,$D$8:$D$207,D46)&lt;&gt;1,"Duplicate child recipe",IF(OR(NOT(ISNUMBER(J46)),J46&lt;0,MOD(J46,1)&lt;&gt;0),"Set nonnegative whole qty",IF(COUNTIFS('Recipes'!$B$8:$B$207,G46)&lt;&gt;COUNTIFS($B$8:$B$207,A46,$D$8:$D$207,"&lt;&gt;",$A$8:$A$207,"&lt;&gt;"),"Missing / extra recipe children","OK")))),IF(OR(NOT(ISNUMBER(J46)),J46&lt;0,MOD(J46,1)&lt;&gt;0),"Set nonnegative whole qty",IF(COUNTIFS('Recipes'!$B$8:$B$207,G46)&lt;&gt;COUNTIFS($B$8:$B$207,A46,$D$8:$D$207,"&lt;&gt;",$A$8:$A$207,"&lt;&gt;"),"Missing / extra recipe children","OK"))))))))))</x:f>
      </x:c>
    </x:row>
    <x:row r="47" ht="22" customHeight="1">
      <x:c r="A47" s="10"/>
      <x:c r="B47" s="10"/>
      <x:c r="C47" s="10"/>
      <x:c r="D47" s="10"/>
      <x:c r="E47" s="12"/>
      <x:c r="F47" s="10"/>
      <x:c r="G47" s="9" t="str">
        <x:f>IF(A47="","",IF(B47="",C47,IF(COUNTIFS('Recipes'!$A$8:$A$207,D47)=1,VLOOKUP(D47,'Recipes'!$A$8:$F$207,3,FALSE),"")))</x:f>
      </x:c>
      <x:c r="H47" s="9" t="str">
        <x:f>IF(A47="","",IF(COUNTIFS('Definitions'!$A$8:$A$207,G47)=1,REPT("    ",IF(ISNUMBER(M47),M47,0))&amp;VLOOKUP(G47,'Definitions'!$A$8:$J$207,2,FALSE),"Unknown definition"))</x:f>
      </x:c>
      <x:c r="I47" s="11" t="str">
        <x:f>IF(A47="","",IF(B47="",1,IF(COUNTIFS('Recipes'!$A$8:$A$207,D47)=1,VLOOKUP(D47,'Recipes'!$A$8:$F$207,4,FALSE),"")))</x:f>
      </x:c>
      <x:c r="J47" s="11" t="str">
        <x:f>IF(A47="","",IF(ISBLANK(E47),I47,E47))</x:f>
      </x:c>
      <x:c r="K47" s="11" t="str">
        <x:f>IF(A47="","",IF(NOT(ISNUMBER(J47)),"",IF(B47="",J47,IF(COUNTIFS($A$8:$A$46,B47)=1,IF(ISNUMBER(VLOOKUP(B47,$A$8:$N$46,11,FALSE)),J47*VLOOKUP(B47,$A$8:$N$46,11,FALSE),""),""))))</x:f>
      </x:c>
      <x:c r="L47" s="9" t="str">
        <x:f>IF(A47="","",IF(B47="",F47,IF(COUNTIFS($A$8:$A$46,B47)=1,VLOOKUP(B47,$A$8:$N$46,12,FALSE),"")))</x:f>
      </x:c>
      <x:c r="M47" s="11" t="str">
        <x:f>IF(A47="","",IF(B47="",0,IF(COUNTIFS($A$8:$A$46,B47)=1,IF(ISNUMBER(VLOOKUP(B47,$A$8:$N$46,13,FALSE)),VLOOKUP(B47,$A$8:$N$46,13,FALSE)+1,""),"")))</x:f>
      </x:c>
      <x:c r="N47" s="9" t="str">
        <x:f>IF(A47="","",IF(COUNTIFS('Layout'!$A$8:$A$207,A47)&lt;&gt;1,"Duplicate role",IF(AND(B47&lt;&gt;"",COUNTIFS($A$8:$A$46,B47)&lt;&gt;1),"Parent must appear above child",IF(COUNTIFS('Definitions'!$A$8:$A$207,G47)&lt;&gt;1,"Unknown / duplicate definition",IF(AND(B47="",OR(C47="",D47&lt;&gt;"",AND(F47&lt;&gt;"Build",F47&lt;&gt;"Spares"))),"Set root definition and purpose",IF(AND(B47&lt;&gt;"",COUNTIFS('Recipes'!$A$8:$A$207,D47)&lt;&gt;1),"Choose a unique recipe line",IF(AND(B47&lt;&gt;"",OR(C47&lt;&gt;"",F47&lt;&gt;"")),"Clear child root-only inputs",IF(AND(B47&lt;&gt;"",COUNTIFS($A$8:$A$46,B47)=1,COUNTIFS('Recipes'!$A$8:$A$207,D47)=1),IF(VLOOKUP(D47,'Recipes'!$A$8:$F$207,2,FALSE)&lt;&gt;VLOOKUP(B47,$A$8:$N$46,7,FALSE),"Recipe parent mismatch",IF(COUNTIFS($B$8:$B$207,B47,$D$8:$D$207,D47)&lt;&gt;1,"Duplicate child recipe",IF(OR(NOT(ISNUMBER(J47)),J47&lt;0,MOD(J47,1)&lt;&gt;0),"Set nonnegative whole qty",IF(COUNTIFS('Recipes'!$B$8:$B$207,G47)&lt;&gt;COUNTIFS($B$8:$B$207,A47,$D$8:$D$207,"&lt;&gt;",$A$8:$A$207,"&lt;&gt;"),"Missing / extra recipe children","OK")))),IF(OR(NOT(ISNUMBER(J47)),J47&lt;0,MOD(J47,1)&lt;&gt;0),"Set nonnegative whole qty",IF(COUNTIFS('Recipes'!$B$8:$B$207,G47)&lt;&gt;COUNTIFS($B$8:$B$207,A47,$D$8:$D$207,"&lt;&gt;",$A$8:$A$207,"&lt;&gt;"),"Missing / extra recipe children","OK"))))))))))</x:f>
      </x:c>
    </x:row>
    <x:row r="48" ht="22" customHeight="1">
      <x:c r="A48" s="10"/>
      <x:c r="B48" s="10"/>
      <x:c r="C48" s="10"/>
      <x:c r="D48" s="10"/>
      <x:c r="E48" s="12"/>
      <x:c r="F48" s="10"/>
      <x:c r="G48" s="9" t="str">
        <x:f>IF(A48="","",IF(B48="",C48,IF(COUNTIFS('Recipes'!$A$8:$A$207,D48)=1,VLOOKUP(D48,'Recipes'!$A$8:$F$207,3,FALSE),"")))</x:f>
      </x:c>
      <x:c r="H48" s="9" t="str">
        <x:f>IF(A48="","",IF(COUNTIFS('Definitions'!$A$8:$A$207,G48)=1,REPT("    ",IF(ISNUMBER(M48),M48,0))&amp;VLOOKUP(G48,'Definitions'!$A$8:$J$207,2,FALSE),"Unknown definition"))</x:f>
      </x:c>
      <x:c r="I48" s="11" t="str">
        <x:f>IF(A48="","",IF(B48="",1,IF(COUNTIFS('Recipes'!$A$8:$A$207,D48)=1,VLOOKUP(D48,'Recipes'!$A$8:$F$207,4,FALSE),"")))</x:f>
      </x:c>
      <x:c r="J48" s="11" t="str">
        <x:f>IF(A48="","",IF(ISBLANK(E48),I48,E48))</x:f>
      </x:c>
      <x:c r="K48" s="11" t="str">
        <x:f>IF(A48="","",IF(NOT(ISNUMBER(J48)),"",IF(B48="",J48,IF(COUNTIFS($A$8:$A$47,B48)=1,IF(ISNUMBER(VLOOKUP(B48,$A$8:$N$47,11,FALSE)),J48*VLOOKUP(B48,$A$8:$N$47,11,FALSE),""),""))))</x:f>
      </x:c>
      <x:c r="L48" s="9" t="str">
        <x:f>IF(A48="","",IF(B48="",F48,IF(COUNTIFS($A$8:$A$47,B48)=1,VLOOKUP(B48,$A$8:$N$47,12,FALSE),"")))</x:f>
      </x:c>
      <x:c r="M48" s="11" t="str">
        <x:f>IF(A48="","",IF(B48="",0,IF(COUNTIFS($A$8:$A$47,B48)=1,IF(ISNUMBER(VLOOKUP(B48,$A$8:$N$47,13,FALSE)),VLOOKUP(B48,$A$8:$N$47,13,FALSE)+1,""),"")))</x:f>
      </x:c>
      <x:c r="N48" s="9" t="str">
        <x:f>IF(A48="","",IF(COUNTIFS('Layout'!$A$8:$A$207,A48)&lt;&gt;1,"Duplicate role",IF(AND(B48&lt;&gt;"",COUNTIFS($A$8:$A$47,B48)&lt;&gt;1),"Parent must appear above child",IF(COUNTIFS('Definitions'!$A$8:$A$207,G48)&lt;&gt;1,"Unknown / duplicate definition",IF(AND(B48="",OR(C48="",D48&lt;&gt;"",AND(F48&lt;&gt;"Build",F48&lt;&gt;"Spares"))),"Set root definition and purpose",IF(AND(B48&lt;&gt;"",COUNTIFS('Recipes'!$A$8:$A$207,D48)&lt;&gt;1),"Choose a unique recipe line",IF(AND(B48&lt;&gt;"",OR(C48&lt;&gt;"",F48&lt;&gt;"")),"Clear child root-only inputs",IF(AND(B48&lt;&gt;"",COUNTIFS($A$8:$A$47,B48)=1,COUNTIFS('Recipes'!$A$8:$A$207,D48)=1),IF(VLOOKUP(D48,'Recipes'!$A$8:$F$207,2,FALSE)&lt;&gt;VLOOKUP(B48,$A$8:$N$47,7,FALSE),"Recipe parent mismatch",IF(COUNTIFS($B$8:$B$207,B48,$D$8:$D$207,D48)&lt;&gt;1,"Duplicate child recipe",IF(OR(NOT(ISNUMBER(J48)),J48&lt;0,MOD(J48,1)&lt;&gt;0),"Set nonnegative whole qty",IF(COUNTIFS('Recipes'!$B$8:$B$207,G48)&lt;&gt;COUNTIFS($B$8:$B$207,A48,$D$8:$D$207,"&lt;&gt;",$A$8:$A$207,"&lt;&gt;"),"Missing / extra recipe children","OK")))),IF(OR(NOT(ISNUMBER(J48)),J48&lt;0,MOD(J48,1)&lt;&gt;0),"Set nonnegative whole qty",IF(COUNTIFS('Recipes'!$B$8:$B$207,G48)&lt;&gt;COUNTIFS($B$8:$B$207,A48,$D$8:$D$207,"&lt;&gt;",$A$8:$A$207,"&lt;&gt;"),"Missing / extra recipe children","OK"))))))))))</x:f>
      </x:c>
    </x:row>
    <x:row r="49" ht="22" customHeight="1">
      <x:c r="A49" s="10"/>
      <x:c r="B49" s="10"/>
      <x:c r="C49" s="10"/>
      <x:c r="D49" s="10"/>
      <x:c r="E49" s="12"/>
      <x:c r="F49" s="10"/>
      <x:c r="G49" s="9" t="str">
        <x:f>IF(A49="","",IF(B49="",C49,IF(COUNTIFS('Recipes'!$A$8:$A$207,D49)=1,VLOOKUP(D49,'Recipes'!$A$8:$F$207,3,FALSE),"")))</x:f>
      </x:c>
      <x:c r="H49" s="9" t="str">
        <x:f>IF(A49="","",IF(COUNTIFS('Definitions'!$A$8:$A$207,G49)=1,REPT("    ",IF(ISNUMBER(M49),M49,0))&amp;VLOOKUP(G49,'Definitions'!$A$8:$J$207,2,FALSE),"Unknown definition"))</x:f>
      </x:c>
      <x:c r="I49" s="11" t="str">
        <x:f>IF(A49="","",IF(B49="",1,IF(COUNTIFS('Recipes'!$A$8:$A$207,D49)=1,VLOOKUP(D49,'Recipes'!$A$8:$F$207,4,FALSE),"")))</x:f>
      </x:c>
      <x:c r="J49" s="11" t="str">
        <x:f>IF(A49="","",IF(ISBLANK(E49),I49,E49))</x:f>
      </x:c>
      <x:c r="K49" s="11" t="str">
        <x:f>IF(A49="","",IF(NOT(ISNUMBER(J49)),"",IF(B49="",J49,IF(COUNTIFS($A$8:$A$48,B49)=1,IF(ISNUMBER(VLOOKUP(B49,$A$8:$N$48,11,FALSE)),J49*VLOOKUP(B49,$A$8:$N$48,11,FALSE),""),""))))</x:f>
      </x:c>
      <x:c r="L49" s="9" t="str">
        <x:f>IF(A49="","",IF(B49="",F49,IF(COUNTIFS($A$8:$A$48,B49)=1,VLOOKUP(B49,$A$8:$N$48,12,FALSE),"")))</x:f>
      </x:c>
      <x:c r="M49" s="11" t="str">
        <x:f>IF(A49="","",IF(B49="",0,IF(COUNTIFS($A$8:$A$48,B49)=1,IF(ISNUMBER(VLOOKUP(B49,$A$8:$N$48,13,FALSE)),VLOOKUP(B49,$A$8:$N$48,13,FALSE)+1,""),"")))</x:f>
      </x:c>
      <x:c r="N49" s="9" t="str">
        <x:f>IF(A49="","",IF(COUNTIFS('Layout'!$A$8:$A$207,A49)&lt;&gt;1,"Duplicate role",IF(AND(B49&lt;&gt;"",COUNTIFS($A$8:$A$48,B49)&lt;&gt;1),"Parent must appear above child",IF(COUNTIFS('Definitions'!$A$8:$A$207,G49)&lt;&gt;1,"Unknown / duplicate definition",IF(AND(B49="",OR(C49="",D49&lt;&gt;"",AND(F49&lt;&gt;"Build",F49&lt;&gt;"Spares"))),"Set root definition and purpose",IF(AND(B49&lt;&gt;"",COUNTIFS('Recipes'!$A$8:$A$207,D49)&lt;&gt;1),"Choose a unique recipe line",IF(AND(B49&lt;&gt;"",OR(C49&lt;&gt;"",F49&lt;&gt;"")),"Clear child root-only inputs",IF(AND(B49&lt;&gt;"",COUNTIFS($A$8:$A$48,B49)=1,COUNTIFS('Recipes'!$A$8:$A$207,D49)=1),IF(VLOOKUP(D49,'Recipes'!$A$8:$F$207,2,FALSE)&lt;&gt;VLOOKUP(B49,$A$8:$N$48,7,FALSE),"Recipe parent mismatch",IF(COUNTIFS($B$8:$B$207,B49,$D$8:$D$207,D49)&lt;&gt;1,"Duplicate child recipe",IF(OR(NOT(ISNUMBER(J49)),J49&lt;0,MOD(J49,1)&lt;&gt;0),"Set nonnegative whole qty",IF(COUNTIFS('Recipes'!$B$8:$B$207,G49)&lt;&gt;COUNTIFS($B$8:$B$207,A49,$D$8:$D$207,"&lt;&gt;",$A$8:$A$207,"&lt;&gt;"),"Missing / extra recipe children","OK")))),IF(OR(NOT(ISNUMBER(J49)),J49&lt;0,MOD(J49,1)&lt;&gt;0),"Set nonnegative whole qty",IF(COUNTIFS('Recipes'!$B$8:$B$207,G49)&lt;&gt;COUNTIFS($B$8:$B$207,A49,$D$8:$D$207,"&lt;&gt;",$A$8:$A$207,"&lt;&gt;"),"Missing / extra recipe children","OK"))))))))))</x:f>
      </x:c>
    </x:row>
    <x:row r="50" ht="22" customHeight="1">
      <x:c r="A50" s="10"/>
      <x:c r="B50" s="10"/>
      <x:c r="C50" s="10"/>
      <x:c r="D50" s="10"/>
      <x:c r="E50" s="12"/>
      <x:c r="F50" s="10"/>
      <x:c r="G50" s="9" t="str">
        <x:f>IF(A50="","",IF(B50="",C50,IF(COUNTIFS('Recipes'!$A$8:$A$207,D50)=1,VLOOKUP(D50,'Recipes'!$A$8:$F$207,3,FALSE),"")))</x:f>
      </x:c>
      <x:c r="H50" s="9" t="str">
        <x:f>IF(A50="","",IF(COUNTIFS('Definitions'!$A$8:$A$207,G50)=1,REPT("    ",IF(ISNUMBER(M50),M50,0))&amp;VLOOKUP(G50,'Definitions'!$A$8:$J$207,2,FALSE),"Unknown definition"))</x:f>
      </x:c>
      <x:c r="I50" s="11" t="str">
        <x:f>IF(A50="","",IF(B50="",1,IF(COUNTIFS('Recipes'!$A$8:$A$207,D50)=1,VLOOKUP(D50,'Recipes'!$A$8:$F$207,4,FALSE),"")))</x:f>
      </x:c>
      <x:c r="J50" s="11" t="str">
        <x:f>IF(A50="","",IF(ISBLANK(E50),I50,E50))</x:f>
      </x:c>
      <x:c r="K50" s="11" t="str">
        <x:f>IF(A50="","",IF(NOT(ISNUMBER(J50)),"",IF(B50="",J50,IF(COUNTIFS($A$8:$A$49,B50)=1,IF(ISNUMBER(VLOOKUP(B50,$A$8:$N$49,11,FALSE)),J50*VLOOKUP(B50,$A$8:$N$49,11,FALSE),""),""))))</x:f>
      </x:c>
      <x:c r="L50" s="9" t="str">
        <x:f>IF(A50="","",IF(B50="",F50,IF(COUNTIFS($A$8:$A$49,B50)=1,VLOOKUP(B50,$A$8:$N$49,12,FALSE),"")))</x:f>
      </x:c>
      <x:c r="M50" s="11" t="str">
        <x:f>IF(A50="","",IF(B50="",0,IF(COUNTIFS($A$8:$A$49,B50)=1,IF(ISNUMBER(VLOOKUP(B50,$A$8:$N$49,13,FALSE)),VLOOKUP(B50,$A$8:$N$49,13,FALSE)+1,""),"")))</x:f>
      </x:c>
      <x:c r="N50" s="9" t="str">
        <x:f>IF(A50="","",IF(COUNTIFS('Layout'!$A$8:$A$207,A50)&lt;&gt;1,"Duplicate role",IF(AND(B50&lt;&gt;"",COUNTIFS($A$8:$A$49,B50)&lt;&gt;1),"Parent must appear above child",IF(COUNTIFS('Definitions'!$A$8:$A$207,G50)&lt;&gt;1,"Unknown / duplicate definition",IF(AND(B50="",OR(C50="",D50&lt;&gt;"",AND(F50&lt;&gt;"Build",F50&lt;&gt;"Spares"))),"Set root definition and purpose",IF(AND(B50&lt;&gt;"",COUNTIFS('Recipes'!$A$8:$A$207,D50)&lt;&gt;1),"Choose a unique recipe line",IF(AND(B50&lt;&gt;"",OR(C50&lt;&gt;"",F50&lt;&gt;"")),"Clear child root-only inputs",IF(AND(B50&lt;&gt;"",COUNTIFS($A$8:$A$49,B50)=1,COUNTIFS('Recipes'!$A$8:$A$207,D50)=1),IF(VLOOKUP(D50,'Recipes'!$A$8:$F$207,2,FALSE)&lt;&gt;VLOOKUP(B50,$A$8:$N$49,7,FALSE),"Recipe parent mismatch",IF(COUNTIFS($B$8:$B$207,B50,$D$8:$D$207,D50)&lt;&gt;1,"Duplicate child recipe",IF(OR(NOT(ISNUMBER(J50)),J50&lt;0,MOD(J50,1)&lt;&gt;0),"Set nonnegative whole qty",IF(COUNTIFS('Recipes'!$B$8:$B$207,G50)&lt;&gt;COUNTIFS($B$8:$B$207,A50,$D$8:$D$207,"&lt;&gt;",$A$8:$A$207,"&lt;&gt;"),"Missing / extra recipe children","OK")))),IF(OR(NOT(ISNUMBER(J50)),J50&lt;0,MOD(J50,1)&lt;&gt;0),"Set nonnegative whole qty",IF(COUNTIFS('Recipes'!$B$8:$B$207,G50)&lt;&gt;COUNTIFS($B$8:$B$207,A50,$D$8:$D$207,"&lt;&gt;",$A$8:$A$207,"&lt;&gt;"),"Missing / extra recipe children","OK"))))))))))</x:f>
      </x:c>
    </x:row>
    <x:row r="51" ht="22" customHeight="1">
      <x:c r="A51" s="10"/>
      <x:c r="B51" s="10"/>
      <x:c r="C51" s="10"/>
      <x:c r="D51" s="10"/>
      <x:c r="E51" s="12"/>
      <x:c r="F51" s="10"/>
      <x:c r="G51" s="9" t="str">
        <x:f>IF(A51="","",IF(B51="",C51,IF(COUNTIFS('Recipes'!$A$8:$A$207,D51)=1,VLOOKUP(D51,'Recipes'!$A$8:$F$207,3,FALSE),"")))</x:f>
      </x:c>
      <x:c r="H51" s="9" t="str">
        <x:f>IF(A51="","",IF(COUNTIFS('Definitions'!$A$8:$A$207,G51)=1,REPT("    ",IF(ISNUMBER(M51),M51,0))&amp;VLOOKUP(G51,'Definitions'!$A$8:$J$207,2,FALSE),"Unknown definition"))</x:f>
      </x:c>
      <x:c r="I51" s="11" t="str">
        <x:f>IF(A51="","",IF(B51="",1,IF(COUNTIFS('Recipes'!$A$8:$A$207,D51)=1,VLOOKUP(D51,'Recipes'!$A$8:$F$207,4,FALSE),"")))</x:f>
      </x:c>
      <x:c r="J51" s="11" t="str">
        <x:f>IF(A51="","",IF(ISBLANK(E51),I51,E51))</x:f>
      </x:c>
      <x:c r="K51" s="11" t="str">
        <x:f>IF(A51="","",IF(NOT(ISNUMBER(J51)),"",IF(B51="",J51,IF(COUNTIFS($A$8:$A$50,B51)=1,IF(ISNUMBER(VLOOKUP(B51,$A$8:$N$50,11,FALSE)),J51*VLOOKUP(B51,$A$8:$N$50,11,FALSE),""),""))))</x:f>
      </x:c>
      <x:c r="L51" s="9" t="str">
        <x:f>IF(A51="","",IF(B51="",F51,IF(COUNTIFS($A$8:$A$50,B51)=1,VLOOKUP(B51,$A$8:$N$50,12,FALSE),"")))</x:f>
      </x:c>
      <x:c r="M51" s="11" t="str">
        <x:f>IF(A51="","",IF(B51="",0,IF(COUNTIFS($A$8:$A$50,B51)=1,IF(ISNUMBER(VLOOKUP(B51,$A$8:$N$50,13,FALSE)),VLOOKUP(B51,$A$8:$N$50,13,FALSE)+1,""),"")))</x:f>
      </x:c>
      <x:c r="N51" s="9" t="str">
        <x:f>IF(A51="","",IF(COUNTIFS('Layout'!$A$8:$A$207,A51)&lt;&gt;1,"Duplicate role",IF(AND(B51&lt;&gt;"",COUNTIFS($A$8:$A$50,B51)&lt;&gt;1),"Parent must appear above child",IF(COUNTIFS('Definitions'!$A$8:$A$207,G51)&lt;&gt;1,"Unknown / duplicate definition",IF(AND(B51="",OR(C51="",D51&lt;&gt;"",AND(F51&lt;&gt;"Build",F51&lt;&gt;"Spares"))),"Set root definition and purpose",IF(AND(B51&lt;&gt;"",COUNTIFS('Recipes'!$A$8:$A$207,D51)&lt;&gt;1),"Choose a unique recipe line",IF(AND(B51&lt;&gt;"",OR(C51&lt;&gt;"",F51&lt;&gt;"")),"Clear child root-only inputs",IF(AND(B51&lt;&gt;"",COUNTIFS($A$8:$A$50,B51)=1,COUNTIFS('Recipes'!$A$8:$A$207,D51)=1),IF(VLOOKUP(D51,'Recipes'!$A$8:$F$207,2,FALSE)&lt;&gt;VLOOKUP(B51,$A$8:$N$50,7,FALSE),"Recipe parent mismatch",IF(COUNTIFS($B$8:$B$207,B51,$D$8:$D$207,D51)&lt;&gt;1,"Duplicate child recipe",IF(OR(NOT(ISNUMBER(J51)),J51&lt;0,MOD(J51,1)&lt;&gt;0),"Set nonnegative whole qty",IF(COUNTIFS('Recipes'!$B$8:$B$207,G51)&lt;&gt;COUNTIFS($B$8:$B$207,A51,$D$8:$D$207,"&lt;&gt;",$A$8:$A$207,"&lt;&gt;"),"Missing / extra recipe children","OK")))),IF(OR(NOT(ISNUMBER(J51)),J51&lt;0,MOD(J51,1)&lt;&gt;0),"Set nonnegative whole qty",IF(COUNTIFS('Recipes'!$B$8:$B$207,G51)&lt;&gt;COUNTIFS($B$8:$B$207,A51,$D$8:$D$207,"&lt;&gt;",$A$8:$A$207,"&lt;&gt;"),"Missing / extra recipe children","OK"))))))))))</x:f>
      </x:c>
    </x:row>
    <x:row r="52" ht="22" customHeight="1">
      <x:c r="A52" s="10"/>
      <x:c r="B52" s="10"/>
      <x:c r="C52" s="10"/>
      <x:c r="D52" s="10"/>
      <x:c r="E52" s="12"/>
      <x:c r="F52" s="10"/>
      <x:c r="G52" s="9" t="str">
        <x:f>IF(A52="","",IF(B52="",C52,IF(COUNTIFS('Recipes'!$A$8:$A$207,D52)=1,VLOOKUP(D52,'Recipes'!$A$8:$F$207,3,FALSE),"")))</x:f>
      </x:c>
      <x:c r="H52" s="9" t="str">
        <x:f>IF(A52="","",IF(COUNTIFS('Definitions'!$A$8:$A$207,G52)=1,REPT("    ",IF(ISNUMBER(M52),M52,0))&amp;VLOOKUP(G52,'Definitions'!$A$8:$J$207,2,FALSE),"Unknown definition"))</x:f>
      </x:c>
      <x:c r="I52" s="11" t="str">
        <x:f>IF(A52="","",IF(B52="",1,IF(COUNTIFS('Recipes'!$A$8:$A$207,D52)=1,VLOOKUP(D52,'Recipes'!$A$8:$F$207,4,FALSE),"")))</x:f>
      </x:c>
      <x:c r="J52" s="11" t="str">
        <x:f>IF(A52="","",IF(ISBLANK(E52),I52,E52))</x:f>
      </x:c>
      <x:c r="K52" s="11" t="str">
        <x:f>IF(A52="","",IF(NOT(ISNUMBER(J52)),"",IF(B52="",J52,IF(COUNTIFS($A$8:$A$51,B52)=1,IF(ISNUMBER(VLOOKUP(B52,$A$8:$N$51,11,FALSE)),J52*VLOOKUP(B52,$A$8:$N$51,11,FALSE),""),""))))</x:f>
      </x:c>
      <x:c r="L52" s="9" t="str">
        <x:f>IF(A52="","",IF(B52="",F52,IF(COUNTIFS($A$8:$A$51,B52)=1,VLOOKUP(B52,$A$8:$N$51,12,FALSE),"")))</x:f>
      </x:c>
      <x:c r="M52" s="11" t="str">
        <x:f>IF(A52="","",IF(B52="",0,IF(COUNTIFS($A$8:$A$51,B52)=1,IF(ISNUMBER(VLOOKUP(B52,$A$8:$N$51,13,FALSE)),VLOOKUP(B52,$A$8:$N$51,13,FALSE)+1,""),"")))</x:f>
      </x:c>
      <x:c r="N52" s="9" t="str">
        <x:f>IF(A52="","",IF(COUNTIFS('Layout'!$A$8:$A$207,A52)&lt;&gt;1,"Duplicate role",IF(AND(B52&lt;&gt;"",COUNTIFS($A$8:$A$51,B52)&lt;&gt;1),"Parent must appear above child",IF(COUNTIFS('Definitions'!$A$8:$A$207,G52)&lt;&gt;1,"Unknown / duplicate definition",IF(AND(B52="",OR(C52="",D52&lt;&gt;"",AND(F52&lt;&gt;"Build",F52&lt;&gt;"Spares"))),"Set root definition and purpose",IF(AND(B52&lt;&gt;"",COUNTIFS('Recipes'!$A$8:$A$207,D52)&lt;&gt;1),"Choose a unique recipe line",IF(AND(B52&lt;&gt;"",OR(C52&lt;&gt;"",F52&lt;&gt;"")),"Clear child root-only inputs",IF(AND(B52&lt;&gt;"",COUNTIFS($A$8:$A$51,B52)=1,COUNTIFS('Recipes'!$A$8:$A$207,D52)=1),IF(VLOOKUP(D52,'Recipes'!$A$8:$F$207,2,FALSE)&lt;&gt;VLOOKUP(B52,$A$8:$N$51,7,FALSE),"Recipe parent mismatch",IF(COUNTIFS($B$8:$B$207,B52,$D$8:$D$207,D52)&lt;&gt;1,"Duplicate child recipe",IF(OR(NOT(ISNUMBER(J52)),J52&lt;0,MOD(J52,1)&lt;&gt;0),"Set nonnegative whole qty",IF(COUNTIFS('Recipes'!$B$8:$B$207,G52)&lt;&gt;COUNTIFS($B$8:$B$207,A52,$D$8:$D$207,"&lt;&gt;",$A$8:$A$207,"&lt;&gt;"),"Missing / extra recipe children","OK")))),IF(OR(NOT(ISNUMBER(J52)),J52&lt;0,MOD(J52,1)&lt;&gt;0),"Set nonnegative whole qty",IF(COUNTIFS('Recipes'!$B$8:$B$207,G52)&lt;&gt;COUNTIFS($B$8:$B$207,A52,$D$8:$D$207,"&lt;&gt;",$A$8:$A$207,"&lt;&gt;"),"Missing / extra recipe children","OK"))))))))))</x:f>
      </x:c>
    </x:row>
    <x:row r="53" ht="22" customHeight="1">
      <x:c r="A53" s="10"/>
      <x:c r="B53" s="10"/>
      <x:c r="C53" s="10"/>
      <x:c r="D53" s="10"/>
      <x:c r="E53" s="12"/>
      <x:c r="F53" s="10"/>
      <x:c r="G53" s="9" t="str">
        <x:f>IF(A53="","",IF(B53="",C53,IF(COUNTIFS('Recipes'!$A$8:$A$207,D53)=1,VLOOKUP(D53,'Recipes'!$A$8:$F$207,3,FALSE),"")))</x:f>
      </x:c>
      <x:c r="H53" s="9" t="str">
        <x:f>IF(A53="","",IF(COUNTIFS('Definitions'!$A$8:$A$207,G53)=1,REPT("    ",IF(ISNUMBER(M53),M53,0))&amp;VLOOKUP(G53,'Definitions'!$A$8:$J$207,2,FALSE),"Unknown definition"))</x:f>
      </x:c>
      <x:c r="I53" s="11" t="str">
        <x:f>IF(A53="","",IF(B53="",1,IF(COUNTIFS('Recipes'!$A$8:$A$207,D53)=1,VLOOKUP(D53,'Recipes'!$A$8:$F$207,4,FALSE),"")))</x:f>
      </x:c>
      <x:c r="J53" s="11" t="str">
        <x:f>IF(A53="","",IF(ISBLANK(E53),I53,E53))</x:f>
      </x:c>
      <x:c r="K53" s="11" t="str">
        <x:f>IF(A53="","",IF(NOT(ISNUMBER(J53)),"",IF(B53="",J53,IF(COUNTIFS($A$8:$A$52,B53)=1,IF(ISNUMBER(VLOOKUP(B53,$A$8:$N$52,11,FALSE)),J53*VLOOKUP(B53,$A$8:$N$52,11,FALSE),""),""))))</x:f>
      </x:c>
      <x:c r="L53" s="9" t="str">
        <x:f>IF(A53="","",IF(B53="",F53,IF(COUNTIFS($A$8:$A$52,B53)=1,VLOOKUP(B53,$A$8:$N$52,12,FALSE),"")))</x:f>
      </x:c>
      <x:c r="M53" s="11" t="str">
        <x:f>IF(A53="","",IF(B53="",0,IF(COUNTIFS($A$8:$A$52,B53)=1,IF(ISNUMBER(VLOOKUP(B53,$A$8:$N$52,13,FALSE)),VLOOKUP(B53,$A$8:$N$52,13,FALSE)+1,""),"")))</x:f>
      </x:c>
      <x:c r="N53" s="9" t="str">
        <x:f>IF(A53="","",IF(COUNTIFS('Layout'!$A$8:$A$207,A53)&lt;&gt;1,"Duplicate role",IF(AND(B53&lt;&gt;"",COUNTIFS($A$8:$A$52,B53)&lt;&gt;1),"Parent must appear above child",IF(COUNTIFS('Definitions'!$A$8:$A$207,G53)&lt;&gt;1,"Unknown / duplicate definition",IF(AND(B53="",OR(C53="",D53&lt;&gt;"",AND(F53&lt;&gt;"Build",F53&lt;&gt;"Spares"))),"Set root definition and purpose",IF(AND(B53&lt;&gt;"",COUNTIFS('Recipes'!$A$8:$A$207,D53)&lt;&gt;1),"Choose a unique recipe line",IF(AND(B53&lt;&gt;"",OR(C53&lt;&gt;"",F53&lt;&gt;"")),"Clear child root-only inputs",IF(AND(B53&lt;&gt;"",COUNTIFS($A$8:$A$52,B53)=1,COUNTIFS('Recipes'!$A$8:$A$207,D53)=1),IF(VLOOKUP(D53,'Recipes'!$A$8:$F$207,2,FALSE)&lt;&gt;VLOOKUP(B53,$A$8:$N$52,7,FALSE),"Recipe parent mismatch",IF(COUNTIFS($B$8:$B$207,B53,$D$8:$D$207,D53)&lt;&gt;1,"Duplicate child recipe",IF(OR(NOT(ISNUMBER(J53)),J53&lt;0,MOD(J53,1)&lt;&gt;0),"Set nonnegative whole qty",IF(COUNTIFS('Recipes'!$B$8:$B$207,G53)&lt;&gt;COUNTIFS($B$8:$B$207,A53,$D$8:$D$207,"&lt;&gt;",$A$8:$A$207,"&lt;&gt;"),"Missing / extra recipe children","OK")))),IF(OR(NOT(ISNUMBER(J53)),J53&lt;0,MOD(J53,1)&lt;&gt;0),"Set nonnegative whole qty",IF(COUNTIFS('Recipes'!$B$8:$B$207,G53)&lt;&gt;COUNTIFS($B$8:$B$207,A53,$D$8:$D$207,"&lt;&gt;",$A$8:$A$207,"&lt;&gt;"),"Missing / extra recipe children","OK"))))))))))</x:f>
      </x:c>
    </x:row>
    <x:row r="54" ht="22" customHeight="1">
      <x:c r="A54" s="10"/>
      <x:c r="B54" s="10"/>
      <x:c r="C54" s="10"/>
      <x:c r="D54" s="10"/>
      <x:c r="E54" s="12"/>
      <x:c r="F54" s="10"/>
      <x:c r="G54" s="9" t="str">
        <x:f>IF(A54="","",IF(B54="",C54,IF(COUNTIFS('Recipes'!$A$8:$A$207,D54)=1,VLOOKUP(D54,'Recipes'!$A$8:$F$207,3,FALSE),"")))</x:f>
      </x:c>
      <x:c r="H54" s="9" t="str">
        <x:f>IF(A54="","",IF(COUNTIFS('Definitions'!$A$8:$A$207,G54)=1,REPT("    ",IF(ISNUMBER(M54),M54,0))&amp;VLOOKUP(G54,'Definitions'!$A$8:$J$207,2,FALSE),"Unknown definition"))</x:f>
      </x:c>
      <x:c r="I54" s="11" t="str">
        <x:f>IF(A54="","",IF(B54="",1,IF(COUNTIFS('Recipes'!$A$8:$A$207,D54)=1,VLOOKUP(D54,'Recipes'!$A$8:$F$207,4,FALSE),"")))</x:f>
      </x:c>
      <x:c r="J54" s="11" t="str">
        <x:f>IF(A54="","",IF(ISBLANK(E54),I54,E54))</x:f>
      </x:c>
      <x:c r="K54" s="11" t="str">
        <x:f>IF(A54="","",IF(NOT(ISNUMBER(J54)),"",IF(B54="",J54,IF(COUNTIFS($A$8:$A$53,B54)=1,IF(ISNUMBER(VLOOKUP(B54,$A$8:$N$53,11,FALSE)),J54*VLOOKUP(B54,$A$8:$N$53,11,FALSE),""),""))))</x:f>
      </x:c>
      <x:c r="L54" s="9" t="str">
        <x:f>IF(A54="","",IF(B54="",F54,IF(COUNTIFS($A$8:$A$53,B54)=1,VLOOKUP(B54,$A$8:$N$53,12,FALSE),"")))</x:f>
      </x:c>
      <x:c r="M54" s="11" t="str">
        <x:f>IF(A54="","",IF(B54="",0,IF(COUNTIFS($A$8:$A$53,B54)=1,IF(ISNUMBER(VLOOKUP(B54,$A$8:$N$53,13,FALSE)),VLOOKUP(B54,$A$8:$N$53,13,FALSE)+1,""),"")))</x:f>
      </x:c>
      <x:c r="N54" s="9" t="str">
        <x:f>IF(A54="","",IF(COUNTIFS('Layout'!$A$8:$A$207,A54)&lt;&gt;1,"Duplicate role",IF(AND(B54&lt;&gt;"",COUNTIFS($A$8:$A$53,B54)&lt;&gt;1),"Parent must appear above child",IF(COUNTIFS('Definitions'!$A$8:$A$207,G54)&lt;&gt;1,"Unknown / duplicate definition",IF(AND(B54="",OR(C54="",D54&lt;&gt;"",AND(F54&lt;&gt;"Build",F54&lt;&gt;"Spares"))),"Set root definition and purpose",IF(AND(B54&lt;&gt;"",COUNTIFS('Recipes'!$A$8:$A$207,D54)&lt;&gt;1),"Choose a unique recipe line",IF(AND(B54&lt;&gt;"",OR(C54&lt;&gt;"",F54&lt;&gt;"")),"Clear child root-only inputs",IF(AND(B54&lt;&gt;"",COUNTIFS($A$8:$A$53,B54)=1,COUNTIFS('Recipes'!$A$8:$A$207,D54)=1),IF(VLOOKUP(D54,'Recipes'!$A$8:$F$207,2,FALSE)&lt;&gt;VLOOKUP(B54,$A$8:$N$53,7,FALSE),"Recipe parent mismatch",IF(COUNTIFS($B$8:$B$207,B54,$D$8:$D$207,D54)&lt;&gt;1,"Duplicate child recipe",IF(OR(NOT(ISNUMBER(J54)),J54&lt;0,MOD(J54,1)&lt;&gt;0),"Set nonnegative whole qty",IF(COUNTIFS('Recipes'!$B$8:$B$207,G54)&lt;&gt;COUNTIFS($B$8:$B$207,A54,$D$8:$D$207,"&lt;&gt;",$A$8:$A$207,"&lt;&gt;"),"Missing / extra recipe children","OK")))),IF(OR(NOT(ISNUMBER(J54)),J54&lt;0,MOD(J54,1)&lt;&gt;0),"Set nonnegative whole qty",IF(COUNTIFS('Recipes'!$B$8:$B$207,G54)&lt;&gt;COUNTIFS($B$8:$B$207,A54,$D$8:$D$207,"&lt;&gt;",$A$8:$A$207,"&lt;&gt;"),"Missing / extra recipe children","OK"))))))))))</x:f>
      </x:c>
    </x:row>
    <x:row r="55" ht="22" customHeight="1">
      <x:c r="A55" s="10"/>
      <x:c r="B55" s="10"/>
      <x:c r="C55" s="10"/>
      <x:c r="D55" s="10"/>
      <x:c r="E55" s="12"/>
      <x:c r="F55" s="10"/>
      <x:c r="G55" s="9" t="str">
        <x:f>IF(A55="","",IF(B55="",C55,IF(COUNTIFS('Recipes'!$A$8:$A$207,D55)=1,VLOOKUP(D55,'Recipes'!$A$8:$F$207,3,FALSE),"")))</x:f>
      </x:c>
      <x:c r="H55" s="9" t="str">
        <x:f>IF(A55="","",IF(COUNTIFS('Definitions'!$A$8:$A$207,G55)=1,REPT("    ",IF(ISNUMBER(M55),M55,0))&amp;VLOOKUP(G55,'Definitions'!$A$8:$J$207,2,FALSE),"Unknown definition"))</x:f>
      </x:c>
      <x:c r="I55" s="11" t="str">
        <x:f>IF(A55="","",IF(B55="",1,IF(COUNTIFS('Recipes'!$A$8:$A$207,D55)=1,VLOOKUP(D55,'Recipes'!$A$8:$F$207,4,FALSE),"")))</x:f>
      </x:c>
      <x:c r="J55" s="11" t="str">
        <x:f>IF(A55="","",IF(ISBLANK(E55),I55,E55))</x:f>
      </x:c>
      <x:c r="K55" s="11" t="str">
        <x:f>IF(A55="","",IF(NOT(ISNUMBER(J55)),"",IF(B55="",J55,IF(COUNTIFS($A$8:$A$54,B55)=1,IF(ISNUMBER(VLOOKUP(B55,$A$8:$N$54,11,FALSE)),J55*VLOOKUP(B55,$A$8:$N$54,11,FALSE),""),""))))</x:f>
      </x:c>
      <x:c r="L55" s="9" t="str">
        <x:f>IF(A55="","",IF(B55="",F55,IF(COUNTIFS($A$8:$A$54,B55)=1,VLOOKUP(B55,$A$8:$N$54,12,FALSE),"")))</x:f>
      </x:c>
      <x:c r="M55" s="11" t="str">
        <x:f>IF(A55="","",IF(B55="",0,IF(COUNTIFS($A$8:$A$54,B55)=1,IF(ISNUMBER(VLOOKUP(B55,$A$8:$N$54,13,FALSE)),VLOOKUP(B55,$A$8:$N$54,13,FALSE)+1,""),"")))</x:f>
      </x:c>
      <x:c r="N55" s="9" t="str">
        <x:f>IF(A55="","",IF(COUNTIFS('Layout'!$A$8:$A$207,A55)&lt;&gt;1,"Duplicate role",IF(AND(B55&lt;&gt;"",COUNTIFS($A$8:$A$54,B55)&lt;&gt;1),"Parent must appear above child",IF(COUNTIFS('Definitions'!$A$8:$A$207,G55)&lt;&gt;1,"Unknown / duplicate definition",IF(AND(B55="",OR(C55="",D55&lt;&gt;"",AND(F55&lt;&gt;"Build",F55&lt;&gt;"Spares"))),"Set root definition and purpose",IF(AND(B55&lt;&gt;"",COUNTIFS('Recipes'!$A$8:$A$207,D55)&lt;&gt;1),"Choose a unique recipe line",IF(AND(B55&lt;&gt;"",OR(C55&lt;&gt;"",F55&lt;&gt;"")),"Clear child root-only inputs",IF(AND(B55&lt;&gt;"",COUNTIFS($A$8:$A$54,B55)=1,COUNTIFS('Recipes'!$A$8:$A$207,D55)=1),IF(VLOOKUP(D55,'Recipes'!$A$8:$F$207,2,FALSE)&lt;&gt;VLOOKUP(B55,$A$8:$N$54,7,FALSE),"Recipe parent mismatch",IF(COUNTIFS($B$8:$B$207,B55,$D$8:$D$207,D55)&lt;&gt;1,"Duplicate child recipe",IF(OR(NOT(ISNUMBER(J55)),J55&lt;0,MOD(J55,1)&lt;&gt;0),"Set nonnegative whole qty",IF(COUNTIFS('Recipes'!$B$8:$B$207,G55)&lt;&gt;COUNTIFS($B$8:$B$207,A55,$D$8:$D$207,"&lt;&gt;",$A$8:$A$207,"&lt;&gt;"),"Missing / extra recipe children","OK")))),IF(OR(NOT(ISNUMBER(J55)),J55&lt;0,MOD(J55,1)&lt;&gt;0),"Set nonnegative whole qty",IF(COUNTIFS('Recipes'!$B$8:$B$207,G55)&lt;&gt;COUNTIFS($B$8:$B$207,A55,$D$8:$D$207,"&lt;&gt;",$A$8:$A$207,"&lt;&gt;"),"Missing / extra recipe children","OK"))))))))))</x:f>
      </x:c>
    </x:row>
    <x:row r="56" ht="22" customHeight="1">
      <x:c r="A56" s="10"/>
      <x:c r="B56" s="10"/>
      <x:c r="C56" s="10"/>
      <x:c r="D56" s="10"/>
      <x:c r="E56" s="12"/>
      <x:c r="F56" s="10"/>
      <x:c r="G56" s="9" t="str">
        <x:f>IF(A56="","",IF(B56="",C56,IF(COUNTIFS('Recipes'!$A$8:$A$207,D56)=1,VLOOKUP(D56,'Recipes'!$A$8:$F$207,3,FALSE),"")))</x:f>
      </x:c>
      <x:c r="H56" s="9" t="str">
        <x:f>IF(A56="","",IF(COUNTIFS('Definitions'!$A$8:$A$207,G56)=1,REPT("    ",IF(ISNUMBER(M56),M56,0))&amp;VLOOKUP(G56,'Definitions'!$A$8:$J$207,2,FALSE),"Unknown definition"))</x:f>
      </x:c>
      <x:c r="I56" s="11" t="str">
        <x:f>IF(A56="","",IF(B56="",1,IF(COUNTIFS('Recipes'!$A$8:$A$207,D56)=1,VLOOKUP(D56,'Recipes'!$A$8:$F$207,4,FALSE),"")))</x:f>
      </x:c>
      <x:c r="J56" s="11" t="str">
        <x:f>IF(A56="","",IF(ISBLANK(E56),I56,E56))</x:f>
      </x:c>
      <x:c r="K56" s="11" t="str">
        <x:f>IF(A56="","",IF(NOT(ISNUMBER(J56)),"",IF(B56="",J56,IF(COUNTIFS($A$8:$A$55,B56)=1,IF(ISNUMBER(VLOOKUP(B56,$A$8:$N$55,11,FALSE)),J56*VLOOKUP(B56,$A$8:$N$55,11,FALSE),""),""))))</x:f>
      </x:c>
      <x:c r="L56" s="9" t="str">
        <x:f>IF(A56="","",IF(B56="",F56,IF(COUNTIFS($A$8:$A$55,B56)=1,VLOOKUP(B56,$A$8:$N$55,12,FALSE),"")))</x:f>
      </x:c>
      <x:c r="M56" s="11" t="str">
        <x:f>IF(A56="","",IF(B56="",0,IF(COUNTIFS($A$8:$A$55,B56)=1,IF(ISNUMBER(VLOOKUP(B56,$A$8:$N$55,13,FALSE)),VLOOKUP(B56,$A$8:$N$55,13,FALSE)+1,""),"")))</x:f>
      </x:c>
      <x:c r="N56" s="9" t="str">
        <x:f>IF(A56="","",IF(COUNTIFS('Layout'!$A$8:$A$207,A56)&lt;&gt;1,"Duplicate role",IF(AND(B56&lt;&gt;"",COUNTIFS($A$8:$A$55,B56)&lt;&gt;1),"Parent must appear above child",IF(COUNTIFS('Definitions'!$A$8:$A$207,G56)&lt;&gt;1,"Unknown / duplicate definition",IF(AND(B56="",OR(C56="",D56&lt;&gt;"",AND(F56&lt;&gt;"Build",F56&lt;&gt;"Spares"))),"Set root definition and purpose",IF(AND(B56&lt;&gt;"",COUNTIFS('Recipes'!$A$8:$A$207,D56)&lt;&gt;1),"Choose a unique recipe line",IF(AND(B56&lt;&gt;"",OR(C56&lt;&gt;"",F56&lt;&gt;"")),"Clear child root-only inputs",IF(AND(B56&lt;&gt;"",COUNTIFS($A$8:$A$55,B56)=1,COUNTIFS('Recipes'!$A$8:$A$207,D56)=1),IF(VLOOKUP(D56,'Recipes'!$A$8:$F$207,2,FALSE)&lt;&gt;VLOOKUP(B56,$A$8:$N$55,7,FALSE),"Recipe parent mismatch",IF(COUNTIFS($B$8:$B$207,B56,$D$8:$D$207,D56)&lt;&gt;1,"Duplicate child recipe",IF(OR(NOT(ISNUMBER(J56)),J56&lt;0,MOD(J56,1)&lt;&gt;0),"Set nonnegative whole qty",IF(COUNTIFS('Recipes'!$B$8:$B$207,G56)&lt;&gt;COUNTIFS($B$8:$B$207,A56,$D$8:$D$207,"&lt;&gt;",$A$8:$A$207,"&lt;&gt;"),"Missing / extra recipe children","OK")))),IF(OR(NOT(ISNUMBER(J56)),J56&lt;0,MOD(J56,1)&lt;&gt;0),"Set nonnegative whole qty",IF(COUNTIFS('Recipes'!$B$8:$B$207,G56)&lt;&gt;COUNTIFS($B$8:$B$207,A56,$D$8:$D$207,"&lt;&gt;",$A$8:$A$207,"&lt;&gt;"),"Missing / extra recipe children","OK"))))))))))</x:f>
      </x:c>
    </x:row>
    <x:row r="57" ht="22" customHeight="1">
      <x:c r="A57" s="10"/>
      <x:c r="B57" s="10"/>
      <x:c r="C57" s="10"/>
      <x:c r="D57" s="10"/>
      <x:c r="E57" s="12"/>
      <x:c r="F57" s="10"/>
      <x:c r="G57" s="9" t="str">
        <x:f>IF(A57="","",IF(B57="",C57,IF(COUNTIFS('Recipes'!$A$8:$A$207,D57)=1,VLOOKUP(D57,'Recipes'!$A$8:$F$207,3,FALSE),"")))</x:f>
      </x:c>
      <x:c r="H57" s="9" t="str">
        <x:f>IF(A57="","",IF(COUNTIFS('Definitions'!$A$8:$A$207,G57)=1,REPT("    ",IF(ISNUMBER(M57),M57,0))&amp;VLOOKUP(G57,'Definitions'!$A$8:$J$207,2,FALSE),"Unknown definition"))</x:f>
      </x:c>
      <x:c r="I57" s="11" t="str">
        <x:f>IF(A57="","",IF(B57="",1,IF(COUNTIFS('Recipes'!$A$8:$A$207,D57)=1,VLOOKUP(D57,'Recipes'!$A$8:$F$207,4,FALSE),"")))</x:f>
      </x:c>
      <x:c r="J57" s="11" t="str">
        <x:f>IF(A57="","",IF(ISBLANK(E57),I57,E57))</x:f>
      </x:c>
      <x:c r="K57" s="11" t="str">
        <x:f>IF(A57="","",IF(NOT(ISNUMBER(J57)),"",IF(B57="",J57,IF(COUNTIFS($A$8:$A$56,B57)=1,IF(ISNUMBER(VLOOKUP(B57,$A$8:$N$56,11,FALSE)),J57*VLOOKUP(B57,$A$8:$N$56,11,FALSE),""),""))))</x:f>
      </x:c>
      <x:c r="L57" s="9" t="str">
        <x:f>IF(A57="","",IF(B57="",F57,IF(COUNTIFS($A$8:$A$56,B57)=1,VLOOKUP(B57,$A$8:$N$56,12,FALSE),"")))</x:f>
      </x:c>
      <x:c r="M57" s="11" t="str">
        <x:f>IF(A57="","",IF(B57="",0,IF(COUNTIFS($A$8:$A$56,B57)=1,IF(ISNUMBER(VLOOKUP(B57,$A$8:$N$56,13,FALSE)),VLOOKUP(B57,$A$8:$N$56,13,FALSE)+1,""),"")))</x:f>
      </x:c>
      <x:c r="N57" s="9" t="str">
        <x:f>IF(A57="","",IF(COUNTIFS('Layout'!$A$8:$A$207,A57)&lt;&gt;1,"Duplicate role",IF(AND(B57&lt;&gt;"",COUNTIFS($A$8:$A$56,B57)&lt;&gt;1),"Parent must appear above child",IF(COUNTIFS('Definitions'!$A$8:$A$207,G57)&lt;&gt;1,"Unknown / duplicate definition",IF(AND(B57="",OR(C57="",D57&lt;&gt;"",AND(F57&lt;&gt;"Build",F57&lt;&gt;"Spares"))),"Set root definition and purpose",IF(AND(B57&lt;&gt;"",COUNTIFS('Recipes'!$A$8:$A$207,D57)&lt;&gt;1),"Choose a unique recipe line",IF(AND(B57&lt;&gt;"",OR(C57&lt;&gt;"",F57&lt;&gt;"")),"Clear child root-only inputs",IF(AND(B57&lt;&gt;"",COUNTIFS($A$8:$A$56,B57)=1,COUNTIFS('Recipes'!$A$8:$A$207,D57)=1),IF(VLOOKUP(D57,'Recipes'!$A$8:$F$207,2,FALSE)&lt;&gt;VLOOKUP(B57,$A$8:$N$56,7,FALSE),"Recipe parent mismatch",IF(COUNTIFS($B$8:$B$207,B57,$D$8:$D$207,D57)&lt;&gt;1,"Duplicate child recipe",IF(OR(NOT(ISNUMBER(J57)),J57&lt;0,MOD(J57,1)&lt;&gt;0),"Set nonnegative whole qty",IF(COUNTIFS('Recipes'!$B$8:$B$207,G57)&lt;&gt;COUNTIFS($B$8:$B$207,A57,$D$8:$D$207,"&lt;&gt;",$A$8:$A$207,"&lt;&gt;"),"Missing / extra recipe children","OK")))),IF(OR(NOT(ISNUMBER(J57)),J57&lt;0,MOD(J57,1)&lt;&gt;0),"Set nonnegative whole qty",IF(COUNTIFS('Recipes'!$B$8:$B$207,G57)&lt;&gt;COUNTIFS($B$8:$B$207,A57,$D$8:$D$207,"&lt;&gt;",$A$8:$A$207,"&lt;&gt;"),"Missing / extra recipe children","OK"))))))))))</x:f>
      </x:c>
    </x:row>
    <x:row r="58" ht="22" customHeight="1">
      <x:c r="A58" s="10"/>
      <x:c r="B58" s="10"/>
      <x:c r="C58" s="10"/>
      <x:c r="D58" s="10"/>
      <x:c r="E58" s="12"/>
      <x:c r="F58" s="10"/>
      <x:c r="G58" s="9" t="str">
        <x:f>IF(A58="","",IF(B58="",C58,IF(COUNTIFS('Recipes'!$A$8:$A$207,D58)=1,VLOOKUP(D58,'Recipes'!$A$8:$F$207,3,FALSE),"")))</x:f>
      </x:c>
      <x:c r="H58" s="9" t="str">
        <x:f>IF(A58="","",IF(COUNTIFS('Definitions'!$A$8:$A$207,G58)=1,REPT("    ",IF(ISNUMBER(M58),M58,0))&amp;VLOOKUP(G58,'Definitions'!$A$8:$J$207,2,FALSE),"Unknown definition"))</x:f>
      </x:c>
      <x:c r="I58" s="11" t="str">
        <x:f>IF(A58="","",IF(B58="",1,IF(COUNTIFS('Recipes'!$A$8:$A$207,D58)=1,VLOOKUP(D58,'Recipes'!$A$8:$F$207,4,FALSE),"")))</x:f>
      </x:c>
      <x:c r="J58" s="11" t="str">
        <x:f>IF(A58="","",IF(ISBLANK(E58),I58,E58))</x:f>
      </x:c>
      <x:c r="K58" s="11" t="str">
        <x:f>IF(A58="","",IF(NOT(ISNUMBER(J58)),"",IF(B58="",J58,IF(COUNTIFS($A$8:$A$57,B58)=1,IF(ISNUMBER(VLOOKUP(B58,$A$8:$N$57,11,FALSE)),J58*VLOOKUP(B58,$A$8:$N$57,11,FALSE),""),""))))</x:f>
      </x:c>
      <x:c r="L58" s="9" t="str">
        <x:f>IF(A58="","",IF(B58="",F58,IF(COUNTIFS($A$8:$A$57,B58)=1,VLOOKUP(B58,$A$8:$N$57,12,FALSE),"")))</x:f>
      </x:c>
      <x:c r="M58" s="11" t="str">
        <x:f>IF(A58="","",IF(B58="",0,IF(COUNTIFS($A$8:$A$57,B58)=1,IF(ISNUMBER(VLOOKUP(B58,$A$8:$N$57,13,FALSE)),VLOOKUP(B58,$A$8:$N$57,13,FALSE)+1,""),"")))</x:f>
      </x:c>
      <x:c r="N58" s="9" t="str">
        <x:f>IF(A58="","",IF(COUNTIFS('Layout'!$A$8:$A$207,A58)&lt;&gt;1,"Duplicate role",IF(AND(B58&lt;&gt;"",COUNTIFS($A$8:$A$57,B58)&lt;&gt;1),"Parent must appear above child",IF(COUNTIFS('Definitions'!$A$8:$A$207,G58)&lt;&gt;1,"Unknown / duplicate definition",IF(AND(B58="",OR(C58="",D58&lt;&gt;"",AND(F58&lt;&gt;"Build",F58&lt;&gt;"Spares"))),"Set root definition and purpose",IF(AND(B58&lt;&gt;"",COUNTIFS('Recipes'!$A$8:$A$207,D58)&lt;&gt;1),"Choose a unique recipe line",IF(AND(B58&lt;&gt;"",OR(C58&lt;&gt;"",F58&lt;&gt;"")),"Clear child root-only inputs",IF(AND(B58&lt;&gt;"",COUNTIFS($A$8:$A$57,B58)=1,COUNTIFS('Recipes'!$A$8:$A$207,D58)=1),IF(VLOOKUP(D58,'Recipes'!$A$8:$F$207,2,FALSE)&lt;&gt;VLOOKUP(B58,$A$8:$N$57,7,FALSE),"Recipe parent mismatch",IF(COUNTIFS($B$8:$B$207,B58,$D$8:$D$207,D58)&lt;&gt;1,"Duplicate child recipe",IF(OR(NOT(ISNUMBER(J58)),J58&lt;0,MOD(J58,1)&lt;&gt;0),"Set nonnegative whole qty",IF(COUNTIFS('Recipes'!$B$8:$B$207,G58)&lt;&gt;COUNTIFS($B$8:$B$207,A58,$D$8:$D$207,"&lt;&gt;",$A$8:$A$207,"&lt;&gt;"),"Missing / extra recipe children","OK")))),IF(OR(NOT(ISNUMBER(J58)),J58&lt;0,MOD(J58,1)&lt;&gt;0),"Set nonnegative whole qty",IF(COUNTIFS('Recipes'!$B$8:$B$207,G58)&lt;&gt;COUNTIFS($B$8:$B$207,A58,$D$8:$D$207,"&lt;&gt;",$A$8:$A$207,"&lt;&gt;"),"Missing / extra recipe children","OK"))))))))))</x:f>
      </x:c>
    </x:row>
    <x:row r="59" ht="22" customHeight="1">
      <x:c r="A59" s="10"/>
      <x:c r="B59" s="10"/>
      <x:c r="C59" s="10"/>
      <x:c r="D59" s="10"/>
      <x:c r="E59" s="12"/>
      <x:c r="F59" s="10"/>
      <x:c r="G59" s="9" t="str">
        <x:f>IF(A59="","",IF(B59="",C59,IF(COUNTIFS('Recipes'!$A$8:$A$207,D59)=1,VLOOKUP(D59,'Recipes'!$A$8:$F$207,3,FALSE),"")))</x:f>
      </x:c>
      <x:c r="H59" s="9" t="str">
        <x:f>IF(A59="","",IF(COUNTIFS('Definitions'!$A$8:$A$207,G59)=1,REPT("    ",IF(ISNUMBER(M59),M59,0))&amp;VLOOKUP(G59,'Definitions'!$A$8:$J$207,2,FALSE),"Unknown definition"))</x:f>
      </x:c>
      <x:c r="I59" s="11" t="str">
        <x:f>IF(A59="","",IF(B59="",1,IF(COUNTIFS('Recipes'!$A$8:$A$207,D59)=1,VLOOKUP(D59,'Recipes'!$A$8:$F$207,4,FALSE),"")))</x:f>
      </x:c>
      <x:c r="J59" s="11" t="str">
        <x:f>IF(A59="","",IF(ISBLANK(E59),I59,E59))</x:f>
      </x:c>
      <x:c r="K59" s="11" t="str">
        <x:f>IF(A59="","",IF(NOT(ISNUMBER(J59)),"",IF(B59="",J59,IF(COUNTIFS($A$8:$A$58,B59)=1,IF(ISNUMBER(VLOOKUP(B59,$A$8:$N$58,11,FALSE)),J59*VLOOKUP(B59,$A$8:$N$58,11,FALSE),""),""))))</x:f>
      </x:c>
      <x:c r="L59" s="9" t="str">
        <x:f>IF(A59="","",IF(B59="",F59,IF(COUNTIFS($A$8:$A$58,B59)=1,VLOOKUP(B59,$A$8:$N$58,12,FALSE),"")))</x:f>
      </x:c>
      <x:c r="M59" s="11" t="str">
        <x:f>IF(A59="","",IF(B59="",0,IF(COUNTIFS($A$8:$A$58,B59)=1,IF(ISNUMBER(VLOOKUP(B59,$A$8:$N$58,13,FALSE)),VLOOKUP(B59,$A$8:$N$58,13,FALSE)+1,""),"")))</x:f>
      </x:c>
      <x:c r="N59" s="9" t="str">
        <x:f>IF(A59="","",IF(COUNTIFS('Layout'!$A$8:$A$207,A59)&lt;&gt;1,"Duplicate role",IF(AND(B59&lt;&gt;"",COUNTIFS($A$8:$A$58,B59)&lt;&gt;1),"Parent must appear above child",IF(COUNTIFS('Definitions'!$A$8:$A$207,G59)&lt;&gt;1,"Unknown / duplicate definition",IF(AND(B59="",OR(C59="",D59&lt;&gt;"",AND(F59&lt;&gt;"Build",F59&lt;&gt;"Spares"))),"Set root definition and purpose",IF(AND(B59&lt;&gt;"",COUNTIFS('Recipes'!$A$8:$A$207,D59)&lt;&gt;1),"Choose a unique recipe line",IF(AND(B59&lt;&gt;"",OR(C59&lt;&gt;"",F59&lt;&gt;"")),"Clear child root-only inputs",IF(AND(B59&lt;&gt;"",COUNTIFS($A$8:$A$58,B59)=1,COUNTIFS('Recipes'!$A$8:$A$207,D59)=1),IF(VLOOKUP(D59,'Recipes'!$A$8:$F$207,2,FALSE)&lt;&gt;VLOOKUP(B59,$A$8:$N$58,7,FALSE),"Recipe parent mismatch",IF(COUNTIFS($B$8:$B$207,B59,$D$8:$D$207,D59)&lt;&gt;1,"Duplicate child recipe",IF(OR(NOT(ISNUMBER(J59)),J59&lt;0,MOD(J59,1)&lt;&gt;0),"Set nonnegative whole qty",IF(COUNTIFS('Recipes'!$B$8:$B$207,G59)&lt;&gt;COUNTIFS($B$8:$B$207,A59,$D$8:$D$207,"&lt;&gt;",$A$8:$A$207,"&lt;&gt;"),"Missing / extra recipe children","OK")))),IF(OR(NOT(ISNUMBER(J59)),J59&lt;0,MOD(J59,1)&lt;&gt;0),"Set nonnegative whole qty",IF(COUNTIFS('Recipes'!$B$8:$B$207,G59)&lt;&gt;COUNTIFS($B$8:$B$207,A59,$D$8:$D$207,"&lt;&gt;",$A$8:$A$207,"&lt;&gt;"),"Missing / extra recipe children","OK"))))))))))</x:f>
      </x:c>
    </x:row>
    <x:row r="60" ht="22" customHeight="1">
      <x:c r="A60" s="10"/>
      <x:c r="B60" s="10"/>
      <x:c r="C60" s="10"/>
      <x:c r="D60" s="10"/>
      <x:c r="E60" s="12"/>
      <x:c r="F60" s="10"/>
      <x:c r="G60" s="9" t="str">
        <x:f>IF(A60="","",IF(B60="",C60,IF(COUNTIFS('Recipes'!$A$8:$A$207,D60)=1,VLOOKUP(D60,'Recipes'!$A$8:$F$207,3,FALSE),"")))</x:f>
      </x:c>
      <x:c r="H60" s="9" t="str">
        <x:f>IF(A60="","",IF(COUNTIFS('Definitions'!$A$8:$A$207,G60)=1,REPT("    ",IF(ISNUMBER(M60),M60,0))&amp;VLOOKUP(G60,'Definitions'!$A$8:$J$207,2,FALSE),"Unknown definition"))</x:f>
      </x:c>
      <x:c r="I60" s="11" t="str">
        <x:f>IF(A60="","",IF(B60="",1,IF(COUNTIFS('Recipes'!$A$8:$A$207,D60)=1,VLOOKUP(D60,'Recipes'!$A$8:$F$207,4,FALSE),"")))</x:f>
      </x:c>
      <x:c r="J60" s="11" t="str">
        <x:f>IF(A60="","",IF(ISBLANK(E60),I60,E60))</x:f>
      </x:c>
      <x:c r="K60" s="11" t="str">
        <x:f>IF(A60="","",IF(NOT(ISNUMBER(J60)),"",IF(B60="",J60,IF(COUNTIFS($A$8:$A$59,B60)=1,IF(ISNUMBER(VLOOKUP(B60,$A$8:$N$59,11,FALSE)),J60*VLOOKUP(B60,$A$8:$N$59,11,FALSE),""),""))))</x:f>
      </x:c>
      <x:c r="L60" s="9" t="str">
        <x:f>IF(A60="","",IF(B60="",F60,IF(COUNTIFS($A$8:$A$59,B60)=1,VLOOKUP(B60,$A$8:$N$59,12,FALSE),"")))</x:f>
      </x:c>
      <x:c r="M60" s="11" t="str">
        <x:f>IF(A60="","",IF(B60="",0,IF(COUNTIFS($A$8:$A$59,B60)=1,IF(ISNUMBER(VLOOKUP(B60,$A$8:$N$59,13,FALSE)),VLOOKUP(B60,$A$8:$N$59,13,FALSE)+1,""),"")))</x:f>
      </x:c>
      <x:c r="N60" s="9" t="str">
        <x:f>IF(A60="","",IF(COUNTIFS('Layout'!$A$8:$A$207,A60)&lt;&gt;1,"Duplicate role",IF(AND(B60&lt;&gt;"",COUNTIFS($A$8:$A$59,B60)&lt;&gt;1),"Parent must appear above child",IF(COUNTIFS('Definitions'!$A$8:$A$207,G60)&lt;&gt;1,"Unknown / duplicate definition",IF(AND(B60="",OR(C60="",D60&lt;&gt;"",AND(F60&lt;&gt;"Build",F60&lt;&gt;"Spares"))),"Set root definition and purpose",IF(AND(B60&lt;&gt;"",COUNTIFS('Recipes'!$A$8:$A$207,D60)&lt;&gt;1),"Choose a unique recipe line",IF(AND(B60&lt;&gt;"",OR(C60&lt;&gt;"",F60&lt;&gt;"")),"Clear child root-only inputs",IF(AND(B60&lt;&gt;"",COUNTIFS($A$8:$A$59,B60)=1,COUNTIFS('Recipes'!$A$8:$A$207,D60)=1),IF(VLOOKUP(D60,'Recipes'!$A$8:$F$207,2,FALSE)&lt;&gt;VLOOKUP(B60,$A$8:$N$59,7,FALSE),"Recipe parent mismatch",IF(COUNTIFS($B$8:$B$207,B60,$D$8:$D$207,D60)&lt;&gt;1,"Duplicate child recipe",IF(OR(NOT(ISNUMBER(J60)),J60&lt;0,MOD(J60,1)&lt;&gt;0),"Set nonnegative whole qty",IF(COUNTIFS('Recipes'!$B$8:$B$207,G60)&lt;&gt;COUNTIFS($B$8:$B$207,A60,$D$8:$D$207,"&lt;&gt;",$A$8:$A$207,"&lt;&gt;"),"Missing / extra recipe children","OK")))),IF(OR(NOT(ISNUMBER(J60)),J60&lt;0,MOD(J60,1)&lt;&gt;0),"Set nonnegative whole qty",IF(COUNTIFS('Recipes'!$B$8:$B$207,G60)&lt;&gt;COUNTIFS($B$8:$B$207,A60,$D$8:$D$207,"&lt;&gt;",$A$8:$A$207,"&lt;&gt;"),"Missing / extra recipe children","OK"))))))))))</x:f>
      </x:c>
    </x:row>
    <x:row r="61" ht="22" customHeight="1">
      <x:c r="A61" s="10"/>
      <x:c r="B61" s="10"/>
      <x:c r="C61" s="10"/>
      <x:c r="D61" s="10"/>
      <x:c r="E61" s="12"/>
      <x:c r="F61" s="10"/>
      <x:c r="G61" s="9" t="str">
        <x:f>IF(A61="","",IF(B61="",C61,IF(COUNTIFS('Recipes'!$A$8:$A$207,D61)=1,VLOOKUP(D61,'Recipes'!$A$8:$F$207,3,FALSE),"")))</x:f>
      </x:c>
      <x:c r="H61" s="9" t="str">
        <x:f>IF(A61="","",IF(COUNTIFS('Definitions'!$A$8:$A$207,G61)=1,REPT("    ",IF(ISNUMBER(M61),M61,0))&amp;VLOOKUP(G61,'Definitions'!$A$8:$J$207,2,FALSE),"Unknown definition"))</x:f>
      </x:c>
      <x:c r="I61" s="11" t="str">
        <x:f>IF(A61="","",IF(B61="",1,IF(COUNTIFS('Recipes'!$A$8:$A$207,D61)=1,VLOOKUP(D61,'Recipes'!$A$8:$F$207,4,FALSE),"")))</x:f>
      </x:c>
      <x:c r="J61" s="11" t="str">
        <x:f>IF(A61="","",IF(ISBLANK(E61),I61,E61))</x:f>
      </x:c>
      <x:c r="K61" s="11" t="str">
        <x:f>IF(A61="","",IF(NOT(ISNUMBER(J61)),"",IF(B61="",J61,IF(COUNTIFS($A$8:$A$60,B61)=1,IF(ISNUMBER(VLOOKUP(B61,$A$8:$N$60,11,FALSE)),J61*VLOOKUP(B61,$A$8:$N$60,11,FALSE),""),""))))</x:f>
      </x:c>
      <x:c r="L61" s="9" t="str">
        <x:f>IF(A61="","",IF(B61="",F61,IF(COUNTIFS($A$8:$A$60,B61)=1,VLOOKUP(B61,$A$8:$N$60,12,FALSE),"")))</x:f>
      </x:c>
      <x:c r="M61" s="11" t="str">
        <x:f>IF(A61="","",IF(B61="",0,IF(COUNTIFS($A$8:$A$60,B61)=1,IF(ISNUMBER(VLOOKUP(B61,$A$8:$N$60,13,FALSE)),VLOOKUP(B61,$A$8:$N$60,13,FALSE)+1,""),"")))</x:f>
      </x:c>
      <x:c r="N61" s="9" t="str">
        <x:f>IF(A61="","",IF(COUNTIFS('Layout'!$A$8:$A$207,A61)&lt;&gt;1,"Duplicate role",IF(AND(B61&lt;&gt;"",COUNTIFS($A$8:$A$60,B61)&lt;&gt;1),"Parent must appear above child",IF(COUNTIFS('Definitions'!$A$8:$A$207,G61)&lt;&gt;1,"Unknown / duplicate definition",IF(AND(B61="",OR(C61="",D61&lt;&gt;"",AND(F61&lt;&gt;"Build",F61&lt;&gt;"Spares"))),"Set root definition and purpose",IF(AND(B61&lt;&gt;"",COUNTIFS('Recipes'!$A$8:$A$207,D61)&lt;&gt;1),"Choose a unique recipe line",IF(AND(B61&lt;&gt;"",OR(C61&lt;&gt;"",F61&lt;&gt;"")),"Clear child root-only inputs",IF(AND(B61&lt;&gt;"",COUNTIFS($A$8:$A$60,B61)=1,COUNTIFS('Recipes'!$A$8:$A$207,D61)=1),IF(VLOOKUP(D61,'Recipes'!$A$8:$F$207,2,FALSE)&lt;&gt;VLOOKUP(B61,$A$8:$N$60,7,FALSE),"Recipe parent mismatch",IF(COUNTIFS($B$8:$B$207,B61,$D$8:$D$207,D61)&lt;&gt;1,"Duplicate child recipe",IF(OR(NOT(ISNUMBER(J61)),J61&lt;0,MOD(J61,1)&lt;&gt;0),"Set nonnegative whole qty",IF(COUNTIFS('Recipes'!$B$8:$B$207,G61)&lt;&gt;COUNTIFS($B$8:$B$207,A61,$D$8:$D$207,"&lt;&gt;",$A$8:$A$207,"&lt;&gt;"),"Missing / extra recipe children","OK")))),IF(OR(NOT(ISNUMBER(J61)),J61&lt;0,MOD(J61,1)&lt;&gt;0),"Set nonnegative whole qty",IF(COUNTIFS('Recipes'!$B$8:$B$207,G61)&lt;&gt;COUNTIFS($B$8:$B$207,A61,$D$8:$D$207,"&lt;&gt;",$A$8:$A$207,"&lt;&gt;"),"Missing / extra recipe children","OK"))))))))))</x:f>
      </x:c>
    </x:row>
    <x:row r="62" ht="22" customHeight="1">
      <x:c r="A62" s="10"/>
      <x:c r="B62" s="10"/>
      <x:c r="C62" s="10"/>
      <x:c r="D62" s="10"/>
      <x:c r="E62" s="12"/>
      <x:c r="F62" s="10"/>
      <x:c r="G62" s="9" t="str">
        <x:f>IF(A62="","",IF(B62="",C62,IF(COUNTIFS('Recipes'!$A$8:$A$207,D62)=1,VLOOKUP(D62,'Recipes'!$A$8:$F$207,3,FALSE),"")))</x:f>
      </x:c>
      <x:c r="H62" s="9" t="str">
        <x:f>IF(A62="","",IF(COUNTIFS('Definitions'!$A$8:$A$207,G62)=1,REPT("    ",IF(ISNUMBER(M62),M62,0))&amp;VLOOKUP(G62,'Definitions'!$A$8:$J$207,2,FALSE),"Unknown definition"))</x:f>
      </x:c>
      <x:c r="I62" s="11" t="str">
        <x:f>IF(A62="","",IF(B62="",1,IF(COUNTIFS('Recipes'!$A$8:$A$207,D62)=1,VLOOKUP(D62,'Recipes'!$A$8:$F$207,4,FALSE),"")))</x:f>
      </x:c>
      <x:c r="J62" s="11" t="str">
        <x:f>IF(A62="","",IF(ISBLANK(E62),I62,E62))</x:f>
      </x:c>
      <x:c r="K62" s="11" t="str">
        <x:f>IF(A62="","",IF(NOT(ISNUMBER(J62)),"",IF(B62="",J62,IF(COUNTIFS($A$8:$A$61,B62)=1,IF(ISNUMBER(VLOOKUP(B62,$A$8:$N$61,11,FALSE)),J62*VLOOKUP(B62,$A$8:$N$61,11,FALSE),""),""))))</x:f>
      </x:c>
      <x:c r="L62" s="9" t="str">
        <x:f>IF(A62="","",IF(B62="",F62,IF(COUNTIFS($A$8:$A$61,B62)=1,VLOOKUP(B62,$A$8:$N$61,12,FALSE),"")))</x:f>
      </x:c>
      <x:c r="M62" s="11" t="str">
        <x:f>IF(A62="","",IF(B62="",0,IF(COUNTIFS($A$8:$A$61,B62)=1,IF(ISNUMBER(VLOOKUP(B62,$A$8:$N$61,13,FALSE)),VLOOKUP(B62,$A$8:$N$61,13,FALSE)+1,""),"")))</x:f>
      </x:c>
      <x:c r="N62" s="9" t="str">
        <x:f>IF(A62="","",IF(COUNTIFS('Layout'!$A$8:$A$207,A62)&lt;&gt;1,"Duplicate role",IF(AND(B62&lt;&gt;"",COUNTIFS($A$8:$A$61,B62)&lt;&gt;1),"Parent must appear above child",IF(COUNTIFS('Definitions'!$A$8:$A$207,G62)&lt;&gt;1,"Unknown / duplicate definition",IF(AND(B62="",OR(C62="",D62&lt;&gt;"",AND(F62&lt;&gt;"Build",F62&lt;&gt;"Spares"))),"Set root definition and purpose",IF(AND(B62&lt;&gt;"",COUNTIFS('Recipes'!$A$8:$A$207,D62)&lt;&gt;1),"Choose a unique recipe line",IF(AND(B62&lt;&gt;"",OR(C62&lt;&gt;"",F62&lt;&gt;"")),"Clear child root-only inputs",IF(AND(B62&lt;&gt;"",COUNTIFS($A$8:$A$61,B62)=1,COUNTIFS('Recipes'!$A$8:$A$207,D62)=1),IF(VLOOKUP(D62,'Recipes'!$A$8:$F$207,2,FALSE)&lt;&gt;VLOOKUP(B62,$A$8:$N$61,7,FALSE),"Recipe parent mismatch",IF(COUNTIFS($B$8:$B$207,B62,$D$8:$D$207,D62)&lt;&gt;1,"Duplicate child recipe",IF(OR(NOT(ISNUMBER(J62)),J62&lt;0,MOD(J62,1)&lt;&gt;0),"Set nonnegative whole qty",IF(COUNTIFS('Recipes'!$B$8:$B$207,G62)&lt;&gt;COUNTIFS($B$8:$B$207,A62,$D$8:$D$207,"&lt;&gt;",$A$8:$A$207,"&lt;&gt;"),"Missing / extra recipe children","OK")))),IF(OR(NOT(ISNUMBER(J62)),J62&lt;0,MOD(J62,1)&lt;&gt;0),"Set nonnegative whole qty",IF(COUNTIFS('Recipes'!$B$8:$B$207,G62)&lt;&gt;COUNTIFS($B$8:$B$207,A62,$D$8:$D$207,"&lt;&gt;",$A$8:$A$207,"&lt;&gt;"),"Missing / extra recipe children","OK"))))))))))</x:f>
      </x:c>
    </x:row>
    <x:row r="63" ht="22" customHeight="1">
      <x:c r="A63" s="10"/>
      <x:c r="B63" s="10"/>
      <x:c r="C63" s="10"/>
      <x:c r="D63" s="10"/>
      <x:c r="E63" s="12"/>
      <x:c r="F63" s="10"/>
      <x:c r="G63" s="9" t="str">
        <x:f>IF(A63="","",IF(B63="",C63,IF(COUNTIFS('Recipes'!$A$8:$A$207,D63)=1,VLOOKUP(D63,'Recipes'!$A$8:$F$207,3,FALSE),"")))</x:f>
      </x:c>
      <x:c r="H63" s="9" t="str">
        <x:f>IF(A63="","",IF(COUNTIFS('Definitions'!$A$8:$A$207,G63)=1,REPT("    ",IF(ISNUMBER(M63),M63,0))&amp;VLOOKUP(G63,'Definitions'!$A$8:$J$207,2,FALSE),"Unknown definition"))</x:f>
      </x:c>
      <x:c r="I63" s="11" t="str">
        <x:f>IF(A63="","",IF(B63="",1,IF(COUNTIFS('Recipes'!$A$8:$A$207,D63)=1,VLOOKUP(D63,'Recipes'!$A$8:$F$207,4,FALSE),"")))</x:f>
      </x:c>
      <x:c r="J63" s="11" t="str">
        <x:f>IF(A63="","",IF(ISBLANK(E63),I63,E63))</x:f>
      </x:c>
      <x:c r="K63" s="11" t="str">
        <x:f>IF(A63="","",IF(NOT(ISNUMBER(J63)),"",IF(B63="",J63,IF(COUNTIFS($A$8:$A$62,B63)=1,IF(ISNUMBER(VLOOKUP(B63,$A$8:$N$62,11,FALSE)),J63*VLOOKUP(B63,$A$8:$N$62,11,FALSE),""),""))))</x:f>
      </x:c>
      <x:c r="L63" s="9" t="str">
        <x:f>IF(A63="","",IF(B63="",F63,IF(COUNTIFS($A$8:$A$62,B63)=1,VLOOKUP(B63,$A$8:$N$62,12,FALSE),"")))</x:f>
      </x:c>
      <x:c r="M63" s="11" t="str">
        <x:f>IF(A63="","",IF(B63="",0,IF(COUNTIFS($A$8:$A$62,B63)=1,IF(ISNUMBER(VLOOKUP(B63,$A$8:$N$62,13,FALSE)),VLOOKUP(B63,$A$8:$N$62,13,FALSE)+1,""),"")))</x:f>
      </x:c>
      <x:c r="N63" s="9" t="str">
        <x:f>IF(A63="","",IF(COUNTIFS('Layout'!$A$8:$A$207,A63)&lt;&gt;1,"Duplicate role",IF(AND(B63&lt;&gt;"",COUNTIFS($A$8:$A$62,B63)&lt;&gt;1),"Parent must appear above child",IF(COUNTIFS('Definitions'!$A$8:$A$207,G63)&lt;&gt;1,"Unknown / duplicate definition",IF(AND(B63="",OR(C63="",D63&lt;&gt;"",AND(F63&lt;&gt;"Build",F63&lt;&gt;"Spares"))),"Set root definition and purpose",IF(AND(B63&lt;&gt;"",COUNTIFS('Recipes'!$A$8:$A$207,D63)&lt;&gt;1),"Choose a unique recipe line",IF(AND(B63&lt;&gt;"",OR(C63&lt;&gt;"",F63&lt;&gt;"")),"Clear child root-only inputs",IF(AND(B63&lt;&gt;"",COUNTIFS($A$8:$A$62,B63)=1,COUNTIFS('Recipes'!$A$8:$A$207,D63)=1),IF(VLOOKUP(D63,'Recipes'!$A$8:$F$207,2,FALSE)&lt;&gt;VLOOKUP(B63,$A$8:$N$62,7,FALSE),"Recipe parent mismatch",IF(COUNTIFS($B$8:$B$207,B63,$D$8:$D$207,D63)&lt;&gt;1,"Duplicate child recipe",IF(OR(NOT(ISNUMBER(J63)),J63&lt;0,MOD(J63,1)&lt;&gt;0),"Set nonnegative whole qty",IF(COUNTIFS('Recipes'!$B$8:$B$207,G63)&lt;&gt;COUNTIFS($B$8:$B$207,A63,$D$8:$D$207,"&lt;&gt;",$A$8:$A$207,"&lt;&gt;"),"Missing / extra recipe children","OK")))),IF(OR(NOT(ISNUMBER(J63)),J63&lt;0,MOD(J63,1)&lt;&gt;0),"Set nonnegative whole qty",IF(COUNTIFS('Recipes'!$B$8:$B$207,G63)&lt;&gt;COUNTIFS($B$8:$B$207,A63,$D$8:$D$207,"&lt;&gt;",$A$8:$A$207,"&lt;&gt;"),"Missing / extra recipe children","OK"))))))))))</x:f>
      </x:c>
    </x:row>
    <x:row r="64" ht="22" customHeight="1">
      <x:c r="A64" s="10"/>
      <x:c r="B64" s="10"/>
      <x:c r="C64" s="10"/>
      <x:c r="D64" s="10"/>
      <x:c r="E64" s="12"/>
      <x:c r="F64" s="10"/>
      <x:c r="G64" s="9" t="str">
        <x:f>IF(A64="","",IF(B64="",C64,IF(COUNTIFS('Recipes'!$A$8:$A$207,D64)=1,VLOOKUP(D64,'Recipes'!$A$8:$F$207,3,FALSE),"")))</x:f>
      </x:c>
      <x:c r="H64" s="9" t="str">
        <x:f>IF(A64="","",IF(COUNTIFS('Definitions'!$A$8:$A$207,G64)=1,REPT("    ",IF(ISNUMBER(M64),M64,0))&amp;VLOOKUP(G64,'Definitions'!$A$8:$J$207,2,FALSE),"Unknown definition"))</x:f>
      </x:c>
      <x:c r="I64" s="11" t="str">
        <x:f>IF(A64="","",IF(B64="",1,IF(COUNTIFS('Recipes'!$A$8:$A$207,D64)=1,VLOOKUP(D64,'Recipes'!$A$8:$F$207,4,FALSE),"")))</x:f>
      </x:c>
      <x:c r="J64" s="11" t="str">
        <x:f>IF(A64="","",IF(ISBLANK(E64),I64,E64))</x:f>
      </x:c>
      <x:c r="K64" s="11" t="str">
        <x:f>IF(A64="","",IF(NOT(ISNUMBER(J64)),"",IF(B64="",J64,IF(COUNTIFS($A$8:$A$63,B64)=1,IF(ISNUMBER(VLOOKUP(B64,$A$8:$N$63,11,FALSE)),J64*VLOOKUP(B64,$A$8:$N$63,11,FALSE),""),""))))</x:f>
      </x:c>
      <x:c r="L64" s="9" t="str">
        <x:f>IF(A64="","",IF(B64="",F64,IF(COUNTIFS($A$8:$A$63,B64)=1,VLOOKUP(B64,$A$8:$N$63,12,FALSE),"")))</x:f>
      </x:c>
      <x:c r="M64" s="11" t="str">
        <x:f>IF(A64="","",IF(B64="",0,IF(COUNTIFS($A$8:$A$63,B64)=1,IF(ISNUMBER(VLOOKUP(B64,$A$8:$N$63,13,FALSE)),VLOOKUP(B64,$A$8:$N$63,13,FALSE)+1,""),"")))</x:f>
      </x:c>
      <x:c r="N64" s="9" t="str">
        <x:f>IF(A64="","",IF(COUNTIFS('Layout'!$A$8:$A$207,A64)&lt;&gt;1,"Duplicate role",IF(AND(B64&lt;&gt;"",COUNTIFS($A$8:$A$63,B64)&lt;&gt;1),"Parent must appear above child",IF(COUNTIFS('Definitions'!$A$8:$A$207,G64)&lt;&gt;1,"Unknown / duplicate definition",IF(AND(B64="",OR(C64="",D64&lt;&gt;"",AND(F64&lt;&gt;"Build",F64&lt;&gt;"Spares"))),"Set root definition and purpose",IF(AND(B64&lt;&gt;"",COUNTIFS('Recipes'!$A$8:$A$207,D64)&lt;&gt;1),"Choose a unique recipe line",IF(AND(B64&lt;&gt;"",OR(C64&lt;&gt;"",F64&lt;&gt;"")),"Clear child root-only inputs",IF(AND(B64&lt;&gt;"",COUNTIFS($A$8:$A$63,B64)=1,COUNTIFS('Recipes'!$A$8:$A$207,D64)=1),IF(VLOOKUP(D64,'Recipes'!$A$8:$F$207,2,FALSE)&lt;&gt;VLOOKUP(B64,$A$8:$N$63,7,FALSE),"Recipe parent mismatch",IF(COUNTIFS($B$8:$B$207,B64,$D$8:$D$207,D64)&lt;&gt;1,"Duplicate child recipe",IF(OR(NOT(ISNUMBER(J64)),J64&lt;0,MOD(J64,1)&lt;&gt;0),"Set nonnegative whole qty",IF(COUNTIFS('Recipes'!$B$8:$B$207,G64)&lt;&gt;COUNTIFS($B$8:$B$207,A64,$D$8:$D$207,"&lt;&gt;",$A$8:$A$207,"&lt;&gt;"),"Missing / extra recipe children","OK")))),IF(OR(NOT(ISNUMBER(J64)),J64&lt;0,MOD(J64,1)&lt;&gt;0),"Set nonnegative whole qty",IF(COUNTIFS('Recipes'!$B$8:$B$207,G64)&lt;&gt;COUNTIFS($B$8:$B$207,A64,$D$8:$D$207,"&lt;&gt;",$A$8:$A$207,"&lt;&gt;"),"Missing / extra recipe children","OK"))))))))))</x:f>
      </x:c>
    </x:row>
    <x:row r="65" ht="22" customHeight="1">
      <x:c r="A65" s="10"/>
      <x:c r="B65" s="10"/>
      <x:c r="C65" s="10"/>
      <x:c r="D65" s="10"/>
      <x:c r="E65" s="12"/>
      <x:c r="F65" s="10"/>
      <x:c r="G65" s="9" t="str">
        <x:f>IF(A65="","",IF(B65="",C65,IF(COUNTIFS('Recipes'!$A$8:$A$207,D65)=1,VLOOKUP(D65,'Recipes'!$A$8:$F$207,3,FALSE),"")))</x:f>
      </x:c>
      <x:c r="H65" s="9" t="str">
        <x:f>IF(A65="","",IF(COUNTIFS('Definitions'!$A$8:$A$207,G65)=1,REPT("    ",IF(ISNUMBER(M65),M65,0))&amp;VLOOKUP(G65,'Definitions'!$A$8:$J$207,2,FALSE),"Unknown definition"))</x:f>
      </x:c>
      <x:c r="I65" s="11" t="str">
        <x:f>IF(A65="","",IF(B65="",1,IF(COUNTIFS('Recipes'!$A$8:$A$207,D65)=1,VLOOKUP(D65,'Recipes'!$A$8:$F$207,4,FALSE),"")))</x:f>
      </x:c>
      <x:c r="J65" s="11" t="str">
        <x:f>IF(A65="","",IF(ISBLANK(E65),I65,E65))</x:f>
      </x:c>
      <x:c r="K65" s="11" t="str">
        <x:f>IF(A65="","",IF(NOT(ISNUMBER(J65)),"",IF(B65="",J65,IF(COUNTIFS($A$8:$A$64,B65)=1,IF(ISNUMBER(VLOOKUP(B65,$A$8:$N$64,11,FALSE)),J65*VLOOKUP(B65,$A$8:$N$64,11,FALSE),""),""))))</x:f>
      </x:c>
      <x:c r="L65" s="9" t="str">
        <x:f>IF(A65="","",IF(B65="",F65,IF(COUNTIFS($A$8:$A$64,B65)=1,VLOOKUP(B65,$A$8:$N$64,12,FALSE),"")))</x:f>
      </x:c>
      <x:c r="M65" s="11" t="str">
        <x:f>IF(A65="","",IF(B65="",0,IF(COUNTIFS($A$8:$A$64,B65)=1,IF(ISNUMBER(VLOOKUP(B65,$A$8:$N$64,13,FALSE)),VLOOKUP(B65,$A$8:$N$64,13,FALSE)+1,""),"")))</x:f>
      </x:c>
      <x:c r="N65" s="9" t="str">
        <x:f>IF(A65="","",IF(COUNTIFS('Layout'!$A$8:$A$207,A65)&lt;&gt;1,"Duplicate role",IF(AND(B65&lt;&gt;"",COUNTIFS($A$8:$A$64,B65)&lt;&gt;1),"Parent must appear above child",IF(COUNTIFS('Definitions'!$A$8:$A$207,G65)&lt;&gt;1,"Unknown / duplicate definition",IF(AND(B65="",OR(C65="",D65&lt;&gt;"",AND(F65&lt;&gt;"Build",F65&lt;&gt;"Spares"))),"Set root definition and purpose",IF(AND(B65&lt;&gt;"",COUNTIFS('Recipes'!$A$8:$A$207,D65)&lt;&gt;1),"Choose a unique recipe line",IF(AND(B65&lt;&gt;"",OR(C65&lt;&gt;"",F65&lt;&gt;"")),"Clear child root-only inputs",IF(AND(B65&lt;&gt;"",COUNTIFS($A$8:$A$64,B65)=1,COUNTIFS('Recipes'!$A$8:$A$207,D65)=1),IF(VLOOKUP(D65,'Recipes'!$A$8:$F$207,2,FALSE)&lt;&gt;VLOOKUP(B65,$A$8:$N$64,7,FALSE),"Recipe parent mismatch",IF(COUNTIFS($B$8:$B$207,B65,$D$8:$D$207,D65)&lt;&gt;1,"Duplicate child recipe",IF(OR(NOT(ISNUMBER(J65)),J65&lt;0,MOD(J65,1)&lt;&gt;0),"Set nonnegative whole qty",IF(COUNTIFS('Recipes'!$B$8:$B$207,G65)&lt;&gt;COUNTIFS($B$8:$B$207,A65,$D$8:$D$207,"&lt;&gt;",$A$8:$A$207,"&lt;&gt;"),"Missing / extra recipe children","OK")))),IF(OR(NOT(ISNUMBER(J65)),J65&lt;0,MOD(J65,1)&lt;&gt;0),"Set nonnegative whole qty",IF(COUNTIFS('Recipes'!$B$8:$B$207,G65)&lt;&gt;COUNTIFS($B$8:$B$207,A65,$D$8:$D$207,"&lt;&gt;",$A$8:$A$207,"&lt;&gt;"),"Missing / extra recipe children","OK"))))))))))</x:f>
      </x:c>
    </x:row>
    <x:row r="66" ht="22" customHeight="1">
      <x:c r="A66" s="10"/>
      <x:c r="B66" s="10"/>
      <x:c r="C66" s="10"/>
      <x:c r="D66" s="10"/>
      <x:c r="E66" s="12"/>
      <x:c r="F66" s="10"/>
      <x:c r="G66" s="9" t="str">
        <x:f>IF(A66="","",IF(B66="",C66,IF(COUNTIFS('Recipes'!$A$8:$A$207,D66)=1,VLOOKUP(D66,'Recipes'!$A$8:$F$207,3,FALSE),"")))</x:f>
      </x:c>
      <x:c r="H66" s="9" t="str">
        <x:f>IF(A66="","",IF(COUNTIFS('Definitions'!$A$8:$A$207,G66)=1,REPT("    ",IF(ISNUMBER(M66),M66,0))&amp;VLOOKUP(G66,'Definitions'!$A$8:$J$207,2,FALSE),"Unknown definition"))</x:f>
      </x:c>
      <x:c r="I66" s="11" t="str">
        <x:f>IF(A66="","",IF(B66="",1,IF(COUNTIFS('Recipes'!$A$8:$A$207,D66)=1,VLOOKUP(D66,'Recipes'!$A$8:$F$207,4,FALSE),"")))</x:f>
      </x:c>
      <x:c r="J66" s="11" t="str">
        <x:f>IF(A66="","",IF(ISBLANK(E66),I66,E66))</x:f>
      </x:c>
      <x:c r="K66" s="11" t="str">
        <x:f>IF(A66="","",IF(NOT(ISNUMBER(J66)),"",IF(B66="",J66,IF(COUNTIFS($A$8:$A$65,B66)=1,IF(ISNUMBER(VLOOKUP(B66,$A$8:$N$65,11,FALSE)),J66*VLOOKUP(B66,$A$8:$N$65,11,FALSE),""),""))))</x:f>
      </x:c>
      <x:c r="L66" s="9" t="str">
        <x:f>IF(A66="","",IF(B66="",F66,IF(COUNTIFS($A$8:$A$65,B66)=1,VLOOKUP(B66,$A$8:$N$65,12,FALSE),"")))</x:f>
      </x:c>
      <x:c r="M66" s="11" t="str">
        <x:f>IF(A66="","",IF(B66="",0,IF(COUNTIFS($A$8:$A$65,B66)=1,IF(ISNUMBER(VLOOKUP(B66,$A$8:$N$65,13,FALSE)),VLOOKUP(B66,$A$8:$N$65,13,FALSE)+1,""),"")))</x:f>
      </x:c>
      <x:c r="N66" s="9" t="str">
        <x:f>IF(A66="","",IF(COUNTIFS('Layout'!$A$8:$A$207,A66)&lt;&gt;1,"Duplicate role",IF(AND(B66&lt;&gt;"",COUNTIFS($A$8:$A$65,B66)&lt;&gt;1),"Parent must appear above child",IF(COUNTIFS('Definitions'!$A$8:$A$207,G66)&lt;&gt;1,"Unknown / duplicate definition",IF(AND(B66="",OR(C66="",D66&lt;&gt;"",AND(F66&lt;&gt;"Build",F66&lt;&gt;"Spares"))),"Set root definition and purpose",IF(AND(B66&lt;&gt;"",COUNTIFS('Recipes'!$A$8:$A$207,D66)&lt;&gt;1),"Choose a unique recipe line",IF(AND(B66&lt;&gt;"",OR(C66&lt;&gt;"",F66&lt;&gt;"")),"Clear child root-only inputs",IF(AND(B66&lt;&gt;"",COUNTIFS($A$8:$A$65,B66)=1,COUNTIFS('Recipes'!$A$8:$A$207,D66)=1),IF(VLOOKUP(D66,'Recipes'!$A$8:$F$207,2,FALSE)&lt;&gt;VLOOKUP(B66,$A$8:$N$65,7,FALSE),"Recipe parent mismatch",IF(COUNTIFS($B$8:$B$207,B66,$D$8:$D$207,D66)&lt;&gt;1,"Duplicate child recipe",IF(OR(NOT(ISNUMBER(J66)),J66&lt;0,MOD(J66,1)&lt;&gt;0),"Set nonnegative whole qty",IF(COUNTIFS('Recipes'!$B$8:$B$207,G66)&lt;&gt;COUNTIFS($B$8:$B$207,A66,$D$8:$D$207,"&lt;&gt;",$A$8:$A$207,"&lt;&gt;"),"Missing / extra recipe children","OK")))),IF(OR(NOT(ISNUMBER(J66)),J66&lt;0,MOD(J66,1)&lt;&gt;0),"Set nonnegative whole qty",IF(COUNTIFS('Recipes'!$B$8:$B$207,G66)&lt;&gt;COUNTIFS($B$8:$B$207,A66,$D$8:$D$207,"&lt;&gt;",$A$8:$A$207,"&lt;&gt;"),"Missing / extra recipe children","OK"))))))))))</x:f>
      </x:c>
    </x:row>
    <x:row r="67" ht="22" customHeight="1">
      <x:c r="A67" s="10"/>
      <x:c r="B67" s="10"/>
      <x:c r="C67" s="10"/>
      <x:c r="D67" s="10"/>
      <x:c r="E67" s="12"/>
      <x:c r="F67" s="10"/>
      <x:c r="G67" s="9" t="str">
        <x:f>IF(A67="","",IF(B67="",C67,IF(COUNTIFS('Recipes'!$A$8:$A$207,D67)=1,VLOOKUP(D67,'Recipes'!$A$8:$F$207,3,FALSE),"")))</x:f>
      </x:c>
      <x:c r="H67" s="9" t="str">
        <x:f>IF(A67="","",IF(COUNTIFS('Definitions'!$A$8:$A$207,G67)=1,REPT("    ",IF(ISNUMBER(M67),M67,0))&amp;VLOOKUP(G67,'Definitions'!$A$8:$J$207,2,FALSE),"Unknown definition"))</x:f>
      </x:c>
      <x:c r="I67" s="11" t="str">
        <x:f>IF(A67="","",IF(B67="",1,IF(COUNTIFS('Recipes'!$A$8:$A$207,D67)=1,VLOOKUP(D67,'Recipes'!$A$8:$F$207,4,FALSE),"")))</x:f>
      </x:c>
      <x:c r="J67" s="11" t="str">
        <x:f>IF(A67="","",IF(ISBLANK(E67),I67,E67))</x:f>
      </x:c>
      <x:c r="K67" s="11" t="str">
        <x:f>IF(A67="","",IF(NOT(ISNUMBER(J67)),"",IF(B67="",J67,IF(COUNTIFS($A$8:$A$66,B67)=1,IF(ISNUMBER(VLOOKUP(B67,$A$8:$N$66,11,FALSE)),J67*VLOOKUP(B67,$A$8:$N$66,11,FALSE),""),""))))</x:f>
      </x:c>
      <x:c r="L67" s="9" t="str">
        <x:f>IF(A67="","",IF(B67="",F67,IF(COUNTIFS($A$8:$A$66,B67)=1,VLOOKUP(B67,$A$8:$N$66,12,FALSE),"")))</x:f>
      </x:c>
      <x:c r="M67" s="11" t="str">
        <x:f>IF(A67="","",IF(B67="",0,IF(COUNTIFS($A$8:$A$66,B67)=1,IF(ISNUMBER(VLOOKUP(B67,$A$8:$N$66,13,FALSE)),VLOOKUP(B67,$A$8:$N$66,13,FALSE)+1,""),"")))</x:f>
      </x:c>
      <x:c r="N67" s="9" t="str">
        <x:f>IF(A67="","",IF(COUNTIFS('Layout'!$A$8:$A$207,A67)&lt;&gt;1,"Duplicate role",IF(AND(B67&lt;&gt;"",COUNTIFS($A$8:$A$66,B67)&lt;&gt;1),"Parent must appear above child",IF(COUNTIFS('Definitions'!$A$8:$A$207,G67)&lt;&gt;1,"Unknown / duplicate definition",IF(AND(B67="",OR(C67="",D67&lt;&gt;"",AND(F67&lt;&gt;"Build",F67&lt;&gt;"Spares"))),"Set root definition and purpose",IF(AND(B67&lt;&gt;"",COUNTIFS('Recipes'!$A$8:$A$207,D67)&lt;&gt;1),"Choose a unique recipe line",IF(AND(B67&lt;&gt;"",OR(C67&lt;&gt;"",F67&lt;&gt;"")),"Clear child root-only inputs",IF(AND(B67&lt;&gt;"",COUNTIFS($A$8:$A$66,B67)=1,COUNTIFS('Recipes'!$A$8:$A$207,D67)=1),IF(VLOOKUP(D67,'Recipes'!$A$8:$F$207,2,FALSE)&lt;&gt;VLOOKUP(B67,$A$8:$N$66,7,FALSE),"Recipe parent mismatch",IF(COUNTIFS($B$8:$B$207,B67,$D$8:$D$207,D67)&lt;&gt;1,"Duplicate child recipe",IF(OR(NOT(ISNUMBER(J67)),J67&lt;0,MOD(J67,1)&lt;&gt;0),"Set nonnegative whole qty",IF(COUNTIFS('Recipes'!$B$8:$B$207,G67)&lt;&gt;COUNTIFS($B$8:$B$207,A67,$D$8:$D$207,"&lt;&gt;",$A$8:$A$207,"&lt;&gt;"),"Missing / extra recipe children","OK")))),IF(OR(NOT(ISNUMBER(J67)),J67&lt;0,MOD(J67,1)&lt;&gt;0),"Set nonnegative whole qty",IF(COUNTIFS('Recipes'!$B$8:$B$207,G67)&lt;&gt;COUNTIFS($B$8:$B$207,A67,$D$8:$D$207,"&lt;&gt;",$A$8:$A$207,"&lt;&gt;"),"Missing / extra recipe children","OK"))))))))))</x:f>
      </x:c>
    </x:row>
    <x:row r="68" ht="22" customHeight="1">
      <x:c r="A68" s="10"/>
      <x:c r="B68" s="10"/>
      <x:c r="C68" s="10"/>
      <x:c r="D68" s="10"/>
      <x:c r="E68" s="12"/>
      <x:c r="F68" s="10"/>
      <x:c r="G68" s="9" t="str">
        <x:f>IF(A68="","",IF(B68="",C68,IF(COUNTIFS('Recipes'!$A$8:$A$207,D68)=1,VLOOKUP(D68,'Recipes'!$A$8:$F$207,3,FALSE),"")))</x:f>
      </x:c>
      <x:c r="H68" s="9" t="str">
        <x:f>IF(A68="","",IF(COUNTIFS('Definitions'!$A$8:$A$207,G68)=1,REPT("    ",IF(ISNUMBER(M68),M68,0))&amp;VLOOKUP(G68,'Definitions'!$A$8:$J$207,2,FALSE),"Unknown definition"))</x:f>
      </x:c>
      <x:c r="I68" s="11" t="str">
        <x:f>IF(A68="","",IF(B68="",1,IF(COUNTIFS('Recipes'!$A$8:$A$207,D68)=1,VLOOKUP(D68,'Recipes'!$A$8:$F$207,4,FALSE),"")))</x:f>
      </x:c>
      <x:c r="J68" s="11" t="str">
        <x:f>IF(A68="","",IF(ISBLANK(E68),I68,E68))</x:f>
      </x:c>
      <x:c r="K68" s="11" t="str">
        <x:f>IF(A68="","",IF(NOT(ISNUMBER(J68)),"",IF(B68="",J68,IF(COUNTIFS($A$8:$A$67,B68)=1,IF(ISNUMBER(VLOOKUP(B68,$A$8:$N$67,11,FALSE)),J68*VLOOKUP(B68,$A$8:$N$67,11,FALSE),""),""))))</x:f>
      </x:c>
      <x:c r="L68" s="9" t="str">
        <x:f>IF(A68="","",IF(B68="",F68,IF(COUNTIFS($A$8:$A$67,B68)=1,VLOOKUP(B68,$A$8:$N$67,12,FALSE),"")))</x:f>
      </x:c>
      <x:c r="M68" s="11" t="str">
        <x:f>IF(A68="","",IF(B68="",0,IF(COUNTIFS($A$8:$A$67,B68)=1,IF(ISNUMBER(VLOOKUP(B68,$A$8:$N$67,13,FALSE)),VLOOKUP(B68,$A$8:$N$67,13,FALSE)+1,""),"")))</x:f>
      </x:c>
      <x:c r="N68" s="9" t="str">
        <x:f>IF(A68="","",IF(COUNTIFS('Layout'!$A$8:$A$207,A68)&lt;&gt;1,"Duplicate role",IF(AND(B68&lt;&gt;"",COUNTIFS($A$8:$A$67,B68)&lt;&gt;1),"Parent must appear above child",IF(COUNTIFS('Definitions'!$A$8:$A$207,G68)&lt;&gt;1,"Unknown / duplicate definition",IF(AND(B68="",OR(C68="",D68&lt;&gt;"",AND(F68&lt;&gt;"Build",F68&lt;&gt;"Spares"))),"Set root definition and purpose",IF(AND(B68&lt;&gt;"",COUNTIFS('Recipes'!$A$8:$A$207,D68)&lt;&gt;1),"Choose a unique recipe line",IF(AND(B68&lt;&gt;"",OR(C68&lt;&gt;"",F68&lt;&gt;"")),"Clear child root-only inputs",IF(AND(B68&lt;&gt;"",COUNTIFS($A$8:$A$67,B68)=1,COUNTIFS('Recipes'!$A$8:$A$207,D68)=1),IF(VLOOKUP(D68,'Recipes'!$A$8:$F$207,2,FALSE)&lt;&gt;VLOOKUP(B68,$A$8:$N$67,7,FALSE),"Recipe parent mismatch",IF(COUNTIFS($B$8:$B$207,B68,$D$8:$D$207,D68)&lt;&gt;1,"Duplicate child recipe",IF(OR(NOT(ISNUMBER(J68)),J68&lt;0,MOD(J68,1)&lt;&gt;0),"Set nonnegative whole qty",IF(COUNTIFS('Recipes'!$B$8:$B$207,G68)&lt;&gt;COUNTIFS($B$8:$B$207,A68,$D$8:$D$207,"&lt;&gt;",$A$8:$A$207,"&lt;&gt;"),"Missing / extra recipe children","OK")))),IF(OR(NOT(ISNUMBER(J68)),J68&lt;0,MOD(J68,1)&lt;&gt;0),"Set nonnegative whole qty",IF(COUNTIFS('Recipes'!$B$8:$B$207,G68)&lt;&gt;COUNTIFS($B$8:$B$207,A68,$D$8:$D$207,"&lt;&gt;",$A$8:$A$207,"&lt;&gt;"),"Missing / extra recipe children","OK"))))))))))</x:f>
      </x:c>
    </x:row>
    <x:row r="69" ht="22" customHeight="1">
      <x:c r="A69" s="10"/>
      <x:c r="B69" s="10"/>
      <x:c r="C69" s="10"/>
      <x:c r="D69" s="10"/>
      <x:c r="E69" s="12"/>
      <x:c r="F69" s="10"/>
      <x:c r="G69" s="9" t="str">
        <x:f>IF(A69="","",IF(B69="",C69,IF(COUNTIFS('Recipes'!$A$8:$A$207,D69)=1,VLOOKUP(D69,'Recipes'!$A$8:$F$207,3,FALSE),"")))</x:f>
      </x:c>
      <x:c r="H69" s="9" t="str">
        <x:f>IF(A69="","",IF(COUNTIFS('Definitions'!$A$8:$A$207,G69)=1,REPT("    ",IF(ISNUMBER(M69),M69,0))&amp;VLOOKUP(G69,'Definitions'!$A$8:$J$207,2,FALSE),"Unknown definition"))</x:f>
      </x:c>
      <x:c r="I69" s="11" t="str">
        <x:f>IF(A69="","",IF(B69="",1,IF(COUNTIFS('Recipes'!$A$8:$A$207,D69)=1,VLOOKUP(D69,'Recipes'!$A$8:$F$207,4,FALSE),"")))</x:f>
      </x:c>
      <x:c r="J69" s="11" t="str">
        <x:f>IF(A69="","",IF(ISBLANK(E69),I69,E69))</x:f>
      </x:c>
      <x:c r="K69" s="11" t="str">
        <x:f>IF(A69="","",IF(NOT(ISNUMBER(J69)),"",IF(B69="",J69,IF(COUNTIFS($A$8:$A$68,B69)=1,IF(ISNUMBER(VLOOKUP(B69,$A$8:$N$68,11,FALSE)),J69*VLOOKUP(B69,$A$8:$N$68,11,FALSE),""),""))))</x:f>
      </x:c>
      <x:c r="L69" s="9" t="str">
        <x:f>IF(A69="","",IF(B69="",F69,IF(COUNTIFS($A$8:$A$68,B69)=1,VLOOKUP(B69,$A$8:$N$68,12,FALSE),"")))</x:f>
      </x:c>
      <x:c r="M69" s="11" t="str">
        <x:f>IF(A69="","",IF(B69="",0,IF(COUNTIFS($A$8:$A$68,B69)=1,IF(ISNUMBER(VLOOKUP(B69,$A$8:$N$68,13,FALSE)),VLOOKUP(B69,$A$8:$N$68,13,FALSE)+1,""),"")))</x:f>
      </x:c>
      <x:c r="N69" s="9" t="str">
        <x:f>IF(A69="","",IF(COUNTIFS('Layout'!$A$8:$A$207,A69)&lt;&gt;1,"Duplicate role",IF(AND(B69&lt;&gt;"",COUNTIFS($A$8:$A$68,B69)&lt;&gt;1),"Parent must appear above child",IF(COUNTIFS('Definitions'!$A$8:$A$207,G69)&lt;&gt;1,"Unknown / duplicate definition",IF(AND(B69="",OR(C69="",D69&lt;&gt;"",AND(F69&lt;&gt;"Build",F69&lt;&gt;"Spares"))),"Set root definition and purpose",IF(AND(B69&lt;&gt;"",COUNTIFS('Recipes'!$A$8:$A$207,D69)&lt;&gt;1),"Choose a unique recipe line",IF(AND(B69&lt;&gt;"",OR(C69&lt;&gt;"",F69&lt;&gt;"")),"Clear child root-only inputs",IF(AND(B69&lt;&gt;"",COUNTIFS($A$8:$A$68,B69)=1,COUNTIFS('Recipes'!$A$8:$A$207,D69)=1),IF(VLOOKUP(D69,'Recipes'!$A$8:$F$207,2,FALSE)&lt;&gt;VLOOKUP(B69,$A$8:$N$68,7,FALSE),"Recipe parent mismatch",IF(COUNTIFS($B$8:$B$207,B69,$D$8:$D$207,D69)&lt;&gt;1,"Duplicate child recipe",IF(OR(NOT(ISNUMBER(J69)),J69&lt;0,MOD(J69,1)&lt;&gt;0),"Set nonnegative whole qty",IF(COUNTIFS('Recipes'!$B$8:$B$207,G69)&lt;&gt;COUNTIFS($B$8:$B$207,A69,$D$8:$D$207,"&lt;&gt;",$A$8:$A$207,"&lt;&gt;"),"Missing / extra recipe children","OK")))),IF(OR(NOT(ISNUMBER(J69)),J69&lt;0,MOD(J69,1)&lt;&gt;0),"Set nonnegative whole qty",IF(COUNTIFS('Recipes'!$B$8:$B$207,G69)&lt;&gt;COUNTIFS($B$8:$B$207,A69,$D$8:$D$207,"&lt;&gt;",$A$8:$A$207,"&lt;&gt;"),"Missing / extra recipe children","OK"))))))))))</x:f>
      </x:c>
    </x:row>
    <x:row r="70" ht="22" customHeight="1">
      <x:c r="A70" s="10"/>
      <x:c r="B70" s="10"/>
      <x:c r="C70" s="10"/>
      <x:c r="D70" s="10"/>
      <x:c r="E70" s="12"/>
      <x:c r="F70" s="10"/>
      <x:c r="G70" s="9" t="str">
        <x:f>IF(A70="","",IF(B70="",C70,IF(COUNTIFS('Recipes'!$A$8:$A$207,D70)=1,VLOOKUP(D70,'Recipes'!$A$8:$F$207,3,FALSE),"")))</x:f>
      </x:c>
      <x:c r="H70" s="9" t="str">
        <x:f>IF(A70="","",IF(COUNTIFS('Definitions'!$A$8:$A$207,G70)=1,REPT("    ",IF(ISNUMBER(M70),M70,0))&amp;VLOOKUP(G70,'Definitions'!$A$8:$J$207,2,FALSE),"Unknown definition"))</x:f>
      </x:c>
      <x:c r="I70" s="11" t="str">
        <x:f>IF(A70="","",IF(B70="",1,IF(COUNTIFS('Recipes'!$A$8:$A$207,D70)=1,VLOOKUP(D70,'Recipes'!$A$8:$F$207,4,FALSE),"")))</x:f>
      </x:c>
      <x:c r="J70" s="11" t="str">
        <x:f>IF(A70="","",IF(ISBLANK(E70),I70,E70))</x:f>
      </x:c>
      <x:c r="K70" s="11" t="str">
        <x:f>IF(A70="","",IF(NOT(ISNUMBER(J70)),"",IF(B70="",J70,IF(COUNTIFS($A$8:$A$69,B70)=1,IF(ISNUMBER(VLOOKUP(B70,$A$8:$N$69,11,FALSE)),J70*VLOOKUP(B70,$A$8:$N$69,11,FALSE),""),""))))</x:f>
      </x:c>
      <x:c r="L70" s="9" t="str">
        <x:f>IF(A70="","",IF(B70="",F70,IF(COUNTIFS($A$8:$A$69,B70)=1,VLOOKUP(B70,$A$8:$N$69,12,FALSE),"")))</x:f>
      </x:c>
      <x:c r="M70" s="11" t="str">
        <x:f>IF(A70="","",IF(B70="",0,IF(COUNTIFS($A$8:$A$69,B70)=1,IF(ISNUMBER(VLOOKUP(B70,$A$8:$N$69,13,FALSE)),VLOOKUP(B70,$A$8:$N$69,13,FALSE)+1,""),"")))</x:f>
      </x:c>
      <x:c r="N70" s="9" t="str">
        <x:f>IF(A70="","",IF(COUNTIFS('Layout'!$A$8:$A$207,A70)&lt;&gt;1,"Duplicate role",IF(AND(B70&lt;&gt;"",COUNTIFS($A$8:$A$69,B70)&lt;&gt;1),"Parent must appear above child",IF(COUNTIFS('Definitions'!$A$8:$A$207,G70)&lt;&gt;1,"Unknown / duplicate definition",IF(AND(B70="",OR(C70="",D70&lt;&gt;"",AND(F70&lt;&gt;"Build",F70&lt;&gt;"Spares"))),"Set root definition and purpose",IF(AND(B70&lt;&gt;"",COUNTIFS('Recipes'!$A$8:$A$207,D70)&lt;&gt;1),"Choose a unique recipe line",IF(AND(B70&lt;&gt;"",OR(C70&lt;&gt;"",F70&lt;&gt;"")),"Clear child root-only inputs",IF(AND(B70&lt;&gt;"",COUNTIFS($A$8:$A$69,B70)=1,COUNTIFS('Recipes'!$A$8:$A$207,D70)=1),IF(VLOOKUP(D70,'Recipes'!$A$8:$F$207,2,FALSE)&lt;&gt;VLOOKUP(B70,$A$8:$N$69,7,FALSE),"Recipe parent mismatch",IF(COUNTIFS($B$8:$B$207,B70,$D$8:$D$207,D70)&lt;&gt;1,"Duplicate child recipe",IF(OR(NOT(ISNUMBER(J70)),J70&lt;0,MOD(J70,1)&lt;&gt;0),"Set nonnegative whole qty",IF(COUNTIFS('Recipes'!$B$8:$B$207,G70)&lt;&gt;COUNTIFS($B$8:$B$207,A70,$D$8:$D$207,"&lt;&gt;",$A$8:$A$207,"&lt;&gt;"),"Missing / extra recipe children","OK")))),IF(OR(NOT(ISNUMBER(J70)),J70&lt;0,MOD(J70,1)&lt;&gt;0),"Set nonnegative whole qty",IF(COUNTIFS('Recipes'!$B$8:$B$207,G70)&lt;&gt;COUNTIFS($B$8:$B$207,A70,$D$8:$D$207,"&lt;&gt;",$A$8:$A$207,"&lt;&gt;"),"Missing / extra recipe children","OK"))))))))))</x:f>
      </x:c>
    </x:row>
    <x:row r="71" ht="22" customHeight="1">
      <x:c r="A71" s="10"/>
      <x:c r="B71" s="10"/>
      <x:c r="C71" s="10"/>
      <x:c r="D71" s="10"/>
      <x:c r="E71" s="12"/>
      <x:c r="F71" s="10"/>
      <x:c r="G71" s="9" t="str">
        <x:f>IF(A71="","",IF(B71="",C71,IF(COUNTIFS('Recipes'!$A$8:$A$207,D71)=1,VLOOKUP(D71,'Recipes'!$A$8:$F$207,3,FALSE),"")))</x:f>
      </x:c>
      <x:c r="H71" s="9" t="str">
        <x:f>IF(A71="","",IF(COUNTIFS('Definitions'!$A$8:$A$207,G71)=1,REPT("    ",IF(ISNUMBER(M71),M71,0))&amp;VLOOKUP(G71,'Definitions'!$A$8:$J$207,2,FALSE),"Unknown definition"))</x:f>
      </x:c>
      <x:c r="I71" s="11" t="str">
        <x:f>IF(A71="","",IF(B71="",1,IF(COUNTIFS('Recipes'!$A$8:$A$207,D71)=1,VLOOKUP(D71,'Recipes'!$A$8:$F$207,4,FALSE),"")))</x:f>
      </x:c>
      <x:c r="J71" s="11" t="str">
        <x:f>IF(A71="","",IF(ISBLANK(E71),I71,E71))</x:f>
      </x:c>
      <x:c r="K71" s="11" t="str">
        <x:f>IF(A71="","",IF(NOT(ISNUMBER(J71)),"",IF(B71="",J71,IF(COUNTIFS($A$8:$A$70,B71)=1,IF(ISNUMBER(VLOOKUP(B71,$A$8:$N$70,11,FALSE)),J71*VLOOKUP(B71,$A$8:$N$70,11,FALSE),""),""))))</x:f>
      </x:c>
      <x:c r="L71" s="9" t="str">
        <x:f>IF(A71="","",IF(B71="",F71,IF(COUNTIFS($A$8:$A$70,B71)=1,VLOOKUP(B71,$A$8:$N$70,12,FALSE),"")))</x:f>
      </x:c>
      <x:c r="M71" s="11" t="str">
        <x:f>IF(A71="","",IF(B71="",0,IF(COUNTIFS($A$8:$A$70,B71)=1,IF(ISNUMBER(VLOOKUP(B71,$A$8:$N$70,13,FALSE)),VLOOKUP(B71,$A$8:$N$70,13,FALSE)+1,""),"")))</x:f>
      </x:c>
      <x:c r="N71" s="9" t="str">
        <x:f>IF(A71="","",IF(COUNTIFS('Layout'!$A$8:$A$207,A71)&lt;&gt;1,"Duplicate role",IF(AND(B71&lt;&gt;"",COUNTIFS($A$8:$A$70,B71)&lt;&gt;1),"Parent must appear above child",IF(COUNTIFS('Definitions'!$A$8:$A$207,G71)&lt;&gt;1,"Unknown / duplicate definition",IF(AND(B71="",OR(C71="",D71&lt;&gt;"",AND(F71&lt;&gt;"Build",F71&lt;&gt;"Spares"))),"Set root definition and purpose",IF(AND(B71&lt;&gt;"",COUNTIFS('Recipes'!$A$8:$A$207,D71)&lt;&gt;1),"Choose a unique recipe line",IF(AND(B71&lt;&gt;"",OR(C71&lt;&gt;"",F71&lt;&gt;"")),"Clear child root-only inputs",IF(AND(B71&lt;&gt;"",COUNTIFS($A$8:$A$70,B71)=1,COUNTIFS('Recipes'!$A$8:$A$207,D71)=1),IF(VLOOKUP(D71,'Recipes'!$A$8:$F$207,2,FALSE)&lt;&gt;VLOOKUP(B71,$A$8:$N$70,7,FALSE),"Recipe parent mismatch",IF(COUNTIFS($B$8:$B$207,B71,$D$8:$D$207,D71)&lt;&gt;1,"Duplicate child recipe",IF(OR(NOT(ISNUMBER(J71)),J71&lt;0,MOD(J71,1)&lt;&gt;0),"Set nonnegative whole qty",IF(COUNTIFS('Recipes'!$B$8:$B$207,G71)&lt;&gt;COUNTIFS($B$8:$B$207,A71,$D$8:$D$207,"&lt;&gt;",$A$8:$A$207,"&lt;&gt;"),"Missing / extra recipe children","OK")))),IF(OR(NOT(ISNUMBER(J71)),J71&lt;0,MOD(J71,1)&lt;&gt;0),"Set nonnegative whole qty",IF(COUNTIFS('Recipes'!$B$8:$B$207,G71)&lt;&gt;COUNTIFS($B$8:$B$207,A71,$D$8:$D$207,"&lt;&gt;",$A$8:$A$207,"&lt;&gt;"),"Missing / extra recipe children","OK"))))))))))</x:f>
      </x:c>
    </x:row>
    <x:row r="72" ht="22" customHeight="1">
      <x:c r="A72" s="10"/>
      <x:c r="B72" s="10"/>
      <x:c r="C72" s="10"/>
      <x:c r="D72" s="10"/>
      <x:c r="E72" s="12"/>
      <x:c r="F72" s="10"/>
      <x:c r="G72" s="9" t="str">
        <x:f>IF(A72="","",IF(B72="",C72,IF(COUNTIFS('Recipes'!$A$8:$A$207,D72)=1,VLOOKUP(D72,'Recipes'!$A$8:$F$207,3,FALSE),"")))</x:f>
      </x:c>
      <x:c r="H72" s="9" t="str">
        <x:f>IF(A72="","",IF(COUNTIFS('Definitions'!$A$8:$A$207,G72)=1,REPT("    ",IF(ISNUMBER(M72),M72,0))&amp;VLOOKUP(G72,'Definitions'!$A$8:$J$207,2,FALSE),"Unknown definition"))</x:f>
      </x:c>
      <x:c r="I72" s="11" t="str">
        <x:f>IF(A72="","",IF(B72="",1,IF(COUNTIFS('Recipes'!$A$8:$A$207,D72)=1,VLOOKUP(D72,'Recipes'!$A$8:$F$207,4,FALSE),"")))</x:f>
      </x:c>
      <x:c r="J72" s="11" t="str">
        <x:f>IF(A72="","",IF(ISBLANK(E72),I72,E72))</x:f>
      </x:c>
      <x:c r="K72" s="11" t="str">
        <x:f>IF(A72="","",IF(NOT(ISNUMBER(J72)),"",IF(B72="",J72,IF(COUNTIFS($A$8:$A$71,B72)=1,IF(ISNUMBER(VLOOKUP(B72,$A$8:$N$71,11,FALSE)),J72*VLOOKUP(B72,$A$8:$N$71,11,FALSE),""),""))))</x:f>
      </x:c>
      <x:c r="L72" s="9" t="str">
        <x:f>IF(A72="","",IF(B72="",F72,IF(COUNTIFS($A$8:$A$71,B72)=1,VLOOKUP(B72,$A$8:$N$71,12,FALSE),"")))</x:f>
      </x:c>
      <x:c r="M72" s="11" t="str">
        <x:f>IF(A72="","",IF(B72="",0,IF(COUNTIFS($A$8:$A$71,B72)=1,IF(ISNUMBER(VLOOKUP(B72,$A$8:$N$71,13,FALSE)),VLOOKUP(B72,$A$8:$N$71,13,FALSE)+1,""),"")))</x:f>
      </x:c>
      <x:c r="N72" s="9" t="str">
        <x:f>IF(A72="","",IF(COUNTIFS('Layout'!$A$8:$A$207,A72)&lt;&gt;1,"Duplicate role",IF(AND(B72&lt;&gt;"",COUNTIFS($A$8:$A$71,B72)&lt;&gt;1),"Parent must appear above child",IF(COUNTIFS('Definitions'!$A$8:$A$207,G72)&lt;&gt;1,"Unknown / duplicate definition",IF(AND(B72="",OR(C72="",D72&lt;&gt;"",AND(F72&lt;&gt;"Build",F72&lt;&gt;"Spares"))),"Set root definition and purpose",IF(AND(B72&lt;&gt;"",COUNTIFS('Recipes'!$A$8:$A$207,D72)&lt;&gt;1),"Choose a unique recipe line",IF(AND(B72&lt;&gt;"",OR(C72&lt;&gt;"",F72&lt;&gt;"")),"Clear child root-only inputs",IF(AND(B72&lt;&gt;"",COUNTIFS($A$8:$A$71,B72)=1,COUNTIFS('Recipes'!$A$8:$A$207,D72)=1),IF(VLOOKUP(D72,'Recipes'!$A$8:$F$207,2,FALSE)&lt;&gt;VLOOKUP(B72,$A$8:$N$71,7,FALSE),"Recipe parent mismatch",IF(COUNTIFS($B$8:$B$207,B72,$D$8:$D$207,D72)&lt;&gt;1,"Duplicate child recipe",IF(OR(NOT(ISNUMBER(J72)),J72&lt;0,MOD(J72,1)&lt;&gt;0),"Set nonnegative whole qty",IF(COUNTIFS('Recipes'!$B$8:$B$207,G72)&lt;&gt;COUNTIFS($B$8:$B$207,A72,$D$8:$D$207,"&lt;&gt;",$A$8:$A$207,"&lt;&gt;"),"Missing / extra recipe children","OK")))),IF(OR(NOT(ISNUMBER(J72)),J72&lt;0,MOD(J72,1)&lt;&gt;0),"Set nonnegative whole qty",IF(COUNTIFS('Recipes'!$B$8:$B$207,G72)&lt;&gt;COUNTIFS($B$8:$B$207,A72,$D$8:$D$207,"&lt;&gt;",$A$8:$A$207,"&lt;&gt;"),"Missing / extra recipe children","OK"))))))))))</x:f>
      </x:c>
    </x:row>
    <x:row r="73" ht="22" customHeight="1">
      <x:c r="A73" s="10"/>
      <x:c r="B73" s="10"/>
      <x:c r="C73" s="10"/>
      <x:c r="D73" s="10"/>
      <x:c r="E73" s="12"/>
      <x:c r="F73" s="10"/>
      <x:c r="G73" s="9" t="str">
        <x:f>IF(A73="","",IF(B73="",C73,IF(COUNTIFS('Recipes'!$A$8:$A$207,D73)=1,VLOOKUP(D73,'Recipes'!$A$8:$F$207,3,FALSE),"")))</x:f>
      </x:c>
      <x:c r="H73" s="9" t="str">
        <x:f>IF(A73="","",IF(COUNTIFS('Definitions'!$A$8:$A$207,G73)=1,REPT("    ",IF(ISNUMBER(M73),M73,0))&amp;VLOOKUP(G73,'Definitions'!$A$8:$J$207,2,FALSE),"Unknown definition"))</x:f>
      </x:c>
      <x:c r="I73" s="11" t="str">
        <x:f>IF(A73="","",IF(B73="",1,IF(COUNTIFS('Recipes'!$A$8:$A$207,D73)=1,VLOOKUP(D73,'Recipes'!$A$8:$F$207,4,FALSE),"")))</x:f>
      </x:c>
      <x:c r="J73" s="11" t="str">
        <x:f>IF(A73="","",IF(ISBLANK(E73),I73,E73))</x:f>
      </x:c>
      <x:c r="K73" s="11" t="str">
        <x:f>IF(A73="","",IF(NOT(ISNUMBER(J73)),"",IF(B73="",J73,IF(COUNTIFS($A$8:$A$72,B73)=1,IF(ISNUMBER(VLOOKUP(B73,$A$8:$N$72,11,FALSE)),J73*VLOOKUP(B73,$A$8:$N$72,11,FALSE),""),""))))</x:f>
      </x:c>
      <x:c r="L73" s="9" t="str">
        <x:f>IF(A73="","",IF(B73="",F73,IF(COUNTIFS($A$8:$A$72,B73)=1,VLOOKUP(B73,$A$8:$N$72,12,FALSE),"")))</x:f>
      </x:c>
      <x:c r="M73" s="11" t="str">
        <x:f>IF(A73="","",IF(B73="",0,IF(COUNTIFS($A$8:$A$72,B73)=1,IF(ISNUMBER(VLOOKUP(B73,$A$8:$N$72,13,FALSE)),VLOOKUP(B73,$A$8:$N$72,13,FALSE)+1,""),"")))</x:f>
      </x:c>
      <x:c r="N73" s="9" t="str">
        <x:f>IF(A73="","",IF(COUNTIFS('Layout'!$A$8:$A$207,A73)&lt;&gt;1,"Duplicate role",IF(AND(B73&lt;&gt;"",COUNTIFS($A$8:$A$72,B73)&lt;&gt;1),"Parent must appear above child",IF(COUNTIFS('Definitions'!$A$8:$A$207,G73)&lt;&gt;1,"Unknown / duplicate definition",IF(AND(B73="",OR(C73="",D73&lt;&gt;"",AND(F73&lt;&gt;"Build",F73&lt;&gt;"Spares"))),"Set root definition and purpose",IF(AND(B73&lt;&gt;"",COUNTIFS('Recipes'!$A$8:$A$207,D73)&lt;&gt;1),"Choose a unique recipe line",IF(AND(B73&lt;&gt;"",OR(C73&lt;&gt;"",F73&lt;&gt;"")),"Clear child root-only inputs",IF(AND(B73&lt;&gt;"",COUNTIFS($A$8:$A$72,B73)=1,COUNTIFS('Recipes'!$A$8:$A$207,D73)=1),IF(VLOOKUP(D73,'Recipes'!$A$8:$F$207,2,FALSE)&lt;&gt;VLOOKUP(B73,$A$8:$N$72,7,FALSE),"Recipe parent mismatch",IF(COUNTIFS($B$8:$B$207,B73,$D$8:$D$207,D73)&lt;&gt;1,"Duplicate child recipe",IF(OR(NOT(ISNUMBER(J73)),J73&lt;0,MOD(J73,1)&lt;&gt;0),"Set nonnegative whole qty",IF(COUNTIFS('Recipes'!$B$8:$B$207,G73)&lt;&gt;COUNTIFS($B$8:$B$207,A73,$D$8:$D$207,"&lt;&gt;",$A$8:$A$207,"&lt;&gt;"),"Missing / extra recipe children","OK")))),IF(OR(NOT(ISNUMBER(J73)),J73&lt;0,MOD(J73,1)&lt;&gt;0),"Set nonnegative whole qty",IF(COUNTIFS('Recipes'!$B$8:$B$207,G73)&lt;&gt;COUNTIFS($B$8:$B$207,A73,$D$8:$D$207,"&lt;&gt;",$A$8:$A$207,"&lt;&gt;"),"Missing / extra recipe children","OK"))))))))))</x:f>
      </x:c>
    </x:row>
    <x:row r="74" ht="22" customHeight="1">
      <x:c r="A74" s="10"/>
      <x:c r="B74" s="10"/>
      <x:c r="C74" s="10"/>
      <x:c r="D74" s="10"/>
      <x:c r="E74" s="12"/>
      <x:c r="F74" s="10"/>
      <x:c r="G74" s="9" t="str">
        <x:f>IF(A74="","",IF(B74="",C74,IF(COUNTIFS('Recipes'!$A$8:$A$207,D74)=1,VLOOKUP(D74,'Recipes'!$A$8:$F$207,3,FALSE),"")))</x:f>
      </x:c>
      <x:c r="H74" s="9" t="str">
        <x:f>IF(A74="","",IF(COUNTIFS('Definitions'!$A$8:$A$207,G74)=1,REPT("    ",IF(ISNUMBER(M74),M74,0))&amp;VLOOKUP(G74,'Definitions'!$A$8:$J$207,2,FALSE),"Unknown definition"))</x:f>
      </x:c>
      <x:c r="I74" s="11" t="str">
        <x:f>IF(A74="","",IF(B74="",1,IF(COUNTIFS('Recipes'!$A$8:$A$207,D74)=1,VLOOKUP(D74,'Recipes'!$A$8:$F$207,4,FALSE),"")))</x:f>
      </x:c>
      <x:c r="J74" s="11" t="str">
        <x:f>IF(A74="","",IF(ISBLANK(E74),I74,E74))</x:f>
      </x:c>
      <x:c r="K74" s="11" t="str">
        <x:f>IF(A74="","",IF(NOT(ISNUMBER(J74)),"",IF(B74="",J74,IF(COUNTIFS($A$8:$A$73,B74)=1,IF(ISNUMBER(VLOOKUP(B74,$A$8:$N$73,11,FALSE)),J74*VLOOKUP(B74,$A$8:$N$73,11,FALSE),""),""))))</x:f>
      </x:c>
      <x:c r="L74" s="9" t="str">
        <x:f>IF(A74="","",IF(B74="",F74,IF(COUNTIFS($A$8:$A$73,B74)=1,VLOOKUP(B74,$A$8:$N$73,12,FALSE),"")))</x:f>
      </x:c>
      <x:c r="M74" s="11" t="str">
        <x:f>IF(A74="","",IF(B74="",0,IF(COUNTIFS($A$8:$A$73,B74)=1,IF(ISNUMBER(VLOOKUP(B74,$A$8:$N$73,13,FALSE)),VLOOKUP(B74,$A$8:$N$73,13,FALSE)+1,""),"")))</x:f>
      </x:c>
      <x:c r="N74" s="9" t="str">
        <x:f>IF(A74="","",IF(COUNTIFS('Layout'!$A$8:$A$207,A74)&lt;&gt;1,"Duplicate role",IF(AND(B74&lt;&gt;"",COUNTIFS($A$8:$A$73,B74)&lt;&gt;1),"Parent must appear above child",IF(COUNTIFS('Definitions'!$A$8:$A$207,G74)&lt;&gt;1,"Unknown / duplicate definition",IF(AND(B74="",OR(C74="",D74&lt;&gt;"",AND(F74&lt;&gt;"Build",F74&lt;&gt;"Spares"))),"Set root definition and purpose",IF(AND(B74&lt;&gt;"",COUNTIFS('Recipes'!$A$8:$A$207,D74)&lt;&gt;1),"Choose a unique recipe line",IF(AND(B74&lt;&gt;"",OR(C74&lt;&gt;"",F74&lt;&gt;"")),"Clear child root-only inputs",IF(AND(B74&lt;&gt;"",COUNTIFS($A$8:$A$73,B74)=1,COUNTIFS('Recipes'!$A$8:$A$207,D74)=1),IF(VLOOKUP(D74,'Recipes'!$A$8:$F$207,2,FALSE)&lt;&gt;VLOOKUP(B74,$A$8:$N$73,7,FALSE),"Recipe parent mismatch",IF(COUNTIFS($B$8:$B$207,B74,$D$8:$D$207,D74)&lt;&gt;1,"Duplicate child recipe",IF(OR(NOT(ISNUMBER(J74)),J74&lt;0,MOD(J74,1)&lt;&gt;0),"Set nonnegative whole qty",IF(COUNTIFS('Recipes'!$B$8:$B$207,G74)&lt;&gt;COUNTIFS($B$8:$B$207,A74,$D$8:$D$207,"&lt;&gt;",$A$8:$A$207,"&lt;&gt;"),"Missing / extra recipe children","OK")))),IF(OR(NOT(ISNUMBER(J74)),J74&lt;0,MOD(J74,1)&lt;&gt;0),"Set nonnegative whole qty",IF(COUNTIFS('Recipes'!$B$8:$B$207,G74)&lt;&gt;COUNTIFS($B$8:$B$207,A74,$D$8:$D$207,"&lt;&gt;",$A$8:$A$207,"&lt;&gt;"),"Missing / extra recipe children","OK"))))))))))</x:f>
      </x:c>
    </x:row>
    <x:row r="75" ht="22" customHeight="1">
      <x:c r="A75" s="10"/>
      <x:c r="B75" s="10"/>
      <x:c r="C75" s="10"/>
      <x:c r="D75" s="10"/>
      <x:c r="E75" s="12"/>
      <x:c r="F75" s="10"/>
      <x:c r="G75" s="9" t="str">
        <x:f>IF(A75="","",IF(B75="",C75,IF(COUNTIFS('Recipes'!$A$8:$A$207,D75)=1,VLOOKUP(D75,'Recipes'!$A$8:$F$207,3,FALSE),"")))</x:f>
      </x:c>
      <x:c r="H75" s="9" t="str">
        <x:f>IF(A75="","",IF(COUNTIFS('Definitions'!$A$8:$A$207,G75)=1,REPT("    ",IF(ISNUMBER(M75),M75,0))&amp;VLOOKUP(G75,'Definitions'!$A$8:$J$207,2,FALSE),"Unknown definition"))</x:f>
      </x:c>
      <x:c r="I75" s="11" t="str">
        <x:f>IF(A75="","",IF(B75="",1,IF(COUNTIFS('Recipes'!$A$8:$A$207,D75)=1,VLOOKUP(D75,'Recipes'!$A$8:$F$207,4,FALSE),"")))</x:f>
      </x:c>
      <x:c r="J75" s="11" t="str">
        <x:f>IF(A75="","",IF(ISBLANK(E75),I75,E75))</x:f>
      </x:c>
      <x:c r="K75" s="11" t="str">
        <x:f>IF(A75="","",IF(NOT(ISNUMBER(J75)),"",IF(B75="",J75,IF(COUNTIFS($A$8:$A$74,B75)=1,IF(ISNUMBER(VLOOKUP(B75,$A$8:$N$74,11,FALSE)),J75*VLOOKUP(B75,$A$8:$N$74,11,FALSE),""),""))))</x:f>
      </x:c>
      <x:c r="L75" s="9" t="str">
        <x:f>IF(A75="","",IF(B75="",F75,IF(COUNTIFS($A$8:$A$74,B75)=1,VLOOKUP(B75,$A$8:$N$74,12,FALSE),"")))</x:f>
      </x:c>
      <x:c r="M75" s="11" t="str">
        <x:f>IF(A75="","",IF(B75="",0,IF(COUNTIFS($A$8:$A$74,B75)=1,IF(ISNUMBER(VLOOKUP(B75,$A$8:$N$74,13,FALSE)),VLOOKUP(B75,$A$8:$N$74,13,FALSE)+1,""),"")))</x:f>
      </x:c>
      <x:c r="N75" s="9" t="str">
        <x:f>IF(A75="","",IF(COUNTIFS('Layout'!$A$8:$A$207,A75)&lt;&gt;1,"Duplicate role",IF(AND(B75&lt;&gt;"",COUNTIFS($A$8:$A$74,B75)&lt;&gt;1),"Parent must appear above child",IF(COUNTIFS('Definitions'!$A$8:$A$207,G75)&lt;&gt;1,"Unknown / duplicate definition",IF(AND(B75="",OR(C75="",D75&lt;&gt;"",AND(F75&lt;&gt;"Build",F75&lt;&gt;"Spares"))),"Set root definition and purpose",IF(AND(B75&lt;&gt;"",COUNTIFS('Recipes'!$A$8:$A$207,D75)&lt;&gt;1),"Choose a unique recipe line",IF(AND(B75&lt;&gt;"",OR(C75&lt;&gt;"",F75&lt;&gt;"")),"Clear child root-only inputs",IF(AND(B75&lt;&gt;"",COUNTIFS($A$8:$A$74,B75)=1,COUNTIFS('Recipes'!$A$8:$A$207,D75)=1),IF(VLOOKUP(D75,'Recipes'!$A$8:$F$207,2,FALSE)&lt;&gt;VLOOKUP(B75,$A$8:$N$74,7,FALSE),"Recipe parent mismatch",IF(COUNTIFS($B$8:$B$207,B75,$D$8:$D$207,D75)&lt;&gt;1,"Duplicate child recipe",IF(OR(NOT(ISNUMBER(J75)),J75&lt;0,MOD(J75,1)&lt;&gt;0),"Set nonnegative whole qty",IF(COUNTIFS('Recipes'!$B$8:$B$207,G75)&lt;&gt;COUNTIFS($B$8:$B$207,A75,$D$8:$D$207,"&lt;&gt;",$A$8:$A$207,"&lt;&gt;"),"Missing / extra recipe children","OK")))),IF(OR(NOT(ISNUMBER(J75)),J75&lt;0,MOD(J75,1)&lt;&gt;0),"Set nonnegative whole qty",IF(COUNTIFS('Recipes'!$B$8:$B$207,G75)&lt;&gt;COUNTIFS($B$8:$B$207,A75,$D$8:$D$207,"&lt;&gt;",$A$8:$A$207,"&lt;&gt;"),"Missing / extra recipe children","OK"))))))))))</x:f>
      </x:c>
    </x:row>
    <x:row r="76" ht="22" customHeight="1">
      <x:c r="A76" s="10"/>
      <x:c r="B76" s="10"/>
      <x:c r="C76" s="10"/>
      <x:c r="D76" s="10"/>
      <x:c r="E76" s="12"/>
      <x:c r="F76" s="10"/>
      <x:c r="G76" s="9" t="str">
        <x:f>IF(A76="","",IF(B76="",C76,IF(COUNTIFS('Recipes'!$A$8:$A$207,D76)=1,VLOOKUP(D76,'Recipes'!$A$8:$F$207,3,FALSE),"")))</x:f>
      </x:c>
      <x:c r="H76" s="9" t="str">
        <x:f>IF(A76="","",IF(COUNTIFS('Definitions'!$A$8:$A$207,G76)=1,REPT("    ",IF(ISNUMBER(M76),M76,0))&amp;VLOOKUP(G76,'Definitions'!$A$8:$J$207,2,FALSE),"Unknown definition"))</x:f>
      </x:c>
      <x:c r="I76" s="11" t="str">
        <x:f>IF(A76="","",IF(B76="",1,IF(COUNTIFS('Recipes'!$A$8:$A$207,D76)=1,VLOOKUP(D76,'Recipes'!$A$8:$F$207,4,FALSE),"")))</x:f>
      </x:c>
      <x:c r="J76" s="11" t="str">
        <x:f>IF(A76="","",IF(ISBLANK(E76),I76,E76))</x:f>
      </x:c>
      <x:c r="K76" s="11" t="str">
        <x:f>IF(A76="","",IF(NOT(ISNUMBER(J76)),"",IF(B76="",J76,IF(COUNTIFS($A$8:$A$75,B76)=1,IF(ISNUMBER(VLOOKUP(B76,$A$8:$N$75,11,FALSE)),J76*VLOOKUP(B76,$A$8:$N$75,11,FALSE),""),""))))</x:f>
      </x:c>
      <x:c r="L76" s="9" t="str">
        <x:f>IF(A76="","",IF(B76="",F76,IF(COUNTIFS($A$8:$A$75,B76)=1,VLOOKUP(B76,$A$8:$N$75,12,FALSE),"")))</x:f>
      </x:c>
      <x:c r="M76" s="11" t="str">
        <x:f>IF(A76="","",IF(B76="",0,IF(COUNTIFS($A$8:$A$75,B76)=1,IF(ISNUMBER(VLOOKUP(B76,$A$8:$N$75,13,FALSE)),VLOOKUP(B76,$A$8:$N$75,13,FALSE)+1,""),"")))</x:f>
      </x:c>
      <x:c r="N76" s="9" t="str">
        <x:f>IF(A76="","",IF(COUNTIFS('Layout'!$A$8:$A$207,A76)&lt;&gt;1,"Duplicate role",IF(AND(B76&lt;&gt;"",COUNTIFS($A$8:$A$75,B76)&lt;&gt;1),"Parent must appear above child",IF(COUNTIFS('Definitions'!$A$8:$A$207,G76)&lt;&gt;1,"Unknown / duplicate definition",IF(AND(B76="",OR(C76="",D76&lt;&gt;"",AND(F76&lt;&gt;"Build",F76&lt;&gt;"Spares"))),"Set root definition and purpose",IF(AND(B76&lt;&gt;"",COUNTIFS('Recipes'!$A$8:$A$207,D76)&lt;&gt;1),"Choose a unique recipe line",IF(AND(B76&lt;&gt;"",OR(C76&lt;&gt;"",F76&lt;&gt;"")),"Clear child root-only inputs",IF(AND(B76&lt;&gt;"",COUNTIFS($A$8:$A$75,B76)=1,COUNTIFS('Recipes'!$A$8:$A$207,D76)=1),IF(VLOOKUP(D76,'Recipes'!$A$8:$F$207,2,FALSE)&lt;&gt;VLOOKUP(B76,$A$8:$N$75,7,FALSE),"Recipe parent mismatch",IF(COUNTIFS($B$8:$B$207,B76,$D$8:$D$207,D76)&lt;&gt;1,"Duplicate child recipe",IF(OR(NOT(ISNUMBER(J76)),J76&lt;0,MOD(J76,1)&lt;&gt;0),"Set nonnegative whole qty",IF(COUNTIFS('Recipes'!$B$8:$B$207,G76)&lt;&gt;COUNTIFS($B$8:$B$207,A76,$D$8:$D$207,"&lt;&gt;",$A$8:$A$207,"&lt;&gt;"),"Missing / extra recipe children","OK")))),IF(OR(NOT(ISNUMBER(J76)),J76&lt;0,MOD(J76,1)&lt;&gt;0),"Set nonnegative whole qty",IF(COUNTIFS('Recipes'!$B$8:$B$207,G76)&lt;&gt;COUNTIFS($B$8:$B$207,A76,$D$8:$D$207,"&lt;&gt;",$A$8:$A$207,"&lt;&gt;"),"Missing / extra recipe children","OK"))))))))))</x:f>
      </x:c>
    </x:row>
    <x:row r="77" ht="22" customHeight="1">
      <x:c r="A77" s="10"/>
      <x:c r="B77" s="10"/>
      <x:c r="C77" s="10"/>
      <x:c r="D77" s="10"/>
      <x:c r="E77" s="12"/>
      <x:c r="F77" s="10"/>
      <x:c r="G77" s="9" t="str">
        <x:f>IF(A77="","",IF(B77="",C77,IF(COUNTIFS('Recipes'!$A$8:$A$207,D77)=1,VLOOKUP(D77,'Recipes'!$A$8:$F$207,3,FALSE),"")))</x:f>
      </x:c>
      <x:c r="H77" s="9" t="str">
        <x:f>IF(A77="","",IF(COUNTIFS('Definitions'!$A$8:$A$207,G77)=1,REPT("    ",IF(ISNUMBER(M77),M77,0))&amp;VLOOKUP(G77,'Definitions'!$A$8:$J$207,2,FALSE),"Unknown definition"))</x:f>
      </x:c>
      <x:c r="I77" s="11" t="str">
        <x:f>IF(A77="","",IF(B77="",1,IF(COUNTIFS('Recipes'!$A$8:$A$207,D77)=1,VLOOKUP(D77,'Recipes'!$A$8:$F$207,4,FALSE),"")))</x:f>
      </x:c>
      <x:c r="J77" s="11" t="str">
        <x:f>IF(A77="","",IF(ISBLANK(E77),I77,E77))</x:f>
      </x:c>
      <x:c r="K77" s="11" t="str">
        <x:f>IF(A77="","",IF(NOT(ISNUMBER(J77)),"",IF(B77="",J77,IF(COUNTIFS($A$8:$A$76,B77)=1,IF(ISNUMBER(VLOOKUP(B77,$A$8:$N$76,11,FALSE)),J77*VLOOKUP(B77,$A$8:$N$76,11,FALSE),""),""))))</x:f>
      </x:c>
      <x:c r="L77" s="9" t="str">
        <x:f>IF(A77="","",IF(B77="",F77,IF(COUNTIFS($A$8:$A$76,B77)=1,VLOOKUP(B77,$A$8:$N$76,12,FALSE),"")))</x:f>
      </x:c>
      <x:c r="M77" s="11" t="str">
        <x:f>IF(A77="","",IF(B77="",0,IF(COUNTIFS($A$8:$A$76,B77)=1,IF(ISNUMBER(VLOOKUP(B77,$A$8:$N$76,13,FALSE)),VLOOKUP(B77,$A$8:$N$76,13,FALSE)+1,""),"")))</x:f>
      </x:c>
      <x:c r="N77" s="9" t="str">
        <x:f>IF(A77="","",IF(COUNTIFS('Layout'!$A$8:$A$207,A77)&lt;&gt;1,"Duplicate role",IF(AND(B77&lt;&gt;"",COUNTIFS($A$8:$A$76,B77)&lt;&gt;1),"Parent must appear above child",IF(COUNTIFS('Definitions'!$A$8:$A$207,G77)&lt;&gt;1,"Unknown / duplicate definition",IF(AND(B77="",OR(C77="",D77&lt;&gt;"",AND(F77&lt;&gt;"Build",F77&lt;&gt;"Spares"))),"Set root definition and purpose",IF(AND(B77&lt;&gt;"",COUNTIFS('Recipes'!$A$8:$A$207,D77)&lt;&gt;1),"Choose a unique recipe line",IF(AND(B77&lt;&gt;"",OR(C77&lt;&gt;"",F77&lt;&gt;"")),"Clear child root-only inputs",IF(AND(B77&lt;&gt;"",COUNTIFS($A$8:$A$76,B77)=1,COUNTIFS('Recipes'!$A$8:$A$207,D77)=1),IF(VLOOKUP(D77,'Recipes'!$A$8:$F$207,2,FALSE)&lt;&gt;VLOOKUP(B77,$A$8:$N$76,7,FALSE),"Recipe parent mismatch",IF(COUNTIFS($B$8:$B$207,B77,$D$8:$D$207,D77)&lt;&gt;1,"Duplicate child recipe",IF(OR(NOT(ISNUMBER(J77)),J77&lt;0,MOD(J77,1)&lt;&gt;0),"Set nonnegative whole qty",IF(COUNTIFS('Recipes'!$B$8:$B$207,G77)&lt;&gt;COUNTIFS($B$8:$B$207,A77,$D$8:$D$207,"&lt;&gt;",$A$8:$A$207,"&lt;&gt;"),"Missing / extra recipe children","OK")))),IF(OR(NOT(ISNUMBER(J77)),J77&lt;0,MOD(J77,1)&lt;&gt;0),"Set nonnegative whole qty",IF(COUNTIFS('Recipes'!$B$8:$B$207,G77)&lt;&gt;COUNTIFS($B$8:$B$207,A77,$D$8:$D$207,"&lt;&gt;",$A$8:$A$207,"&lt;&gt;"),"Missing / extra recipe children","OK"))))))))))</x:f>
      </x:c>
    </x:row>
    <x:row r="78" ht="22" customHeight="1">
      <x:c r="A78" s="10"/>
      <x:c r="B78" s="10"/>
      <x:c r="C78" s="10"/>
      <x:c r="D78" s="10"/>
      <x:c r="E78" s="12"/>
      <x:c r="F78" s="10"/>
      <x:c r="G78" s="9" t="str">
        <x:f>IF(A78="","",IF(B78="",C78,IF(COUNTIFS('Recipes'!$A$8:$A$207,D78)=1,VLOOKUP(D78,'Recipes'!$A$8:$F$207,3,FALSE),"")))</x:f>
      </x:c>
      <x:c r="H78" s="9" t="str">
        <x:f>IF(A78="","",IF(COUNTIFS('Definitions'!$A$8:$A$207,G78)=1,REPT("    ",IF(ISNUMBER(M78),M78,0))&amp;VLOOKUP(G78,'Definitions'!$A$8:$J$207,2,FALSE),"Unknown definition"))</x:f>
      </x:c>
      <x:c r="I78" s="11" t="str">
        <x:f>IF(A78="","",IF(B78="",1,IF(COUNTIFS('Recipes'!$A$8:$A$207,D78)=1,VLOOKUP(D78,'Recipes'!$A$8:$F$207,4,FALSE),"")))</x:f>
      </x:c>
      <x:c r="J78" s="11" t="str">
        <x:f>IF(A78="","",IF(ISBLANK(E78),I78,E78))</x:f>
      </x:c>
      <x:c r="K78" s="11" t="str">
        <x:f>IF(A78="","",IF(NOT(ISNUMBER(J78)),"",IF(B78="",J78,IF(COUNTIFS($A$8:$A$77,B78)=1,IF(ISNUMBER(VLOOKUP(B78,$A$8:$N$77,11,FALSE)),J78*VLOOKUP(B78,$A$8:$N$77,11,FALSE),""),""))))</x:f>
      </x:c>
      <x:c r="L78" s="9" t="str">
        <x:f>IF(A78="","",IF(B78="",F78,IF(COUNTIFS($A$8:$A$77,B78)=1,VLOOKUP(B78,$A$8:$N$77,12,FALSE),"")))</x:f>
      </x:c>
      <x:c r="M78" s="11" t="str">
        <x:f>IF(A78="","",IF(B78="",0,IF(COUNTIFS($A$8:$A$77,B78)=1,IF(ISNUMBER(VLOOKUP(B78,$A$8:$N$77,13,FALSE)),VLOOKUP(B78,$A$8:$N$77,13,FALSE)+1,""),"")))</x:f>
      </x:c>
      <x:c r="N78" s="9" t="str">
        <x:f>IF(A78="","",IF(COUNTIFS('Layout'!$A$8:$A$207,A78)&lt;&gt;1,"Duplicate role",IF(AND(B78&lt;&gt;"",COUNTIFS($A$8:$A$77,B78)&lt;&gt;1),"Parent must appear above child",IF(COUNTIFS('Definitions'!$A$8:$A$207,G78)&lt;&gt;1,"Unknown / duplicate definition",IF(AND(B78="",OR(C78="",D78&lt;&gt;"",AND(F78&lt;&gt;"Build",F78&lt;&gt;"Spares"))),"Set root definition and purpose",IF(AND(B78&lt;&gt;"",COUNTIFS('Recipes'!$A$8:$A$207,D78)&lt;&gt;1),"Choose a unique recipe line",IF(AND(B78&lt;&gt;"",OR(C78&lt;&gt;"",F78&lt;&gt;"")),"Clear child root-only inputs",IF(AND(B78&lt;&gt;"",COUNTIFS($A$8:$A$77,B78)=1,COUNTIFS('Recipes'!$A$8:$A$207,D78)=1),IF(VLOOKUP(D78,'Recipes'!$A$8:$F$207,2,FALSE)&lt;&gt;VLOOKUP(B78,$A$8:$N$77,7,FALSE),"Recipe parent mismatch",IF(COUNTIFS($B$8:$B$207,B78,$D$8:$D$207,D78)&lt;&gt;1,"Duplicate child recipe",IF(OR(NOT(ISNUMBER(J78)),J78&lt;0,MOD(J78,1)&lt;&gt;0),"Set nonnegative whole qty",IF(COUNTIFS('Recipes'!$B$8:$B$207,G78)&lt;&gt;COUNTIFS($B$8:$B$207,A78,$D$8:$D$207,"&lt;&gt;",$A$8:$A$207,"&lt;&gt;"),"Missing / extra recipe children","OK")))),IF(OR(NOT(ISNUMBER(J78)),J78&lt;0,MOD(J78,1)&lt;&gt;0),"Set nonnegative whole qty",IF(COUNTIFS('Recipes'!$B$8:$B$207,G78)&lt;&gt;COUNTIFS($B$8:$B$207,A78,$D$8:$D$207,"&lt;&gt;",$A$8:$A$207,"&lt;&gt;"),"Missing / extra recipe children","OK"))))))))))</x:f>
      </x:c>
    </x:row>
    <x:row r="79" ht="22" customHeight="1">
      <x:c r="A79" s="10"/>
      <x:c r="B79" s="10"/>
      <x:c r="C79" s="10"/>
      <x:c r="D79" s="10"/>
      <x:c r="E79" s="12"/>
      <x:c r="F79" s="10"/>
      <x:c r="G79" s="9" t="str">
        <x:f>IF(A79="","",IF(B79="",C79,IF(COUNTIFS('Recipes'!$A$8:$A$207,D79)=1,VLOOKUP(D79,'Recipes'!$A$8:$F$207,3,FALSE),"")))</x:f>
      </x:c>
      <x:c r="H79" s="9" t="str">
        <x:f>IF(A79="","",IF(COUNTIFS('Definitions'!$A$8:$A$207,G79)=1,REPT("    ",IF(ISNUMBER(M79),M79,0))&amp;VLOOKUP(G79,'Definitions'!$A$8:$J$207,2,FALSE),"Unknown definition"))</x:f>
      </x:c>
      <x:c r="I79" s="11" t="str">
        <x:f>IF(A79="","",IF(B79="",1,IF(COUNTIFS('Recipes'!$A$8:$A$207,D79)=1,VLOOKUP(D79,'Recipes'!$A$8:$F$207,4,FALSE),"")))</x:f>
      </x:c>
      <x:c r="J79" s="11" t="str">
        <x:f>IF(A79="","",IF(ISBLANK(E79),I79,E79))</x:f>
      </x:c>
      <x:c r="K79" s="11" t="str">
        <x:f>IF(A79="","",IF(NOT(ISNUMBER(J79)),"",IF(B79="",J79,IF(COUNTIFS($A$8:$A$78,B79)=1,IF(ISNUMBER(VLOOKUP(B79,$A$8:$N$78,11,FALSE)),J79*VLOOKUP(B79,$A$8:$N$78,11,FALSE),""),""))))</x:f>
      </x:c>
      <x:c r="L79" s="9" t="str">
        <x:f>IF(A79="","",IF(B79="",F79,IF(COUNTIFS($A$8:$A$78,B79)=1,VLOOKUP(B79,$A$8:$N$78,12,FALSE),"")))</x:f>
      </x:c>
      <x:c r="M79" s="11" t="str">
        <x:f>IF(A79="","",IF(B79="",0,IF(COUNTIFS($A$8:$A$78,B79)=1,IF(ISNUMBER(VLOOKUP(B79,$A$8:$N$78,13,FALSE)),VLOOKUP(B79,$A$8:$N$78,13,FALSE)+1,""),"")))</x:f>
      </x:c>
      <x:c r="N79" s="9" t="str">
        <x:f>IF(A79="","",IF(COUNTIFS('Layout'!$A$8:$A$207,A79)&lt;&gt;1,"Duplicate role",IF(AND(B79&lt;&gt;"",COUNTIFS($A$8:$A$78,B79)&lt;&gt;1),"Parent must appear above child",IF(COUNTIFS('Definitions'!$A$8:$A$207,G79)&lt;&gt;1,"Unknown / duplicate definition",IF(AND(B79="",OR(C79="",D79&lt;&gt;"",AND(F79&lt;&gt;"Build",F79&lt;&gt;"Spares"))),"Set root definition and purpose",IF(AND(B79&lt;&gt;"",COUNTIFS('Recipes'!$A$8:$A$207,D79)&lt;&gt;1),"Choose a unique recipe line",IF(AND(B79&lt;&gt;"",OR(C79&lt;&gt;"",F79&lt;&gt;"")),"Clear child root-only inputs",IF(AND(B79&lt;&gt;"",COUNTIFS($A$8:$A$78,B79)=1,COUNTIFS('Recipes'!$A$8:$A$207,D79)=1),IF(VLOOKUP(D79,'Recipes'!$A$8:$F$207,2,FALSE)&lt;&gt;VLOOKUP(B79,$A$8:$N$78,7,FALSE),"Recipe parent mismatch",IF(COUNTIFS($B$8:$B$207,B79,$D$8:$D$207,D79)&lt;&gt;1,"Duplicate child recipe",IF(OR(NOT(ISNUMBER(J79)),J79&lt;0,MOD(J79,1)&lt;&gt;0),"Set nonnegative whole qty",IF(COUNTIFS('Recipes'!$B$8:$B$207,G79)&lt;&gt;COUNTIFS($B$8:$B$207,A79,$D$8:$D$207,"&lt;&gt;",$A$8:$A$207,"&lt;&gt;"),"Missing / extra recipe children","OK")))),IF(OR(NOT(ISNUMBER(J79)),J79&lt;0,MOD(J79,1)&lt;&gt;0),"Set nonnegative whole qty",IF(COUNTIFS('Recipes'!$B$8:$B$207,G79)&lt;&gt;COUNTIFS($B$8:$B$207,A79,$D$8:$D$207,"&lt;&gt;",$A$8:$A$207,"&lt;&gt;"),"Missing / extra recipe children","OK"))))))))))</x:f>
      </x:c>
    </x:row>
    <x:row r="80" ht="22" customHeight="1">
      <x:c r="A80" s="10"/>
      <x:c r="B80" s="10"/>
      <x:c r="C80" s="10"/>
      <x:c r="D80" s="10"/>
      <x:c r="E80" s="12"/>
      <x:c r="F80" s="10"/>
      <x:c r="G80" s="9" t="str">
        <x:f>IF(A80="","",IF(B80="",C80,IF(COUNTIFS('Recipes'!$A$8:$A$207,D80)=1,VLOOKUP(D80,'Recipes'!$A$8:$F$207,3,FALSE),"")))</x:f>
      </x:c>
      <x:c r="H80" s="9" t="str">
        <x:f>IF(A80="","",IF(COUNTIFS('Definitions'!$A$8:$A$207,G80)=1,REPT("    ",IF(ISNUMBER(M80),M80,0))&amp;VLOOKUP(G80,'Definitions'!$A$8:$J$207,2,FALSE),"Unknown definition"))</x:f>
      </x:c>
      <x:c r="I80" s="11" t="str">
        <x:f>IF(A80="","",IF(B80="",1,IF(COUNTIFS('Recipes'!$A$8:$A$207,D80)=1,VLOOKUP(D80,'Recipes'!$A$8:$F$207,4,FALSE),"")))</x:f>
      </x:c>
      <x:c r="J80" s="11" t="str">
        <x:f>IF(A80="","",IF(ISBLANK(E80),I80,E80))</x:f>
      </x:c>
      <x:c r="K80" s="11" t="str">
        <x:f>IF(A80="","",IF(NOT(ISNUMBER(J80)),"",IF(B80="",J80,IF(COUNTIFS($A$8:$A$79,B80)=1,IF(ISNUMBER(VLOOKUP(B80,$A$8:$N$79,11,FALSE)),J80*VLOOKUP(B80,$A$8:$N$79,11,FALSE),""),""))))</x:f>
      </x:c>
      <x:c r="L80" s="9" t="str">
        <x:f>IF(A80="","",IF(B80="",F80,IF(COUNTIFS($A$8:$A$79,B80)=1,VLOOKUP(B80,$A$8:$N$79,12,FALSE),"")))</x:f>
      </x:c>
      <x:c r="M80" s="11" t="str">
        <x:f>IF(A80="","",IF(B80="",0,IF(COUNTIFS($A$8:$A$79,B80)=1,IF(ISNUMBER(VLOOKUP(B80,$A$8:$N$79,13,FALSE)),VLOOKUP(B80,$A$8:$N$79,13,FALSE)+1,""),"")))</x:f>
      </x:c>
      <x:c r="N80" s="9" t="str">
        <x:f>IF(A80="","",IF(COUNTIFS('Layout'!$A$8:$A$207,A80)&lt;&gt;1,"Duplicate role",IF(AND(B80&lt;&gt;"",COUNTIFS($A$8:$A$79,B80)&lt;&gt;1),"Parent must appear above child",IF(COUNTIFS('Definitions'!$A$8:$A$207,G80)&lt;&gt;1,"Unknown / duplicate definition",IF(AND(B80="",OR(C80="",D80&lt;&gt;"",AND(F80&lt;&gt;"Build",F80&lt;&gt;"Spares"))),"Set root definition and purpose",IF(AND(B80&lt;&gt;"",COUNTIFS('Recipes'!$A$8:$A$207,D80)&lt;&gt;1),"Choose a unique recipe line",IF(AND(B80&lt;&gt;"",OR(C80&lt;&gt;"",F80&lt;&gt;"")),"Clear child root-only inputs",IF(AND(B80&lt;&gt;"",COUNTIFS($A$8:$A$79,B80)=1,COUNTIFS('Recipes'!$A$8:$A$207,D80)=1),IF(VLOOKUP(D80,'Recipes'!$A$8:$F$207,2,FALSE)&lt;&gt;VLOOKUP(B80,$A$8:$N$79,7,FALSE),"Recipe parent mismatch",IF(COUNTIFS($B$8:$B$207,B80,$D$8:$D$207,D80)&lt;&gt;1,"Duplicate child recipe",IF(OR(NOT(ISNUMBER(J80)),J80&lt;0,MOD(J80,1)&lt;&gt;0),"Set nonnegative whole qty",IF(COUNTIFS('Recipes'!$B$8:$B$207,G80)&lt;&gt;COUNTIFS($B$8:$B$207,A80,$D$8:$D$207,"&lt;&gt;",$A$8:$A$207,"&lt;&gt;"),"Missing / extra recipe children","OK")))),IF(OR(NOT(ISNUMBER(J80)),J80&lt;0,MOD(J80,1)&lt;&gt;0),"Set nonnegative whole qty",IF(COUNTIFS('Recipes'!$B$8:$B$207,G80)&lt;&gt;COUNTIFS($B$8:$B$207,A80,$D$8:$D$207,"&lt;&gt;",$A$8:$A$207,"&lt;&gt;"),"Missing / extra recipe children","OK"))))))))))</x:f>
      </x:c>
    </x:row>
    <x:row r="81" ht="22" customHeight="1">
      <x:c r="A81" s="10"/>
      <x:c r="B81" s="10"/>
      <x:c r="C81" s="10"/>
      <x:c r="D81" s="10"/>
      <x:c r="E81" s="12"/>
      <x:c r="F81" s="10"/>
      <x:c r="G81" s="9" t="str">
        <x:f>IF(A81="","",IF(B81="",C81,IF(COUNTIFS('Recipes'!$A$8:$A$207,D81)=1,VLOOKUP(D81,'Recipes'!$A$8:$F$207,3,FALSE),"")))</x:f>
      </x:c>
      <x:c r="H81" s="9" t="str">
        <x:f>IF(A81="","",IF(COUNTIFS('Definitions'!$A$8:$A$207,G81)=1,REPT("    ",IF(ISNUMBER(M81),M81,0))&amp;VLOOKUP(G81,'Definitions'!$A$8:$J$207,2,FALSE),"Unknown definition"))</x:f>
      </x:c>
      <x:c r="I81" s="11" t="str">
        <x:f>IF(A81="","",IF(B81="",1,IF(COUNTIFS('Recipes'!$A$8:$A$207,D81)=1,VLOOKUP(D81,'Recipes'!$A$8:$F$207,4,FALSE),"")))</x:f>
      </x:c>
      <x:c r="J81" s="11" t="str">
        <x:f>IF(A81="","",IF(ISBLANK(E81),I81,E81))</x:f>
      </x:c>
      <x:c r="K81" s="11" t="str">
        <x:f>IF(A81="","",IF(NOT(ISNUMBER(J81)),"",IF(B81="",J81,IF(COUNTIFS($A$8:$A$80,B81)=1,IF(ISNUMBER(VLOOKUP(B81,$A$8:$N$80,11,FALSE)),J81*VLOOKUP(B81,$A$8:$N$80,11,FALSE),""),""))))</x:f>
      </x:c>
      <x:c r="L81" s="9" t="str">
        <x:f>IF(A81="","",IF(B81="",F81,IF(COUNTIFS($A$8:$A$80,B81)=1,VLOOKUP(B81,$A$8:$N$80,12,FALSE),"")))</x:f>
      </x:c>
      <x:c r="M81" s="11" t="str">
        <x:f>IF(A81="","",IF(B81="",0,IF(COUNTIFS($A$8:$A$80,B81)=1,IF(ISNUMBER(VLOOKUP(B81,$A$8:$N$80,13,FALSE)),VLOOKUP(B81,$A$8:$N$80,13,FALSE)+1,""),"")))</x:f>
      </x:c>
      <x:c r="N81" s="9" t="str">
        <x:f>IF(A81="","",IF(COUNTIFS('Layout'!$A$8:$A$207,A81)&lt;&gt;1,"Duplicate role",IF(AND(B81&lt;&gt;"",COUNTIFS($A$8:$A$80,B81)&lt;&gt;1),"Parent must appear above child",IF(COUNTIFS('Definitions'!$A$8:$A$207,G81)&lt;&gt;1,"Unknown / duplicate definition",IF(AND(B81="",OR(C81="",D81&lt;&gt;"",AND(F81&lt;&gt;"Build",F81&lt;&gt;"Spares"))),"Set root definition and purpose",IF(AND(B81&lt;&gt;"",COUNTIFS('Recipes'!$A$8:$A$207,D81)&lt;&gt;1),"Choose a unique recipe line",IF(AND(B81&lt;&gt;"",OR(C81&lt;&gt;"",F81&lt;&gt;"")),"Clear child root-only inputs",IF(AND(B81&lt;&gt;"",COUNTIFS($A$8:$A$80,B81)=1,COUNTIFS('Recipes'!$A$8:$A$207,D81)=1),IF(VLOOKUP(D81,'Recipes'!$A$8:$F$207,2,FALSE)&lt;&gt;VLOOKUP(B81,$A$8:$N$80,7,FALSE),"Recipe parent mismatch",IF(COUNTIFS($B$8:$B$207,B81,$D$8:$D$207,D81)&lt;&gt;1,"Duplicate child recipe",IF(OR(NOT(ISNUMBER(J81)),J81&lt;0,MOD(J81,1)&lt;&gt;0),"Set nonnegative whole qty",IF(COUNTIFS('Recipes'!$B$8:$B$207,G81)&lt;&gt;COUNTIFS($B$8:$B$207,A81,$D$8:$D$207,"&lt;&gt;",$A$8:$A$207,"&lt;&gt;"),"Missing / extra recipe children","OK")))),IF(OR(NOT(ISNUMBER(J81)),J81&lt;0,MOD(J81,1)&lt;&gt;0),"Set nonnegative whole qty",IF(COUNTIFS('Recipes'!$B$8:$B$207,G81)&lt;&gt;COUNTIFS($B$8:$B$207,A81,$D$8:$D$207,"&lt;&gt;",$A$8:$A$207,"&lt;&gt;"),"Missing / extra recipe children","OK"))))))))))</x:f>
      </x:c>
    </x:row>
    <x:row r="82" ht="22" customHeight="1">
      <x:c r="A82" s="10"/>
      <x:c r="B82" s="10"/>
      <x:c r="C82" s="10"/>
      <x:c r="D82" s="10"/>
      <x:c r="E82" s="12"/>
      <x:c r="F82" s="10"/>
      <x:c r="G82" s="9" t="str">
        <x:f>IF(A82="","",IF(B82="",C82,IF(COUNTIFS('Recipes'!$A$8:$A$207,D82)=1,VLOOKUP(D82,'Recipes'!$A$8:$F$207,3,FALSE),"")))</x:f>
      </x:c>
      <x:c r="H82" s="9" t="str">
        <x:f>IF(A82="","",IF(COUNTIFS('Definitions'!$A$8:$A$207,G82)=1,REPT("    ",IF(ISNUMBER(M82),M82,0))&amp;VLOOKUP(G82,'Definitions'!$A$8:$J$207,2,FALSE),"Unknown definition"))</x:f>
      </x:c>
      <x:c r="I82" s="11" t="str">
        <x:f>IF(A82="","",IF(B82="",1,IF(COUNTIFS('Recipes'!$A$8:$A$207,D82)=1,VLOOKUP(D82,'Recipes'!$A$8:$F$207,4,FALSE),"")))</x:f>
      </x:c>
      <x:c r="J82" s="11" t="str">
        <x:f>IF(A82="","",IF(ISBLANK(E82),I82,E82))</x:f>
      </x:c>
      <x:c r="K82" s="11" t="str">
        <x:f>IF(A82="","",IF(NOT(ISNUMBER(J82)),"",IF(B82="",J82,IF(COUNTIFS($A$8:$A$81,B82)=1,IF(ISNUMBER(VLOOKUP(B82,$A$8:$N$81,11,FALSE)),J82*VLOOKUP(B82,$A$8:$N$81,11,FALSE),""),""))))</x:f>
      </x:c>
      <x:c r="L82" s="9" t="str">
        <x:f>IF(A82="","",IF(B82="",F82,IF(COUNTIFS($A$8:$A$81,B82)=1,VLOOKUP(B82,$A$8:$N$81,12,FALSE),"")))</x:f>
      </x:c>
      <x:c r="M82" s="11" t="str">
        <x:f>IF(A82="","",IF(B82="",0,IF(COUNTIFS($A$8:$A$81,B82)=1,IF(ISNUMBER(VLOOKUP(B82,$A$8:$N$81,13,FALSE)),VLOOKUP(B82,$A$8:$N$81,13,FALSE)+1,""),"")))</x:f>
      </x:c>
      <x:c r="N82" s="9" t="str">
        <x:f>IF(A82="","",IF(COUNTIFS('Layout'!$A$8:$A$207,A82)&lt;&gt;1,"Duplicate role",IF(AND(B82&lt;&gt;"",COUNTIFS($A$8:$A$81,B82)&lt;&gt;1),"Parent must appear above child",IF(COUNTIFS('Definitions'!$A$8:$A$207,G82)&lt;&gt;1,"Unknown / duplicate definition",IF(AND(B82="",OR(C82="",D82&lt;&gt;"",AND(F82&lt;&gt;"Build",F82&lt;&gt;"Spares"))),"Set root definition and purpose",IF(AND(B82&lt;&gt;"",COUNTIFS('Recipes'!$A$8:$A$207,D82)&lt;&gt;1),"Choose a unique recipe line",IF(AND(B82&lt;&gt;"",OR(C82&lt;&gt;"",F82&lt;&gt;"")),"Clear child root-only inputs",IF(AND(B82&lt;&gt;"",COUNTIFS($A$8:$A$81,B82)=1,COUNTIFS('Recipes'!$A$8:$A$207,D82)=1),IF(VLOOKUP(D82,'Recipes'!$A$8:$F$207,2,FALSE)&lt;&gt;VLOOKUP(B82,$A$8:$N$81,7,FALSE),"Recipe parent mismatch",IF(COUNTIFS($B$8:$B$207,B82,$D$8:$D$207,D82)&lt;&gt;1,"Duplicate child recipe",IF(OR(NOT(ISNUMBER(J82)),J82&lt;0,MOD(J82,1)&lt;&gt;0),"Set nonnegative whole qty",IF(COUNTIFS('Recipes'!$B$8:$B$207,G82)&lt;&gt;COUNTIFS($B$8:$B$207,A82,$D$8:$D$207,"&lt;&gt;",$A$8:$A$207,"&lt;&gt;"),"Missing / extra recipe children","OK")))),IF(OR(NOT(ISNUMBER(J82)),J82&lt;0,MOD(J82,1)&lt;&gt;0),"Set nonnegative whole qty",IF(COUNTIFS('Recipes'!$B$8:$B$207,G82)&lt;&gt;COUNTIFS($B$8:$B$207,A82,$D$8:$D$207,"&lt;&gt;",$A$8:$A$207,"&lt;&gt;"),"Missing / extra recipe children","OK"))))))))))</x:f>
      </x:c>
    </x:row>
    <x:row r="83" ht="22" customHeight="1">
      <x:c r="A83" s="10"/>
      <x:c r="B83" s="10"/>
      <x:c r="C83" s="10"/>
      <x:c r="D83" s="10"/>
      <x:c r="E83" s="12"/>
      <x:c r="F83" s="10"/>
      <x:c r="G83" s="9" t="str">
        <x:f>IF(A83="","",IF(B83="",C83,IF(COUNTIFS('Recipes'!$A$8:$A$207,D83)=1,VLOOKUP(D83,'Recipes'!$A$8:$F$207,3,FALSE),"")))</x:f>
      </x:c>
      <x:c r="H83" s="9" t="str">
        <x:f>IF(A83="","",IF(COUNTIFS('Definitions'!$A$8:$A$207,G83)=1,REPT("    ",IF(ISNUMBER(M83),M83,0))&amp;VLOOKUP(G83,'Definitions'!$A$8:$J$207,2,FALSE),"Unknown definition"))</x:f>
      </x:c>
      <x:c r="I83" s="11" t="str">
        <x:f>IF(A83="","",IF(B83="",1,IF(COUNTIFS('Recipes'!$A$8:$A$207,D83)=1,VLOOKUP(D83,'Recipes'!$A$8:$F$207,4,FALSE),"")))</x:f>
      </x:c>
      <x:c r="J83" s="11" t="str">
        <x:f>IF(A83="","",IF(ISBLANK(E83),I83,E83))</x:f>
      </x:c>
      <x:c r="K83" s="11" t="str">
        <x:f>IF(A83="","",IF(NOT(ISNUMBER(J83)),"",IF(B83="",J83,IF(COUNTIFS($A$8:$A$82,B83)=1,IF(ISNUMBER(VLOOKUP(B83,$A$8:$N$82,11,FALSE)),J83*VLOOKUP(B83,$A$8:$N$82,11,FALSE),""),""))))</x:f>
      </x:c>
      <x:c r="L83" s="9" t="str">
        <x:f>IF(A83="","",IF(B83="",F83,IF(COUNTIFS($A$8:$A$82,B83)=1,VLOOKUP(B83,$A$8:$N$82,12,FALSE),"")))</x:f>
      </x:c>
      <x:c r="M83" s="11" t="str">
        <x:f>IF(A83="","",IF(B83="",0,IF(COUNTIFS($A$8:$A$82,B83)=1,IF(ISNUMBER(VLOOKUP(B83,$A$8:$N$82,13,FALSE)),VLOOKUP(B83,$A$8:$N$82,13,FALSE)+1,""),"")))</x:f>
      </x:c>
      <x:c r="N83" s="9" t="str">
        <x:f>IF(A83="","",IF(COUNTIFS('Layout'!$A$8:$A$207,A83)&lt;&gt;1,"Duplicate role",IF(AND(B83&lt;&gt;"",COUNTIFS($A$8:$A$82,B83)&lt;&gt;1),"Parent must appear above child",IF(COUNTIFS('Definitions'!$A$8:$A$207,G83)&lt;&gt;1,"Unknown / duplicate definition",IF(AND(B83="",OR(C83="",D83&lt;&gt;"",AND(F83&lt;&gt;"Build",F83&lt;&gt;"Spares"))),"Set root definition and purpose",IF(AND(B83&lt;&gt;"",COUNTIFS('Recipes'!$A$8:$A$207,D83)&lt;&gt;1),"Choose a unique recipe line",IF(AND(B83&lt;&gt;"",OR(C83&lt;&gt;"",F83&lt;&gt;"")),"Clear child root-only inputs",IF(AND(B83&lt;&gt;"",COUNTIFS($A$8:$A$82,B83)=1,COUNTIFS('Recipes'!$A$8:$A$207,D83)=1),IF(VLOOKUP(D83,'Recipes'!$A$8:$F$207,2,FALSE)&lt;&gt;VLOOKUP(B83,$A$8:$N$82,7,FALSE),"Recipe parent mismatch",IF(COUNTIFS($B$8:$B$207,B83,$D$8:$D$207,D83)&lt;&gt;1,"Duplicate child recipe",IF(OR(NOT(ISNUMBER(J83)),J83&lt;0,MOD(J83,1)&lt;&gt;0),"Set nonnegative whole qty",IF(COUNTIFS('Recipes'!$B$8:$B$207,G83)&lt;&gt;COUNTIFS($B$8:$B$207,A83,$D$8:$D$207,"&lt;&gt;",$A$8:$A$207,"&lt;&gt;"),"Missing / extra recipe children","OK")))),IF(OR(NOT(ISNUMBER(J83)),J83&lt;0,MOD(J83,1)&lt;&gt;0),"Set nonnegative whole qty",IF(COUNTIFS('Recipes'!$B$8:$B$207,G83)&lt;&gt;COUNTIFS($B$8:$B$207,A83,$D$8:$D$207,"&lt;&gt;",$A$8:$A$207,"&lt;&gt;"),"Missing / extra recipe children","OK"))))))))))</x:f>
      </x:c>
    </x:row>
    <x:row r="84" ht="22" customHeight="1">
      <x:c r="A84" s="10"/>
      <x:c r="B84" s="10"/>
      <x:c r="C84" s="10"/>
      <x:c r="D84" s="10"/>
      <x:c r="E84" s="12"/>
      <x:c r="F84" s="10"/>
      <x:c r="G84" s="9" t="str">
        <x:f>IF(A84="","",IF(B84="",C84,IF(COUNTIFS('Recipes'!$A$8:$A$207,D84)=1,VLOOKUP(D84,'Recipes'!$A$8:$F$207,3,FALSE),"")))</x:f>
      </x:c>
      <x:c r="H84" s="9" t="str">
        <x:f>IF(A84="","",IF(COUNTIFS('Definitions'!$A$8:$A$207,G84)=1,REPT("    ",IF(ISNUMBER(M84),M84,0))&amp;VLOOKUP(G84,'Definitions'!$A$8:$J$207,2,FALSE),"Unknown definition"))</x:f>
      </x:c>
      <x:c r="I84" s="11" t="str">
        <x:f>IF(A84="","",IF(B84="",1,IF(COUNTIFS('Recipes'!$A$8:$A$207,D84)=1,VLOOKUP(D84,'Recipes'!$A$8:$F$207,4,FALSE),"")))</x:f>
      </x:c>
      <x:c r="J84" s="11" t="str">
        <x:f>IF(A84="","",IF(ISBLANK(E84),I84,E84))</x:f>
      </x:c>
      <x:c r="K84" s="11" t="str">
        <x:f>IF(A84="","",IF(NOT(ISNUMBER(J84)),"",IF(B84="",J84,IF(COUNTIFS($A$8:$A$83,B84)=1,IF(ISNUMBER(VLOOKUP(B84,$A$8:$N$83,11,FALSE)),J84*VLOOKUP(B84,$A$8:$N$83,11,FALSE),""),""))))</x:f>
      </x:c>
      <x:c r="L84" s="9" t="str">
        <x:f>IF(A84="","",IF(B84="",F84,IF(COUNTIFS($A$8:$A$83,B84)=1,VLOOKUP(B84,$A$8:$N$83,12,FALSE),"")))</x:f>
      </x:c>
      <x:c r="M84" s="11" t="str">
        <x:f>IF(A84="","",IF(B84="",0,IF(COUNTIFS($A$8:$A$83,B84)=1,IF(ISNUMBER(VLOOKUP(B84,$A$8:$N$83,13,FALSE)),VLOOKUP(B84,$A$8:$N$83,13,FALSE)+1,""),"")))</x:f>
      </x:c>
      <x:c r="N84" s="9" t="str">
        <x:f>IF(A84="","",IF(COUNTIFS('Layout'!$A$8:$A$207,A84)&lt;&gt;1,"Duplicate role",IF(AND(B84&lt;&gt;"",COUNTIFS($A$8:$A$83,B84)&lt;&gt;1),"Parent must appear above child",IF(COUNTIFS('Definitions'!$A$8:$A$207,G84)&lt;&gt;1,"Unknown / duplicate definition",IF(AND(B84="",OR(C84="",D84&lt;&gt;"",AND(F84&lt;&gt;"Build",F84&lt;&gt;"Spares"))),"Set root definition and purpose",IF(AND(B84&lt;&gt;"",COUNTIFS('Recipes'!$A$8:$A$207,D84)&lt;&gt;1),"Choose a unique recipe line",IF(AND(B84&lt;&gt;"",OR(C84&lt;&gt;"",F84&lt;&gt;"")),"Clear child root-only inputs",IF(AND(B84&lt;&gt;"",COUNTIFS($A$8:$A$83,B84)=1,COUNTIFS('Recipes'!$A$8:$A$207,D84)=1),IF(VLOOKUP(D84,'Recipes'!$A$8:$F$207,2,FALSE)&lt;&gt;VLOOKUP(B84,$A$8:$N$83,7,FALSE),"Recipe parent mismatch",IF(COUNTIFS($B$8:$B$207,B84,$D$8:$D$207,D84)&lt;&gt;1,"Duplicate child recipe",IF(OR(NOT(ISNUMBER(J84)),J84&lt;0,MOD(J84,1)&lt;&gt;0),"Set nonnegative whole qty",IF(COUNTIFS('Recipes'!$B$8:$B$207,G84)&lt;&gt;COUNTIFS($B$8:$B$207,A84,$D$8:$D$207,"&lt;&gt;",$A$8:$A$207,"&lt;&gt;"),"Missing / extra recipe children","OK")))),IF(OR(NOT(ISNUMBER(J84)),J84&lt;0,MOD(J84,1)&lt;&gt;0),"Set nonnegative whole qty",IF(COUNTIFS('Recipes'!$B$8:$B$207,G84)&lt;&gt;COUNTIFS($B$8:$B$207,A84,$D$8:$D$207,"&lt;&gt;",$A$8:$A$207,"&lt;&gt;"),"Missing / extra recipe children","OK"))))))))))</x:f>
      </x:c>
    </x:row>
    <x:row r="85" ht="22" customHeight="1">
      <x:c r="A85" s="10"/>
      <x:c r="B85" s="10"/>
      <x:c r="C85" s="10"/>
      <x:c r="D85" s="10"/>
      <x:c r="E85" s="12"/>
      <x:c r="F85" s="10"/>
      <x:c r="G85" s="9" t="str">
        <x:f>IF(A85="","",IF(B85="",C85,IF(COUNTIFS('Recipes'!$A$8:$A$207,D85)=1,VLOOKUP(D85,'Recipes'!$A$8:$F$207,3,FALSE),"")))</x:f>
      </x:c>
      <x:c r="H85" s="9" t="str">
        <x:f>IF(A85="","",IF(COUNTIFS('Definitions'!$A$8:$A$207,G85)=1,REPT("    ",IF(ISNUMBER(M85),M85,0))&amp;VLOOKUP(G85,'Definitions'!$A$8:$J$207,2,FALSE),"Unknown definition"))</x:f>
      </x:c>
      <x:c r="I85" s="11" t="str">
        <x:f>IF(A85="","",IF(B85="",1,IF(COUNTIFS('Recipes'!$A$8:$A$207,D85)=1,VLOOKUP(D85,'Recipes'!$A$8:$F$207,4,FALSE),"")))</x:f>
      </x:c>
      <x:c r="J85" s="11" t="str">
        <x:f>IF(A85="","",IF(ISBLANK(E85),I85,E85))</x:f>
      </x:c>
      <x:c r="K85" s="11" t="str">
        <x:f>IF(A85="","",IF(NOT(ISNUMBER(J85)),"",IF(B85="",J85,IF(COUNTIFS($A$8:$A$84,B85)=1,IF(ISNUMBER(VLOOKUP(B85,$A$8:$N$84,11,FALSE)),J85*VLOOKUP(B85,$A$8:$N$84,11,FALSE),""),""))))</x:f>
      </x:c>
      <x:c r="L85" s="9" t="str">
        <x:f>IF(A85="","",IF(B85="",F85,IF(COUNTIFS($A$8:$A$84,B85)=1,VLOOKUP(B85,$A$8:$N$84,12,FALSE),"")))</x:f>
      </x:c>
      <x:c r="M85" s="11" t="str">
        <x:f>IF(A85="","",IF(B85="",0,IF(COUNTIFS($A$8:$A$84,B85)=1,IF(ISNUMBER(VLOOKUP(B85,$A$8:$N$84,13,FALSE)),VLOOKUP(B85,$A$8:$N$84,13,FALSE)+1,""),"")))</x:f>
      </x:c>
      <x:c r="N85" s="9" t="str">
        <x:f>IF(A85="","",IF(COUNTIFS('Layout'!$A$8:$A$207,A85)&lt;&gt;1,"Duplicate role",IF(AND(B85&lt;&gt;"",COUNTIFS($A$8:$A$84,B85)&lt;&gt;1),"Parent must appear above child",IF(COUNTIFS('Definitions'!$A$8:$A$207,G85)&lt;&gt;1,"Unknown / duplicate definition",IF(AND(B85="",OR(C85="",D85&lt;&gt;"",AND(F85&lt;&gt;"Build",F85&lt;&gt;"Spares"))),"Set root definition and purpose",IF(AND(B85&lt;&gt;"",COUNTIFS('Recipes'!$A$8:$A$207,D85)&lt;&gt;1),"Choose a unique recipe line",IF(AND(B85&lt;&gt;"",OR(C85&lt;&gt;"",F85&lt;&gt;"")),"Clear child root-only inputs",IF(AND(B85&lt;&gt;"",COUNTIFS($A$8:$A$84,B85)=1,COUNTIFS('Recipes'!$A$8:$A$207,D85)=1),IF(VLOOKUP(D85,'Recipes'!$A$8:$F$207,2,FALSE)&lt;&gt;VLOOKUP(B85,$A$8:$N$84,7,FALSE),"Recipe parent mismatch",IF(COUNTIFS($B$8:$B$207,B85,$D$8:$D$207,D85)&lt;&gt;1,"Duplicate child recipe",IF(OR(NOT(ISNUMBER(J85)),J85&lt;0,MOD(J85,1)&lt;&gt;0),"Set nonnegative whole qty",IF(COUNTIFS('Recipes'!$B$8:$B$207,G85)&lt;&gt;COUNTIFS($B$8:$B$207,A85,$D$8:$D$207,"&lt;&gt;",$A$8:$A$207,"&lt;&gt;"),"Missing / extra recipe children","OK")))),IF(OR(NOT(ISNUMBER(J85)),J85&lt;0,MOD(J85,1)&lt;&gt;0),"Set nonnegative whole qty",IF(COUNTIFS('Recipes'!$B$8:$B$207,G85)&lt;&gt;COUNTIFS($B$8:$B$207,A85,$D$8:$D$207,"&lt;&gt;",$A$8:$A$207,"&lt;&gt;"),"Missing / extra recipe children","OK"))))))))))</x:f>
      </x:c>
    </x:row>
    <x:row r="86" ht="22" customHeight="1">
      <x:c r="A86" s="10"/>
      <x:c r="B86" s="10"/>
      <x:c r="C86" s="10"/>
      <x:c r="D86" s="10"/>
      <x:c r="E86" s="12"/>
      <x:c r="F86" s="10"/>
      <x:c r="G86" s="9" t="str">
        <x:f>IF(A86="","",IF(B86="",C86,IF(COUNTIFS('Recipes'!$A$8:$A$207,D86)=1,VLOOKUP(D86,'Recipes'!$A$8:$F$207,3,FALSE),"")))</x:f>
      </x:c>
      <x:c r="H86" s="9" t="str">
        <x:f>IF(A86="","",IF(COUNTIFS('Definitions'!$A$8:$A$207,G86)=1,REPT("    ",IF(ISNUMBER(M86),M86,0))&amp;VLOOKUP(G86,'Definitions'!$A$8:$J$207,2,FALSE),"Unknown definition"))</x:f>
      </x:c>
      <x:c r="I86" s="11" t="str">
        <x:f>IF(A86="","",IF(B86="",1,IF(COUNTIFS('Recipes'!$A$8:$A$207,D86)=1,VLOOKUP(D86,'Recipes'!$A$8:$F$207,4,FALSE),"")))</x:f>
      </x:c>
      <x:c r="J86" s="11" t="str">
        <x:f>IF(A86="","",IF(ISBLANK(E86),I86,E86))</x:f>
      </x:c>
      <x:c r="K86" s="11" t="str">
        <x:f>IF(A86="","",IF(NOT(ISNUMBER(J86)),"",IF(B86="",J86,IF(COUNTIFS($A$8:$A$85,B86)=1,IF(ISNUMBER(VLOOKUP(B86,$A$8:$N$85,11,FALSE)),J86*VLOOKUP(B86,$A$8:$N$85,11,FALSE),""),""))))</x:f>
      </x:c>
      <x:c r="L86" s="9" t="str">
        <x:f>IF(A86="","",IF(B86="",F86,IF(COUNTIFS($A$8:$A$85,B86)=1,VLOOKUP(B86,$A$8:$N$85,12,FALSE),"")))</x:f>
      </x:c>
      <x:c r="M86" s="11" t="str">
        <x:f>IF(A86="","",IF(B86="",0,IF(COUNTIFS($A$8:$A$85,B86)=1,IF(ISNUMBER(VLOOKUP(B86,$A$8:$N$85,13,FALSE)),VLOOKUP(B86,$A$8:$N$85,13,FALSE)+1,""),"")))</x:f>
      </x:c>
      <x:c r="N86" s="9" t="str">
        <x:f>IF(A86="","",IF(COUNTIFS('Layout'!$A$8:$A$207,A86)&lt;&gt;1,"Duplicate role",IF(AND(B86&lt;&gt;"",COUNTIFS($A$8:$A$85,B86)&lt;&gt;1),"Parent must appear above child",IF(COUNTIFS('Definitions'!$A$8:$A$207,G86)&lt;&gt;1,"Unknown / duplicate definition",IF(AND(B86="",OR(C86="",D86&lt;&gt;"",AND(F86&lt;&gt;"Build",F86&lt;&gt;"Spares"))),"Set root definition and purpose",IF(AND(B86&lt;&gt;"",COUNTIFS('Recipes'!$A$8:$A$207,D86)&lt;&gt;1),"Choose a unique recipe line",IF(AND(B86&lt;&gt;"",OR(C86&lt;&gt;"",F86&lt;&gt;"")),"Clear child root-only inputs",IF(AND(B86&lt;&gt;"",COUNTIFS($A$8:$A$85,B86)=1,COUNTIFS('Recipes'!$A$8:$A$207,D86)=1),IF(VLOOKUP(D86,'Recipes'!$A$8:$F$207,2,FALSE)&lt;&gt;VLOOKUP(B86,$A$8:$N$85,7,FALSE),"Recipe parent mismatch",IF(COUNTIFS($B$8:$B$207,B86,$D$8:$D$207,D86)&lt;&gt;1,"Duplicate child recipe",IF(OR(NOT(ISNUMBER(J86)),J86&lt;0,MOD(J86,1)&lt;&gt;0),"Set nonnegative whole qty",IF(COUNTIFS('Recipes'!$B$8:$B$207,G86)&lt;&gt;COUNTIFS($B$8:$B$207,A86,$D$8:$D$207,"&lt;&gt;",$A$8:$A$207,"&lt;&gt;"),"Missing / extra recipe children","OK")))),IF(OR(NOT(ISNUMBER(J86)),J86&lt;0,MOD(J86,1)&lt;&gt;0),"Set nonnegative whole qty",IF(COUNTIFS('Recipes'!$B$8:$B$207,G86)&lt;&gt;COUNTIFS($B$8:$B$207,A86,$D$8:$D$207,"&lt;&gt;",$A$8:$A$207,"&lt;&gt;"),"Missing / extra recipe children","OK"))))))))))</x:f>
      </x:c>
    </x:row>
    <x:row r="87" ht="22" customHeight="1">
      <x:c r="A87" s="10"/>
      <x:c r="B87" s="10"/>
      <x:c r="C87" s="10"/>
      <x:c r="D87" s="10"/>
      <x:c r="E87" s="12"/>
      <x:c r="F87" s="10"/>
      <x:c r="G87" s="9" t="str">
        <x:f>IF(A87="","",IF(B87="",C87,IF(COUNTIFS('Recipes'!$A$8:$A$207,D87)=1,VLOOKUP(D87,'Recipes'!$A$8:$F$207,3,FALSE),"")))</x:f>
      </x:c>
      <x:c r="H87" s="9" t="str">
        <x:f>IF(A87="","",IF(COUNTIFS('Definitions'!$A$8:$A$207,G87)=1,REPT("    ",IF(ISNUMBER(M87),M87,0))&amp;VLOOKUP(G87,'Definitions'!$A$8:$J$207,2,FALSE),"Unknown definition"))</x:f>
      </x:c>
      <x:c r="I87" s="11" t="str">
        <x:f>IF(A87="","",IF(B87="",1,IF(COUNTIFS('Recipes'!$A$8:$A$207,D87)=1,VLOOKUP(D87,'Recipes'!$A$8:$F$207,4,FALSE),"")))</x:f>
      </x:c>
      <x:c r="J87" s="11" t="str">
        <x:f>IF(A87="","",IF(ISBLANK(E87),I87,E87))</x:f>
      </x:c>
      <x:c r="K87" s="11" t="str">
        <x:f>IF(A87="","",IF(NOT(ISNUMBER(J87)),"",IF(B87="",J87,IF(COUNTIFS($A$8:$A$86,B87)=1,IF(ISNUMBER(VLOOKUP(B87,$A$8:$N$86,11,FALSE)),J87*VLOOKUP(B87,$A$8:$N$86,11,FALSE),""),""))))</x:f>
      </x:c>
      <x:c r="L87" s="9" t="str">
        <x:f>IF(A87="","",IF(B87="",F87,IF(COUNTIFS($A$8:$A$86,B87)=1,VLOOKUP(B87,$A$8:$N$86,12,FALSE),"")))</x:f>
      </x:c>
      <x:c r="M87" s="11" t="str">
        <x:f>IF(A87="","",IF(B87="",0,IF(COUNTIFS($A$8:$A$86,B87)=1,IF(ISNUMBER(VLOOKUP(B87,$A$8:$N$86,13,FALSE)),VLOOKUP(B87,$A$8:$N$86,13,FALSE)+1,""),"")))</x:f>
      </x:c>
      <x:c r="N87" s="9" t="str">
        <x:f>IF(A87="","",IF(COUNTIFS('Layout'!$A$8:$A$207,A87)&lt;&gt;1,"Duplicate role",IF(AND(B87&lt;&gt;"",COUNTIFS($A$8:$A$86,B87)&lt;&gt;1),"Parent must appear above child",IF(COUNTIFS('Definitions'!$A$8:$A$207,G87)&lt;&gt;1,"Unknown / duplicate definition",IF(AND(B87="",OR(C87="",D87&lt;&gt;"",AND(F87&lt;&gt;"Build",F87&lt;&gt;"Spares"))),"Set root definition and purpose",IF(AND(B87&lt;&gt;"",COUNTIFS('Recipes'!$A$8:$A$207,D87)&lt;&gt;1),"Choose a unique recipe line",IF(AND(B87&lt;&gt;"",OR(C87&lt;&gt;"",F87&lt;&gt;"")),"Clear child root-only inputs",IF(AND(B87&lt;&gt;"",COUNTIFS($A$8:$A$86,B87)=1,COUNTIFS('Recipes'!$A$8:$A$207,D87)=1),IF(VLOOKUP(D87,'Recipes'!$A$8:$F$207,2,FALSE)&lt;&gt;VLOOKUP(B87,$A$8:$N$86,7,FALSE),"Recipe parent mismatch",IF(COUNTIFS($B$8:$B$207,B87,$D$8:$D$207,D87)&lt;&gt;1,"Duplicate child recipe",IF(OR(NOT(ISNUMBER(J87)),J87&lt;0,MOD(J87,1)&lt;&gt;0),"Set nonnegative whole qty",IF(COUNTIFS('Recipes'!$B$8:$B$207,G87)&lt;&gt;COUNTIFS($B$8:$B$207,A87,$D$8:$D$207,"&lt;&gt;",$A$8:$A$207,"&lt;&gt;"),"Missing / extra recipe children","OK")))),IF(OR(NOT(ISNUMBER(J87)),J87&lt;0,MOD(J87,1)&lt;&gt;0),"Set nonnegative whole qty",IF(COUNTIFS('Recipes'!$B$8:$B$207,G87)&lt;&gt;COUNTIFS($B$8:$B$207,A87,$D$8:$D$207,"&lt;&gt;",$A$8:$A$207,"&lt;&gt;"),"Missing / extra recipe children","OK"))))))))))</x:f>
      </x:c>
    </x:row>
    <x:row r="88" ht="22" customHeight="1">
      <x:c r="A88" s="10"/>
      <x:c r="B88" s="10"/>
      <x:c r="C88" s="10"/>
      <x:c r="D88" s="10"/>
      <x:c r="E88" s="12"/>
      <x:c r="F88" s="10"/>
      <x:c r="G88" s="9" t="str">
        <x:f>IF(A88="","",IF(B88="",C88,IF(COUNTIFS('Recipes'!$A$8:$A$207,D88)=1,VLOOKUP(D88,'Recipes'!$A$8:$F$207,3,FALSE),"")))</x:f>
      </x:c>
      <x:c r="H88" s="9" t="str">
        <x:f>IF(A88="","",IF(COUNTIFS('Definitions'!$A$8:$A$207,G88)=1,REPT("    ",IF(ISNUMBER(M88),M88,0))&amp;VLOOKUP(G88,'Definitions'!$A$8:$J$207,2,FALSE),"Unknown definition"))</x:f>
      </x:c>
      <x:c r="I88" s="11" t="str">
        <x:f>IF(A88="","",IF(B88="",1,IF(COUNTIFS('Recipes'!$A$8:$A$207,D88)=1,VLOOKUP(D88,'Recipes'!$A$8:$F$207,4,FALSE),"")))</x:f>
      </x:c>
      <x:c r="J88" s="11" t="str">
        <x:f>IF(A88="","",IF(ISBLANK(E88),I88,E88))</x:f>
      </x:c>
      <x:c r="K88" s="11" t="str">
        <x:f>IF(A88="","",IF(NOT(ISNUMBER(J88)),"",IF(B88="",J88,IF(COUNTIFS($A$8:$A$87,B88)=1,IF(ISNUMBER(VLOOKUP(B88,$A$8:$N$87,11,FALSE)),J88*VLOOKUP(B88,$A$8:$N$87,11,FALSE),""),""))))</x:f>
      </x:c>
      <x:c r="L88" s="9" t="str">
        <x:f>IF(A88="","",IF(B88="",F88,IF(COUNTIFS($A$8:$A$87,B88)=1,VLOOKUP(B88,$A$8:$N$87,12,FALSE),"")))</x:f>
      </x:c>
      <x:c r="M88" s="11" t="str">
        <x:f>IF(A88="","",IF(B88="",0,IF(COUNTIFS($A$8:$A$87,B88)=1,IF(ISNUMBER(VLOOKUP(B88,$A$8:$N$87,13,FALSE)),VLOOKUP(B88,$A$8:$N$87,13,FALSE)+1,""),"")))</x:f>
      </x:c>
      <x:c r="N88" s="9" t="str">
        <x:f>IF(A88="","",IF(COUNTIFS('Layout'!$A$8:$A$207,A88)&lt;&gt;1,"Duplicate role",IF(AND(B88&lt;&gt;"",COUNTIFS($A$8:$A$87,B88)&lt;&gt;1),"Parent must appear above child",IF(COUNTIFS('Definitions'!$A$8:$A$207,G88)&lt;&gt;1,"Unknown / duplicate definition",IF(AND(B88="",OR(C88="",D88&lt;&gt;"",AND(F88&lt;&gt;"Build",F88&lt;&gt;"Spares"))),"Set root definition and purpose",IF(AND(B88&lt;&gt;"",COUNTIFS('Recipes'!$A$8:$A$207,D88)&lt;&gt;1),"Choose a unique recipe line",IF(AND(B88&lt;&gt;"",OR(C88&lt;&gt;"",F88&lt;&gt;"")),"Clear child root-only inputs",IF(AND(B88&lt;&gt;"",COUNTIFS($A$8:$A$87,B88)=1,COUNTIFS('Recipes'!$A$8:$A$207,D88)=1),IF(VLOOKUP(D88,'Recipes'!$A$8:$F$207,2,FALSE)&lt;&gt;VLOOKUP(B88,$A$8:$N$87,7,FALSE),"Recipe parent mismatch",IF(COUNTIFS($B$8:$B$207,B88,$D$8:$D$207,D88)&lt;&gt;1,"Duplicate child recipe",IF(OR(NOT(ISNUMBER(J88)),J88&lt;0,MOD(J88,1)&lt;&gt;0),"Set nonnegative whole qty",IF(COUNTIFS('Recipes'!$B$8:$B$207,G88)&lt;&gt;COUNTIFS($B$8:$B$207,A88,$D$8:$D$207,"&lt;&gt;",$A$8:$A$207,"&lt;&gt;"),"Missing / extra recipe children","OK")))),IF(OR(NOT(ISNUMBER(J88)),J88&lt;0,MOD(J88,1)&lt;&gt;0),"Set nonnegative whole qty",IF(COUNTIFS('Recipes'!$B$8:$B$207,G88)&lt;&gt;COUNTIFS($B$8:$B$207,A88,$D$8:$D$207,"&lt;&gt;",$A$8:$A$207,"&lt;&gt;"),"Missing / extra recipe children","OK"))))))))))</x:f>
      </x:c>
    </x:row>
    <x:row r="89" ht="22" customHeight="1">
      <x:c r="A89" s="10"/>
      <x:c r="B89" s="10"/>
      <x:c r="C89" s="10"/>
      <x:c r="D89" s="10"/>
      <x:c r="E89" s="12"/>
      <x:c r="F89" s="10"/>
      <x:c r="G89" s="9" t="str">
        <x:f>IF(A89="","",IF(B89="",C89,IF(COUNTIFS('Recipes'!$A$8:$A$207,D89)=1,VLOOKUP(D89,'Recipes'!$A$8:$F$207,3,FALSE),"")))</x:f>
      </x:c>
      <x:c r="H89" s="9" t="str">
        <x:f>IF(A89="","",IF(COUNTIFS('Definitions'!$A$8:$A$207,G89)=1,REPT("    ",IF(ISNUMBER(M89),M89,0))&amp;VLOOKUP(G89,'Definitions'!$A$8:$J$207,2,FALSE),"Unknown definition"))</x:f>
      </x:c>
      <x:c r="I89" s="11" t="str">
        <x:f>IF(A89="","",IF(B89="",1,IF(COUNTIFS('Recipes'!$A$8:$A$207,D89)=1,VLOOKUP(D89,'Recipes'!$A$8:$F$207,4,FALSE),"")))</x:f>
      </x:c>
      <x:c r="J89" s="11" t="str">
        <x:f>IF(A89="","",IF(ISBLANK(E89),I89,E89))</x:f>
      </x:c>
      <x:c r="K89" s="11" t="str">
        <x:f>IF(A89="","",IF(NOT(ISNUMBER(J89)),"",IF(B89="",J89,IF(COUNTIFS($A$8:$A$88,B89)=1,IF(ISNUMBER(VLOOKUP(B89,$A$8:$N$88,11,FALSE)),J89*VLOOKUP(B89,$A$8:$N$88,11,FALSE),""),""))))</x:f>
      </x:c>
      <x:c r="L89" s="9" t="str">
        <x:f>IF(A89="","",IF(B89="",F89,IF(COUNTIFS($A$8:$A$88,B89)=1,VLOOKUP(B89,$A$8:$N$88,12,FALSE),"")))</x:f>
      </x:c>
      <x:c r="M89" s="11" t="str">
        <x:f>IF(A89="","",IF(B89="",0,IF(COUNTIFS($A$8:$A$88,B89)=1,IF(ISNUMBER(VLOOKUP(B89,$A$8:$N$88,13,FALSE)),VLOOKUP(B89,$A$8:$N$88,13,FALSE)+1,""),"")))</x:f>
      </x:c>
      <x:c r="N89" s="9" t="str">
        <x:f>IF(A89="","",IF(COUNTIFS('Layout'!$A$8:$A$207,A89)&lt;&gt;1,"Duplicate role",IF(AND(B89&lt;&gt;"",COUNTIFS($A$8:$A$88,B89)&lt;&gt;1),"Parent must appear above child",IF(COUNTIFS('Definitions'!$A$8:$A$207,G89)&lt;&gt;1,"Unknown / duplicate definition",IF(AND(B89="",OR(C89="",D89&lt;&gt;"",AND(F89&lt;&gt;"Build",F89&lt;&gt;"Spares"))),"Set root definition and purpose",IF(AND(B89&lt;&gt;"",COUNTIFS('Recipes'!$A$8:$A$207,D89)&lt;&gt;1),"Choose a unique recipe line",IF(AND(B89&lt;&gt;"",OR(C89&lt;&gt;"",F89&lt;&gt;"")),"Clear child root-only inputs",IF(AND(B89&lt;&gt;"",COUNTIFS($A$8:$A$88,B89)=1,COUNTIFS('Recipes'!$A$8:$A$207,D89)=1),IF(VLOOKUP(D89,'Recipes'!$A$8:$F$207,2,FALSE)&lt;&gt;VLOOKUP(B89,$A$8:$N$88,7,FALSE),"Recipe parent mismatch",IF(COUNTIFS($B$8:$B$207,B89,$D$8:$D$207,D89)&lt;&gt;1,"Duplicate child recipe",IF(OR(NOT(ISNUMBER(J89)),J89&lt;0,MOD(J89,1)&lt;&gt;0),"Set nonnegative whole qty",IF(COUNTIFS('Recipes'!$B$8:$B$207,G89)&lt;&gt;COUNTIFS($B$8:$B$207,A89,$D$8:$D$207,"&lt;&gt;",$A$8:$A$207,"&lt;&gt;"),"Missing / extra recipe children","OK")))),IF(OR(NOT(ISNUMBER(J89)),J89&lt;0,MOD(J89,1)&lt;&gt;0),"Set nonnegative whole qty",IF(COUNTIFS('Recipes'!$B$8:$B$207,G89)&lt;&gt;COUNTIFS($B$8:$B$207,A89,$D$8:$D$207,"&lt;&gt;",$A$8:$A$207,"&lt;&gt;"),"Missing / extra recipe children","OK"))))))))))</x:f>
      </x:c>
    </x:row>
    <x:row r="90" ht="22" customHeight="1">
      <x:c r="A90" s="10"/>
      <x:c r="B90" s="10"/>
      <x:c r="C90" s="10"/>
      <x:c r="D90" s="10"/>
      <x:c r="E90" s="12"/>
      <x:c r="F90" s="10"/>
      <x:c r="G90" s="9" t="str">
        <x:f>IF(A90="","",IF(B90="",C90,IF(COUNTIFS('Recipes'!$A$8:$A$207,D90)=1,VLOOKUP(D90,'Recipes'!$A$8:$F$207,3,FALSE),"")))</x:f>
      </x:c>
      <x:c r="H90" s="9" t="str">
        <x:f>IF(A90="","",IF(COUNTIFS('Definitions'!$A$8:$A$207,G90)=1,REPT("    ",IF(ISNUMBER(M90),M90,0))&amp;VLOOKUP(G90,'Definitions'!$A$8:$J$207,2,FALSE),"Unknown definition"))</x:f>
      </x:c>
      <x:c r="I90" s="11" t="str">
        <x:f>IF(A90="","",IF(B90="",1,IF(COUNTIFS('Recipes'!$A$8:$A$207,D90)=1,VLOOKUP(D90,'Recipes'!$A$8:$F$207,4,FALSE),"")))</x:f>
      </x:c>
      <x:c r="J90" s="11" t="str">
        <x:f>IF(A90="","",IF(ISBLANK(E90),I90,E90))</x:f>
      </x:c>
      <x:c r="K90" s="11" t="str">
        <x:f>IF(A90="","",IF(NOT(ISNUMBER(J90)),"",IF(B90="",J90,IF(COUNTIFS($A$8:$A$89,B90)=1,IF(ISNUMBER(VLOOKUP(B90,$A$8:$N$89,11,FALSE)),J90*VLOOKUP(B90,$A$8:$N$89,11,FALSE),""),""))))</x:f>
      </x:c>
      <x:c r="L90" s="9" t="str">
        <x:f>IF(A90="","",IF(B90="",F90,IF(COUNTIFS($A$8:$A$89,B90)=1,VLOOKUP(B90,$A$8:$N$89,12,FALSE),"")))</x:f>
      </x:c>
      <x:c r="M90" s="11" t="str">
        <x:f>IF(A90="","",IF(B90="",0,IF(COUNTIFS($A$8:$A$89,B90)=1,IF(ISNUMBER(VLOOKUP(B90,$A$8:$N$89,13,FALSE)),VLOOKUP(B90,$A$8:$N$89,13,FALSE)+1,""),"")))</x:f>
      </x:c>
      <x:c r="N90" s="9" t="str">
        <x:f>IF(A90="","",IF(COUNTIFS('Layout'!$A$8:$A$207,A90)&lt;&gt;1,"Duplicate role",IF(AND(B90&lt;&gt;"",COUNTIFS($A$8:$A$89,B90)&lt;&gt;1),"Parent must appear above child",IF(COUNTIFS('Definitions'!$A$8:$A$207,G90)&lt;&gt;1,"Unknown / duplicate definition",IF(AND(B90="",OR(C90="",D90&lt;&gt;"",AND(F90&lt;&gt;"Build",F90&lt;&gt;"Spares"))),"Set root definition and purpose",IF(AND(B90&lt;&gt;"",COUNTIFS('Recipes'!$A$8:$A$207,D90)&lt;&gt;1),"Choose a unique recipe line",IF(AND(B90&lt;&gt;"",OR(C90&lt;&gt;"",F90&lt;&gt;"")),"Clear child root-only inputs",IF(AND(B90&lt;&gt;"",COUNTIFS($A$8:$A$89,B90)=1,COUNTIFS('Recipes'!$A$8:$A$207,D90)=1),IF(VLOOKUP(D90,'Recipes'!$A$8:$F$207,2,FALSE)&lt;&gt;VLOOKUP(B90,$A$8:$N$89,7,FALSE),"Recipe parent mismatch",IF(COUNTIFS($B$8:$B$207,B90,$D$8:$D$207,D90)&lt;&gt;1,"Duplicate child recipe",IF(OR(NOT(ISNUMBER(J90)),J90&lt;0,MOD(J90,1)&lt;&gt;0),"Set nonnegative whole qty",IF(COUNTIFS('Recipes'!$B$8:$B$207,G90)&lt;&gt;COUNTIFS($B$8:$B$207,A90,$D$8:$D$207,"&lt;&gt;",$A$8:$A$207,"&lt;&gt;"),"Missing / extra recipe children","OK")))),IF(OR(NOT(ISNUMBER(J90)),J90&lt;0,MOD(J90,1)&lt;&gt;0),"Set nonnegative whole qty",IF(COUNTIFS('Recipes'!$B$8:$B$207,G90)&lt;&gt;COUNTIFS($B$8:$B$207,A90,$D$8:$D$207,"&lt;&gt;",$A$8:$A$207,"&lt;&gt;"),"Missing / extra recipe children","OK"))))))))))</x:f>
      </x:c>
    </x:row>
    <x:row r="91" ht="22" customHeight="1">
      <x:c r="A91" s="10"/>
      <x:c r="B91" s="10"/>
      <x:c r="C91" s="10"/>
      <x:c r="D91" s="10"/>
      <x:c r="E91" s="12"/>
      <x:c r="F91" s="10"/>
      <x:c r="G91" s="9" t="str">
        <x:f>IF(A91="","",IF(B91="",C91,IF(COUNTIFS('Recipes'!$A$8:$A$207,D91)=1,VLOOKUP(D91,'Recipes'!$A$8:$F$207,3,FALSE),"")))</x:f>
      </x:c>
      <x:c r="H91" s="9" t="str">
        <x:f>IF(A91="","",IF(COUNTIFS('Definitions'!$A$8:$A$207,G91)=1,REPT("    ",IF(ISNUMBER(M91),M91,0))&amp;VLOOKUP(G91,'Definitions'!$A$8:$J$207,2,FALSE),"Unknown definition"))</x:f>
      </x:c>
      <x:c r="I91" s="11" t="str">
        <x:f>IF(A91="","",IF(B91="",1,IF(COUNTIFS('Recipes'!$A$8:$A$207,D91)=1,VLOOKUP(D91,'Recipes'!$A$8:$F$207,4,FALSE),"")))</x:f>
      </x:c>
      <x:c r="J91" s="11" t="str">
        <x:f>IF(A91="","",IF(ISBLANK(E91),I91,E91))</x:f>
      </x:c>
      <x:c r="K91" s="11" t="str">
        <x:f>IF(A91="","",IF(NOT(ISNUMBER(J91)),"",IF(B91="",J91,IF(COUNTIFS($A$8:$A$90,B91)=1,IF(ISNUMBER(VLOOKUP(B91,$A$8:$N$90,11,FALSE)),J91*VLOOKUP(B91,$A$8:$N$90,11,FALSE),""),""))))</x:f>
      </x:c>
      <x:c r="L91" s="9" t="str">
        <x:f>IF(A91="","",IF(B91="",F91,IF(COUNTIFS($A$8:$A$90,B91)=1,VLOOKUP(B91,$A$8:$N$90,12,FALSE),"")))</x:f>
      </x:c>
      <x:c r="M91" s="11" t="str">
        <x:f>IF(A91="","",IF(B91="",0,IF(COUNTIFS($A$8:$A$90,B91)=1,IF(ISNUMBER(VLOOKUP(B91,$A$8:$N$90,13,FALSE)),VLOOKUP(B91,$A$8:$N$90,13,FALSE)+1,""),"")))</x:f>
      </x:c>
      <x:c r="N91" s="9" t="str">
        <x:f>IF(A91="","",IF(COUNTIFS('Layout'!$A$8:$A$207,A91)&lt;&gt;1,"Duplicate role",IF(AND(B91&lt;&gt;"",COUNTIFS($A$8:$A$90,B91)&lt;&gt;1),"Parent must appear above child",IF(COUNTIFS('Definitions'!$A$8:$A$207,G91)&lt;&gt;1,"Unknown / duplicate definition",IF(AND(B91="",OR(C91="",D91&lt;&gt;"",AND(F91&lt;&gt;"Build",F91&lt;&gt;"Spares"))),"Set root definition and purpose",IF(AND(B91&lt;&gt;"",COUNTIFS('Recipes'!$A$8:$A$207,D91)&lt;&gt;1),"Choose a unique recipe line",IF(AND(B91&lt;&gt;"",OR(C91&lt;&gt;"",F91&lt;&gt;"")),"Clear child root-only inputs",IF(AND(B91&lt;&gt;"",COUNTIFS($A$8:$A$90,B91)=1,COUNTIFS('Recipes'!$A$8:$A$207,D91)=1),IF(VLOOKUP(D91,'Recipes'!$A$8:$F$207,2,FALSE)&lt;&gt;VLOOKUP(B91,$A$8:$N$90,7,FALSE),"Recipe parent mismatch",IF(COUNTIFS($B$8:$B$207,B91,$D$8:$D$207,D91)&lt;&gt;1,"Duplicate child recipe",IF(OR(NOT(ISNUMBER(J91)),J91&lt;0,MOD(J91,1)&lt;&gt;0),"Set nonnegative whole qty",IF(COUNTIFS('Recipes'!$B$8:$B$207,G91)&lt;&gt;COUNTIFS($B$8:$B$207,A91,$D$8:$D$207,"&lt;&gt;",$A$8:$A$207,"&lt;&gt;"),"Missing / extra recipe children","OK")))),IF(OR(NOT(ISNUMBER(J91)),J91&lt;0,MOD(J91,1)&lt;&gt;0),"Set nonnegative whole qty",IF(COUNTIFS('Recipes'!$B$8:$B$207,G91)&lt;&gt;COUNTIFS($B$8:$B$207,A91,$D$8:$D$207,"&lt;&gt;",$A$8:$A$207,"&lt;&gt;"),"Missing / extra recipe children","OK"))))))))))</x:f>
      </x:c>
    </x:row>
    <x:row r="92" ht="22" customHeight="1">
      <x:c r="A92" s="10"/>
      <x:c r="B92" s="10"/>
      <x:c r="C92" s="10"/>
      <x:c r="D92" s="10"/>
      <x:c r="E92" s="12"/>
      <x:c r="F92" s="10"/>
      <x:c r="G92" s="9" t="str">
        <x:f>IF(A92="","",IF(B92="",C92,IF(COUNTIFS('Recipes'!$A$8:$A$207,D92)=1,VLOOKUP(D92,'Recipes'!$A$8:$F$207,3,FALSE),"")))</x:f>
      </x:c>
      <x:c r="H92" s="9" t="str">
        <x:f>IF(A92="","",IF(COUNTIFS('Definitions'!$A$8:$A$207,G92)=1,REPT("    ",IF(ISNUMBER(M92),M92,0))&amp;VLOOKUP(G92,'Definitions'!$A$8:$J$207,2,FALSE),"Unknown definition"))</x:f>
      </x:c>
      <x:c r="I92" s="11" t="str">
        <x:f>IF(A92="","",IF(B92="",1,IF(COUNTIFS('Recipes'!$A$8:$A$207,D92)=1,VLOOKUP(D92,'Recipes'!$A$8:$F$207,4,FALSE),"")))</x:f>
      </x:c>
      <x:c r="J92" s="11" t="str">
        <x:f>IF(A92="","",IF(ISBLANK(E92),I92,E92))</x:f>
      </x:c>
      <x:c r="K92" s="11" t="str">
        <x:f>IF(A92="","",IF(NOT(ISNUMBER(J92)),"",IF(B92="",J92,IF(COUNTIFS($A$8:$A$91,B92)=1,IF(ISNUMBER(VLOOKUP(B92,$A$8:$N$91,11,FALSE)),J92*VLOOKUP(B92,$A$8:$N$91,11,FALSE),""),""))))</x:f>
      </x:c>
      <x:c r="L92" s="9" t="str">
        <x:f>IF(A92="","",IF(B92="",F92,IF(COUNTIFS($A$8:$A$91,B92)=1,VLOOKUP(B92,$A$8:$N$91,12,FALSE),"")))</x:f>
      </x:c>
      <x:c r="M92" s="11" t="str">
        <x:f>IF(A92="","",IF(B92="",0,IF(COUNTIFS($A$8:$A$91,B92)=1,IF(ISNUMBER(VLOOKUP(B92,$A$8:$N$91,13,FALSE)),VLOOKUP(B92,$A$8:$N$91,13,FALSE)+1,""),"")))</x:f>
      </x:c>
      <x:c r="N92" s="9" t="str">
        <x:f>IF(A92="","",IF(COUNTIFS('Layout'!$A$8:$A$207,A92)&lt;&gt;1,"Duplicate role",IF(AND(B92&lt;&gt;"",COUNTIFS($A$8:$A$91,B92)&lt;&gt;1),"Parent must appear above child",IF(COUNTIFS('Definitions'!$A$8:$A$207,G92)&lt;&gt;1,"Unknown / duplicate definition",IF(AND(B92="",OR(C92="",D92&lt;&gt;"",AND(F92&lt;&gt;"Build",F92&lt;&gt;"Spares"))),"Set root definition and purpose",IF(AND(B92&lt;&gt;"",COUNTIFS('Recipes'!$A$8:$A$207,D92)&lt;&gt;1),"Choose a unique recipe line",IF(AND(B92&lt;&gt;"",OR(C92&lt;&gt;"",F92&lt;&gt;"")),"Clear child root-only inputs",IF(AND(B92&lt;&gt;"",COUNTIFS($A$8:$A$91,B92)=1,COUNTIFS('Recipes'!$A$8:$A$207,D92)=1),IF(VLOOKUP(D92,'Recipes'!$A$8:$F$207,2,FALSE)&lt;&gt;VLOOKUP(B92,$A$8:$N$91,7,FALSE),"Recipe parent mismatch",IF(COUNTIFS($B$8:$B$207,B92,$D$8:$D$207,D92)&lt;&gt;1,"Duplicate child recipe",IF(OR(NOT(ISNUMBER(J92)),J92&lt;0,MOD(J92,1)&lt;&gt;0),"Set nonnegative whole qty",IF(COUNTIFS('Recipes'!$B$8:$B$207,G92)&lt;&gt;COUNTIFS($B$8:$B$207,A92,$D$8:$D$207,"&lt;&gt;",$A$8:$A$207,"&lt;&gt;"),"Missing / extra recipe children","OK")))),IF(OR(NOT(ISNUMBER(J92)),J92&lt;0,MOD(J92,1)&lt;&gt;0),"Set nonnegative whole qty",IF(COUNTIFS('Recipes'!$B$8:$B$207,G92)&lt;&gt;COUNTIFS($B$8:$B$207,A92,$D$8:$D$207,"&lt;&gt;",$A$8:$A$207,"&lt;&gt;"),"Missing / extra recipe children","OK"))))))))))</x:f>
      </x:c>
    </x:row>
    <x:row r="93" ht="22" customHeight="1">
      <x:c r="A93" s="10"/>
      <x:c r="B93" s="10"/>
      <x:c r="C93" s="10"/>
      <x:c r="D93" s="10"/>
      <x:c r="E93" s="12"/>
      <x:c r="F93" s="10"/>
      <x:c r="G93" s="9" t="str">
        <x:f>IF(A93="","",IF(B93="",C93,IF(COUNTIFS('Recipes'!$A$8:$A$207,D93)=1,VLOOKUP(D93,'Recipes'!$A$8:$F$207,3,FALSE),"")))</x:f>
      </x:c>
      <x:c r="H93" s="9" t="str">
        <x:f>IF(A93="","",IF(COUNTIFS('Definitions'!$A$8:$A$207,G93)=1,REPT("    ",IF(ISNUMBER(M93),M93,0))&amp;VLOOKUP(G93,'Definitions'!$A$8:$J$207,2,FALSE),"Unknown definition"))</x:f>
      </x:c>
      <x:c r="I93" s="11" t="str">
        <x:f>IF(A93="","",IF(B93="",1,IF(COUNTIFS('Recipes'!$A$8:$A$207,D93)=1,VLOOKUP(D93,'Recipes'!$A$8:$F$207,4,FALSE),"")))</x:f>
      </x:c>
      <x:c r="J93" s="11" t="str">
        <x:f>IF(A93="","",IF(ISBLANK(E93),I93,E93))</x:f>
      </x:c>
      <x:c r="K93" s="11" t="str">
        <x:f>IF(A93="","",IF(NOT(ISNUMBER(J93)),"",IF(B93="",J93,IF(COUNTIFS($A$8:$A$92,B93)=1,IF(ISNUMBER(VLOOKUP(B93,$A$8:$N$92,11,FALSE)),J93*VLOOKUP(B93,$A$8:$N$92,11,FALSE),""),""))))</x:f>
      </x:c>
      <x:c r="L93" s="9" t="str">
        <x:f>IF(A93="","",IF(B93="",F93,IF(COUNTIFS($A$8:$A$92,B93)=1,VLOOKUP(B93,$A$8:$N$92,12,FALSE),"")))</x:f>
      </x:c>
      <x:c r="M93" s="11" t="str">
        <x:f>IF(A93="","",IF(B93="",0,IF(COUNTIFS($A$8:$A$92,B93)=1,IF(ISNUMBER(VLOOKUP(B93,$A$8:$N$92,13,FALSE)),VLOOKUP(B93,$A$8:$N$92,13,FALSE)+1,""),"")))</x:f>
      </x:c>
      <x:c r="N93" s="9" t="str">
        <x:f>IF(A93="","",IF(COUNTIFS('Layout'!$A$8:$A$207,A93)&lt;&gt;1,"Duplicate role",IF(AND(B93&lt;&gt;"",COUNTIFS($A$8:$A$92,B93)&lt;&gt;1),"Parent must appear above child",IF(COUNTIFS('Definitions'!$A$8:$A$207,G93)&lt;&gt;1,"Unknown / duplicate definition",IF(AND(B93="",OR(C93="",D93&lt;&gt;"",AND(F93&lt;&gt;"Build",F93&lt;&gt;"Spares"))),"Set root definition and purpose",IF(AND(B93&lt;&gt;"",COUNTIFS('Recipes'!$A$8:$A$207,D93)&lt;&gt;1),"Choose a unique recipe line",IF(AND(B93&lt;&gt;"",OR(C93&lt;&gt;"",F93&lt;&gt;"")),"Clear child root-only inputs",IF(AND(B93&lt;&gt;"",COUNTIFS($A$8:$A$92,B93)=1,COUNTIFS('Recipes'!$A$8:$A$207,D93)=1),IF(VLOOKUP(D93,'Recipes'!$A$8:$F$207,2,FALSE)&lt;&gt;VLOOKUP(B93,$A$8:$N$92,7,FALSE),"Recipe parent mismatch",IF(COUNTIFS($B$8:$B$207,B93,$D$8:$D$207,D93)&lt;&gt;1,"Duplicate child recipe",IF(OR(NOT(ISNUMBER(J93)),J93&lt;0,MOD(J93,1)&lt;&gt;0),"Set nonnegative whole qty",IF(COUNTIFS('Recipes'!$B$8:$B$207,G93)&lt;&gt;COUNTIFS($B$8:$B$207,A93,$D$8:$D$207,"&lt;&gt;",$A$8:$A$207,"&lt;&gt;"),"Missing / extra recipe children","OK")))),IF(OR(NOT(ISNUMBER(J93)),J93&lt;0,MOD(J93,1)&lt;&gt;0),"Set nonnegative whole qty",IF(COUNTIFS('Recipes'!$B$8:$B$207,G93)&lt;&gt;COUNTIFS($B$8:$B$207,A93,$D$8:$D$207,"&lt;&gt;",$A$8:$A$207,"&lt;&gt;"),"Missing / extra recipe children","OK"))))))))))</x:f>
      </x:c>
    </x:row>
    <x:row r="94" ht="22" customHeight="1">
      <x:c r="A94" s="10"/>
      <x:c r="B94" s="10"/>
      <x:c r="C94" s="10"/>
      <x:c r="D94" s="10"/>
      <x:c r="E94" s="12"/>
      <x:c r="F94" s="10"/>
      <x:c r="G94" s="9" t="str">
        <x:f>IF(A94="","",IF(B94="",C94,IF(COUNTIFS('Recipes'!$A$8:$A$207,D94)=1,VLOOKUP(D94,'Recipes'!$A$8:$F$207,3,FALSE),"")))</x:f>
      </x:c>
      <x:c r="H94" s="9" t="str">
        <x:f>IF(A94="","",IF(COUNTIFS('Definitions'!$A$8:$A$207,G94)=1,REPT("    ",IF(ISNUMBER(M94),M94,0))&amp;VLOOKUP(G94,'Definitions'!$A$8:$J$207,2,FALSE),"Unknown definition"))</x:f>
      </x:c>
      <x:c r="I94" s="11" t="str">
        <x:f>IF(A94="","",IF(B94="",1,IF(COUNTIFS('Recipes'!$A$8:$A$207,D94)=1,VLOOKUP(D94,'Recipes'!$A$8:$F$207,4,FALSE),"")))</x:f>
      </x:c>
      <x:c r="J94" s="11" t="str">
        <x:f>IF(A94="","",IF(ISBLANK(E94),I94,E94))</x:f>
      </x:c>
      <x:c r="K94" s="11" t="str">
        <x:f>IF(A94="","",IF(NOT(ISNUMBER(J94)),"",IF(B94="",J94,IF(COUNTIFS($A$8:$A$93,B94)=1,IF(ISNUMBER(VLOOKUP(B94,$A$8:$N$93,11,FALSE)),J94*VLOOKUP(B94,$A$8:$N$93,11,FALSE),""),""))))</x:f>
      </x:c>
      <x:c r="L94" s="9" t="str">
        <x:f>IF(A94="","",IF(B94="",F94,IF(COUNTIFS($A$8:$A$93,B94)=1,VLOOKUP(B94,$A$8:$N$93,12,FALSE),"")))</x:f>
      </x:c>
      <x:c r="M94" s="11" t="str">
        <x:f>IF(A94="","",IF(B94="",0,IF(COUNTIFS($A$8:$A$93,B94)=1,IF(ISNUMBER(VLOOKUP(B94,$A$8:$N$93,13,FALSE)),VLOOKUP(B94,$A$8:$N$93,13,FALSE)+1,""),"")))</x:f>
      </x:c>
      <x:c r="N94" s="9" t="str">
        <x:f>IF(A94="","",IF(COUNTIFS('Layout'!$A$8:$A$207,A94)&lt;&gt;1,"Duplicate role",IF(AND(B94&lt;&gt;"",COUNTIFS($A$8:$A$93,B94)&lt;&gt;1),"Parent must appear above child",IF(COUNTIFS('Definitions'!$A$8:$A$207,G94)&lt;&gt;1,"Unknown / duplicate definition",IF(AND(B94="",OR(C94="",D94&lt;&gt;"",AND(F94&lt;&gt;"Build",F94&lt;&gt;"Spares"))),"Set root definition and purpose",IF(AND(B94&lt;&gt;"",COUNTIFS('Recipes'!$A$8:$A$207,D94)&lt;&gt;1),"Choose a unique recipe line",IF(AND(B94&lt;&gt;"",OR(C94&lt;&gt;"",F94&lt;&gt;"")),"Clear child root-only inputs",IF(AND(B94&lt;&gt;"",COUNTIFS($A$8:$A$93,B94)=1,COUNTIFS('Recipes'!$A$8:$A$207,D94)=1),IF(VLOOKUP(D94,'Recipes'!$A$8:$F$207,2,FALSE)&lt;&gt;VLOOKUP(B94,$A$8:$N$93,7,FALSE),"Recipe parent mismatch",IF(COUNTIFS($B$8:$B$207,B94,$D$8:$D$207,D94)&lt;&gt;1,"Duplicate child recipe",IF(OR(NOT(ISNUMBER(J94)),J94&lt;0,MOD(J94,1)&lt;&gt;0),"Set nonnegative whole qty",IF(COUNTIFS('Recipes'!$B$8:$B$207,G94)&lt;&gt;COUNTIFS($B$8:$B$207,A94,$D$8:$D$207,"&lt;&gt;",$A$8:$A$207,"&lt;&gt;"),"Missing / extra recipe children","OK")))),IF(OR(NOT(ISNUMBER(J94)),J94&lt;0,MOD(J94,1)&lt;&gt;0),"Set nonnegative whole qty",IF(COUNTIFS('Recipes'!$B$8:$B$207,G94)&lt;&gt;COUNTIFS($B$8:$B$207,A94,$D$8:$D$207,"&lt;&gt;",$A$8:$A$207,"&lt;&gt;"),"Missing / extra recipe children","OK"))))))))))</x:f>
      </x:c>
    </x:row>
    <x:row r="95" ht="22" customHeight="1">
      <x:c r="A95" s="10"/>
      <x:c r="B95" s="10"/>
      <x:c r="C95" s="10"/>
      <x:c r="D95" s="10"/>
      <x:c r="E95" s="12"/>
      <x:c r="F95" s="10"/>
      <x:c r="G95" s="9" t="str">
        <x:f>IF(A95="","",IF(B95="",C95,IF(COUNTIFS('Recipes'!$A$8:$A$207,D95)=1,VLOOKUP(D95,'Recipes'!$A$8:$F$207,3,FALSE),"")))</x:f>
      </x:c>
      <x:c r="H95" s="9" t="str">
        <x:f>IF(A95="","",IF(COUNTIFS('Definitions'!$A$8:$A$207,G95)=1,REPT("    ",IF(ISNUMBER(M95),M95,0))&amp;VLOOKUP(G95,'Definitions'!$A$8:$J$207,2,FALSE),"Unknown definition"))</x:f>
      </x:c>
      <x:c r="I95" s="11" t="str">
        <x:f>IF(A95="","",IF(B95="",1,IF(COUNTIFS('Recipes'!$A$8:$A$207,D95)=1,VLOOKUP(D95,'Recipes'!$A$8:$F$207,4,FALSE),"")))</x:f>
      </x:c>
      <x:c r="J95" s="11" t="str">
        <x:f>IF(A95="","",IF(ISBLANK(E95),I95,E95))</x:f>
      </x:c>
      <x:c r="K95" s="11" t="str">
        <x:f>IF(A95="","",IF(NOT(ISNUMBER(J95)),"",IF(B95="",J95,IF(COUNTIFS($A$8:$A$94,B95)=1,IF(ISNUMBER(VLOOKUP(B95,$A$8:$N$94,11,FALSE)),J95*VLOOKUP(B95,$A$8:$N$94,11,FALSE),""),""))))</x:f>
      </x:c>
      <x:c r="L95" s="9" t="str">
        <x:f>IF(A95="","",IF(B95="",F95,IF(COUNTIFS($A$8:$A$94,B95)=1,VLOOKUP(B95,$A$8:$N$94,12,FALSE),"")))</x:f>
      </x:c>
      <x:c r="M95" s="11" t="str">
        <x:f>IF(A95="","",IF(B95="",0,IF(COUNTIFS($A$8:$A$94,B95)=1,IF(ISNUMBER(VLOOKUP(B95,$A$8:$N$94,13,FALSE)),VLOOKUP(B95,$A$8:$N$94,13,FALSE)+1,""),"")))</x:f>
      </x:c>
      <x:c r="N95" s="9" t="str">
        <x:f>IF(A95="","",IF(COUNTIFS('Layout'!$A$8:$A$207,A95)&lt;&gt;1,"Duplicate role",IF(AND(B95&lt;&gt;"",COUNTIFS($A$8:$A$94,B95)&lt;&gt;1),"Parent must appear above child",IF(COUNTIFS('Definitions'!$A$8:$A$207,G95)&lt;&gt;1,"Unknown / duplicate definition",IF(AND(B95="",OR(C95="",D95&lt;&gt;"",AND(F95&lt;&gt;"Build",F95&lt;&gt;"Spares"))),"Set root definition and purpose",IF(AND(B95&lt;&gt;"",COUNTIFS('Recipes'!$A$8:$A$207,D95)&lt;&gt;1),"Choose a unique recipe line",IF(AND(B95&lt;&gt;"",OR(C95&lt;&gt;"",F95&lt;&gt;"")),"Clear child root-only inputs",IF(AND(B95&lt;&gt;"",COUNTIFS($A$8:$A$94,B95)=1,COUNTIFS('Recipes'!$A$8:$A$207,D95)=1),IF(VLOOKUP(D95,'Recipes'!$A$8:$F$207,2,FALSE)&lt;&gt;VLOOKUP(B95,$A$8:$N$94,7,FALSE),"Recipe parent mismatch",IF(COUNTIFS($B$8:$B$207,B95,$D$8:$D$207,D95)&lt;&gt;1,"Duplicate child recipe",IF(OR(NOT(ISNUMBER(J95)),J95&lt;0,MOD(J95,1)&lt;&gt;0),"Set nonnegative whole qty",IF(COUNTIFS('Recipes'!$B$8:$B$207,G95)&lt;&gt;COUNTIFS($B$8:$B$207,A95,$D$8:$D$207,"&lt;&gt;",$A$8:$A$207,"&lt;&gt;"),"Missing / extra recipe children","OK")))),IF(OR(NOT(ISNUMBER(J95)),J95&lt;0,MOD(J95,1)&lt;&gt;0),"Set nonnegative whole qty",IF(COUNTIFS('Recipes'!$B$8:$B$207,G95)&lt;&gt;COUNTIFS($B$8:$B$207,A95,$D$8:$D$207,"&lt;&gt;",$A$8:$A$207,"&lt;&gt;"),"Missing / extra recipe children","OK"))))))))))</x:f>
      </x:c>
    </x:row>
    <x:row r="96" ht="22" customHeight="1">
      <x:c r="A96" s="10"/>
      <x:c r="B96" s="10"/>
      <x:c r="C96" s="10"/>
      <x:c r="D96" s="10"/>
      <x:c r="E96" s="12"/>
      <x:c r="F96" s="10"/>
      <x:c r="G96" s="9" t="str">
        <x:f>IF(A96="","",IF(B96="",C96,IF(COUNTIFS('Recipes'!$A$8:$A$207,D96)=1,VLOOKUP(D96,'Recipes'!$A$8:$F$207,3,FALSE),"")))</x:f>
      </x:c>
      <x:c r="H96" s="9" t="str">
        <x:f>IF(A96="","",IF(COUNTIFS('Definitions'!$A$8:$A$207,G96)=1,REPT("    ",IF(ISNUMBER(M96),M96,0))&amp;VLOOKUP(G96,'Definitions'!$A$8:$J$207,2,FALSE),"Unknown definition"))</x:f>
      </x:c>
      <x:c r="I96" s="11" t="str">
        <x:f>IF(A96="","",IF(B96="",1,IF(COUNTIFS('Recipes'!$A$8:$A$207,D96)=1,VLOOKUP(D96,'Recipes'!$A$8:$F$207,4,FALSE),"")))</x:f>
      </x:c>
      <x:c r="J96" s="11" t="str">
        <x:f>IF(A96="","",IF(ISBLANK(E96),I96,E96))</x:f>
      </x:c>
      <x:c r="K96" s="11" t="str">
        <x:f>IF(A96="","",IF(NOT(ISNUMBER(J96)),"",IF(B96="",J96,IF(COUNTIFS($A$8:$A$95,B96)=1,IF(ISNUMBER(VLOOKUP(B96,$A$8:$N$95,11,FALSE)),J96*VLOOKUP(B96,$A$8:$N$95,11,FALSE),""),""))))</x:f>
      </x:c>
      <x:c r="L96" s="9" t="str">
        <x:f>IF(A96="","",IF(B96="",F96,IF(COUNTIFS($A$8:$A$95,B96)=1,VLOOKUP(B96,$A$8:$N$95,12,FALSE),"")))</x:f>
      </x:c>
      <x:c r="M96" s="11" t="str">
        <x:f>IF(A96="","",IF(B96="",0,IF(COUNTIFS($A$8:$A$95,B96)=1,IF(ISNUMBER(VLOOKUP(B96,$A$8:$N$95,13,FALSE)),VLOOKUP(B96,$A$8:$N$95,13,FALSE)+1,""),"")))</x:f>
      </x:c>
      <x:c r="N96" s="9" t="str">
        <x:f>IF(A96="","",IF(COUNTIFS('Layout'!$A$8:$A$207,A96)&lt;&gt;1,"Duplicate role",IF(AND(B96&lt;&gt;"",COUNTIFS($A$8:$A$95,B96)&lt;&gt;1),"Parent must appear above child",IF(COUNTIFS('Definitions'!$A$8:$A$207,G96)&lt;&gt;1,"Unknown / duplicate definition",IF(AND(B96="",OR(C96="",D96&lt;&gt;"",AND(F96&lt;&gt;"Build",F96&lt;&gt;"Spares"))),"Set root definition and purpose",IF(AND(B96&lt;&gt;"",COUNTIFS('Recipes'!$A$8:$A$207,D96)&lt;&gt;1),"Choose a unique recipe line",IF(AND(B96&lt;&gt;"",OR(C96&lt;&gt;"",F96&lt;&gt;"")),"Clear child root-only inputs",IF(AND(B96&lt;&gt;"",COUNTIFS($A$8:$A$95,B96)=1,COUNTIFS('Recipes'!$A$8:$A$207,D96)=1),IF(VLOOKUP(D96,'Recipes'!$A$8:$F$207,2,FALSE)&lt;&gt;VLOOKUP(B96,$A$8:$N$95,7,FALSE),"Recipe parent mismatch",IF(COUNTIFS($B$8:$B$207,B96,$D$8:$D$207,D96)&lt;&gt;1,"Duplicate child recipe",IF(OR(NOT(ISNUMBER(J96)),J96&lt;0,MOD(J96,1)&lt;&gt;0),"Set nonnegative whole qty",IF(COUNTIFS('Recipes'!$B$8:$B$207,G96)&lt;&gt;COUNTIFS($B$8:$B$207,A96,$D$8:$D$207,"&lt;&gt;",$A$8:$A$207,"&lt;&gt;"),"Missing / extra recipe children","OK")))),IF(OR(NOT(ISNUMBER(J96)),J96&lt;0,MOD(J96,1)&lt;&gt;0),"Set nonnegative whole qty",IF(COUNTIFS('Recipes'!$B$8:$B$207,G96)&lt;&gt;COUNTIFS($B$8:$B$207,A96,$D$8:$D$207,"&lt;&gt;",$A$8:$A$207,"&lt;&gt;"),"Missing / extra recipe children","OK"))))))))))</x:f>
      </x:c>
    </x:row>
    <x:row r="97" ht="22" customHeight="1">
      <x:c r="A97" s="10"/>
      <x:c r="B97" s="10"/>
      <x:c r="C97" s="10"/>
      <x:c r="D97" s="10"/>
      <x:c r="E97" s="12"/>
      <x:c r="F97" s="10"/>
      <x:c r="G97" s="9" t="str">
        <x:f>IF(A97="","",IF(B97="",C97,IF(COUNTIFS('Recipes'!$A$8:$A$207,D97)=1,VLOOKUP(D97,'Recipes'!$A$8:$F$207,3,FALSE),"")))</x:f>
      </x:c>
      <x:c r="H97" s="9" t="str">
        <x:f>IF(A97="","",IF(COUNTIFS('Definitions'!$A$8:$A$207,G97)=1,REPT("    ",IF(ISNUMBER(M97),M97,0))&amp;VLOOKUP(G97,'Definitions'!$A$8:$J$207,2,FALSE),"Unknown definition"))</x:f>
      </x:c>
      <x:c r="I97" s="11" t="str">
        <x:f>IF(A97="","",IF(B97="",1,IF(COUNTIFS('Recipes'!$A$8:$A$207,D97)=1,VLOOKUP(D97,'Recipes'!$A$8:$F$207,4,FALSE),"")))</x:f>
      </x:c>
      <x:c r="J97" s="11" t="str">
        <x:f>IF(A97="","",IF(ISBLANK(E97),I97,E97))</x:f>
      </x:c>
      <x:c r="K97" s="11" t="str">
        <x:f>IF(A97="","",IF(NOT(ISNUMBER(J97)),"",IF(B97="",J97,IF(COUNTIFS($A$8:$A$96,B97)=1,IF(ISNUMBER(VLOOKUP(B97,$A$8:$N$96,11,FALSE)),J97*VLOOKUP(B97,$A$8:$N$96,11,FALSE),""),""))))</x:f>
      </x:c>
      <x:c r="L97" s="9" t="str">
        <x:f>IF(A97="","",IF(B97="",F97,IF(COUNTIFS($A$8:$A$96,B97)=1,VLOOKUP(B97,$A$8:$N$96,12,FALSE),"")))</x:f>
      </x:c>
      <x:c r="M97" s="11" t="str">
        <x:f>IF(A97="","",IF(B97="",0,IF(COUNTIFS($A$8:$A$96,B97)=1,IF(ISNUMBER(VLOOKUP(B97,$A$8:$N$96,13,FALSE)),VLOOKUP(B97,$A$8:$N$96,13,FALSE)+1,""),"")))</x:f>
      </x:c>
      <x:c r="N97" s="9" t="str">
        <x:f>IF(A97="","",IF(COUNTIFS('Layout'!$A$8:$A$207,A97)&lt;&gt;1,"Duplicate role",IF(AND(B97&lt;&gt;"",COUNTIFS($A$8:$A$96,B97)&lt;&gt;1),"Parent must appear above child",IF(COUNTIFS('Definitions'!$A$8:$A$207,G97)&lt;&gt;1,"Unknown / duplicate definition",IF(AND(B97="",OR(C97="",D97&lt;&gt;"",AND(F97&lt;&gt;"Build",F97&lt;&gt;"Spares"))),"Set root definition and purpose",IF(AND(B97&lt;&gt;"",COUNTIFS('Recipes'!$A$8:$A$207,D97)&lt;&gt;1),"Choose a unique recipe line",IF(AND(B97&lt;&gt;"",OR(C97&lt;&gt;"",F97&lt;&gt;"")),"Clear child root-only inputs",IF(AND(B97&lt;&gt;"",COUNTIFS($A$8:$A$96,B97)=1,COUNTIFS('Recipes'!$A$8:$A$207,D97)=1),IF(VLOOKUP(D97,'Recipes'!$A$8:$F$207,2,FALSE)&lt;&gt;VLOOKUP(B97,$A$8:$N$96,7,FALSE),"Recipe parent mismatch",IF(COUNTIFS($B$8:$B$207,B97,$D$8:$D$207,D97)&lt;&gt;1,"Duplicate child recipe",IF(OR(NOT(ISNUMBER(J97)),J97&lt;0,MOD(J97,1)&lt;&gt;0),"Set nonnegative whole qty",IF(COUNTIFS('Recipes'!$B$8:$B$207,G97)&lt;&gt;COUNTIFS($B$8:$B$207,A97,$D$8:$D$207,"&lt;&gt;",$A$8:$A$207,"&lt;&gt;"),"Missing / extra recipe children","OK")))),IF(OR(NOT(ISNUMBER(J97)),J97&lt;0,MOD(J97,1)&lt;&gt;0),"Set nonnegative whole qty",IF(COUNTIFS('Recipes'!$B$8:$B$207,G97)&lt;&gt;COUNTIFS($B$8:$B$207,A97,$D$8:$D$207,"&lt;&gt;",$A$8:$A$207,"&lt;&gt;"),"Missing / extra recipe children","OK"))))))))))</x:f>
      </x:c>
    </x:row>
    <x:row r="98" ht="22" customHeight="1">
      <x:c r="A98" s="10"/>
      <x:c r="B98" s="10"/>
      <x:c r="C98" s="10"/>
      <x:c r="D98" s="10"/>
      <x:c r="E98" s="12"/>
      <x:c r="F98" s="10"/>
      <x:c r="G98" s="9" t="str">
        <x:f>IF(A98="","",IF(B98="",C98,IF(COUNTIFS('Recipes'!$A$8:$A$207,D98)=1,VLOOKUP(D98,'Recipes'!$A$8:$F$207,3,FALSE),"")))</x:f>
      </x:c>
      <x:c r="H98" s="9" t="str">
        <x:f>IF(A98="","",IF(COUNTIFS('Definitions'!$A$8:$A$207,G98)=1,REPT("    ",IF(ISNUMBER(M98),M98,0))&amp;VLOOKUP(G98,'Definitions'!$A$8:$J$207,2,FALSE),"Unknown definition"))</x:f>
      </x:c>
      <x:c r="I98" s="11" t="str">
        <x:f>IF(A98="","",IF(B98="",1,IF(COUNTIFS('Recipes'!$A$8:$A$207,D98)=1,VLOOKUP(D98,'Recipes'!$A$8:$F$207,4,FALSE),"")))</x:f>
      </x:c>
      <x:c r="J98" s="11" t="str">
        <x:f>IF(A98="","",IF(ISBLANK(E98),I98,E98))</x:f>
      </x:c>
      <x:c r="K98" s="11" t="str">
        <x:f>IF(A98="","",IF(NOT(ISNUMBER(J98)),"",IF(B98="",J98,IF(COUNTIFS($A$8:$A$97,B98)=1,IF(ISNUMBER(VLOOKUP(B98,$A$8:$N$97,11,FALSE)),J98*VLOOKUP(B98,$A$8:$N$97,11,FALSE),""),""))))</x:f>
      </x:c>
      <x:c r="L98" s="9" t="str">
        <x:f>IF(A98="","",IF(B98="",F98,IF(COUNTIFS($A$8:$A$97,B98)=1,VLOOKUP(B98,$A$8:$N$97,12,FALSE),"")))</x:f>
      </x:c>
      <x:c r="M98" s="11" t="str">
        <x:f>IF(A98="","",IF(B98="",0,IF(COUNTIFS($A$8:$A$97,B98)=1,IF(ISNUMBER(VLOOKUP(B98,$A$8:$N$97,13,FALSE)),VLOOKUP(B98,$A$8:$N$97,13,FALSE)+1,""),"")))</x:f>
      </x:c>
      <x:c r="N98" s="9" t="str">
        <x:f>IF(A98="","",IF(COUNTIFS('Layout'!$A$8:$A$207,A98)&lt;&gt;1,"Duplicate role",IF(AND(B98&lt;&gt;"",COUNTIFS($A$8:$A$97,B98)&lt;&gt;1),"Parent must appear above child",IF(COUNTIFS('Definitions'!$A$8:$A$207,G98)&lt;&gt;1,"Unknown / duplicate definition",IF(AND(B98="",OR(C98="",D98&lt;&gt;"",AND(F98&lt;&gt;"Build",F98&lt;&gt;"Spares"))),"Set root definition and purpose",IF(AND(B98&lt;&gt;"",COUNTIFS('Recipes'!$A$8:$A$207,D98)&lt;&gt;1),"Choose a unique recipe line",IF(AND(B98&lt;&gt;"",OR(C98&lt;&gt;"",F98&lt;&gt;"")),"Clear child root-only inputs",IF(AND(B98&lt;&gt;"",COUNTIFS($A$8:$A$97,B98)=1,COUNTIFS('Recipes'!$A$8:$A$207,D98)=1),IF(VLOOKUP(D98,'Recipes'!$A$8:$F$207,2,FALSE)&lt;&gt;VLOOKUP(B98,$A$8:$N$97,7,FALSE),"Recipe parent mismatch",IF(COUNTIFS($B$8:$B$207,B98,$D$8:$D$207,D98)&lt;&gt;1,"Duplicate child recipe",IF(OR(NOT(ISNUMBER(J98)),J98&lt;0,MOD(J98,1)&lt;&gt;0),"Set nonnegative whole qty",IF(COUNTIFS('Recipes'!$B$8:$B$207,G98)&lt;&gt;COUNTIFS($B$8:$B$207,A98,$D$8:$D$207,"&lt;&gt;",$A$8:$A$207,"&lt;&gt;"),"Missing / extra recipe children","OK")))),IF(OR(NOT(ISNUMBER(J98)),J98&lt;0,MOD(J98,1)&lt;&gt;0),"Set nonnegative whole qty",IF(COUNTIFS('Recipes'!$B$8:$B$207,G98)&lt;&gt;COUNTIFS($B$8:$B$207,A98,$D$8:$D$207,"&lt;&gt;",$A$8:$A$207,"&lt;&gt;"),"Missing / extra recipe children","OK"))))))))))</x:f>
      </x:c>
    </x:row>
    <x:row r="99" ht="22" customHeight="1">
      <x:c r="A99" s="10"/>
      <x:c r="B99" s="10"/>
      <x:c r="C99" s="10"/>
      <x:c r="D99" s="10"/>
      <x:c r="E99" s="12"/>
      <x:c r="F99" s="10"/>
      <x:c r="G99" s="9" t="str">
        <x:f>IF(A99="","",IF(B99="",C99,IF(COUNTIFS('Recipes'!$A$8:$A$207,D99)=1,VLOOKUP(D99,'Recipes'!$A$8:$F$207,3,FALSE),"")))</x:f>
      </x:c>
      <x:c r="H99" s="9" t="str">
        <x:f>IF(A99="","",IF(COUNTIFS('Definitions'!$A$8:$A$207,G99)=1,REPT("    ",IF(ISNUMBER(M99),M99,0))&amp;VLOOKUP(G99,'Definitions'!$A$8:$J$207,2,FALSE),"Unknown definition"))</x:f>
      </x:c>
      <x:c r="I99" s="11" t="str">
        <x:f>IF(A99="","",IF(B99="",1,IF(COUNTIFS('Recipes'!$A$8:$A$207,D99)=1,VLOOKUP(D99,'Recipes'!$A$8:$F$207,4,FALSE),"")))</x:f>
      </x:c>
      <x:c r="J99" s="11" t="str">
        <x:f>IF(A99="","",IF(ISBLANK(E99),I99,E99))</x:f>
      </x:c>
      <x:c r="K99" s="11" t="str">
        <x:f>IF(A99="","",IF(NOT(ISNUMBER(J99)),"",IF(B99="",J99,IF(COUNTIFS($A$8:$A$98,B99)=1,IF(ISNUMBER(VLOOKUP(B99,$A$8:$N$98,11,FALSE)),J99*VLOOKUP(B99,$A$8:$N$98,11,FALSE),""),""))))</x:f>
      </x:c>
      <x:c r="L99" s="9" t="str">
        <x:f>IF(A99="","",IF(B99="",F99,IF(COUNTIFS($A$8:$A$98,B99)=1,VLOOKUP(B99,$A$8:$N$98,12,FALSE),"")))</x:f>
      </x:c>
      <x:c r="M99" s="11" t="str">
        <x:f>IF(A99="","",IF(B99="",0,IF(COUNTIFS($A$8:$A$98,B99)=1,IF(ISNUMBER(VLOOKUP(B99,$A$8:$N$98,13,FALSE)),VLOOKUP(B99,$A$8:$N$98,13,FALSE)+1,""),"")))</x:f>
      </x:c>
      <x:c r="N99" s="9" t="str">
        <x:f>IF(A99="","",IF(COUNTIFS('Layout'!$A$8:$A$207,A99)&lt;&gt;1,"Duplicate role",IF(AND(B99&lt;&gt;"",COUNTIFS($A$8:$A$98,B99)&lt;&gt;1),"Parent must appear above child",IF(COUNTIFS('Definitions'!$A$8:$A$207,G99)&lt;&gt;1,"Unknown / duplicate definition",IF(AND(B99="",OR(C99="",D99&lt;&gt;"",AND(F99&lt;&gt;"Build",F99&lt;&gt;"Spares"))),"Set root definition and purpose",IF(AND(B99&lt;&gt;"",COUNTIFS('Recipes'!$A$8:$A$207,D99)&lt;&gt;1),"Choose a unique recipe line",IF(AND(B99&lt;&gt;"",OR(C99&lt;&gt;"",F99&lt;&gt;"")),"Clear child root-only inputs",IF(AND(B99&lt;&gt;"",COUNTIFS($A$8:$A$98,B99)=1,COUNTIFS('Recipes'!$A$8:$A$207,D99)=1),IF(VLOOKUP(D99,'Recipes'!$A$8:$F$207,2,FALSE)&lt;&gt;VLOOKUP(B99,$A$8:$N$98,7,FALSE),"Recipe parent mismatch",IF(COUNTIFS($B$8:$B$207,B99,$D$8:$D$207,D99)&lt;&gt;1,"Duplicate child recipe",IF(OR(NOT(ISNUMBER(J99)),J99&lt;0,MOD(J99,1)&lt;&gt;0),"Set nonnegative whole qty",IF(COUNTIFS('Recipes'!$B$8:$B$207,G99)&lt;&gt;COUNTIFS($B$8:$B$207,A99,$D$8:$D$207,"&lt;&gt;",$A$8:$A$207,"&lt;&gt;"),"Missing / extra recipe children","OK")))),IF(OR(NOT(ISNUMBER(J99)),J99&lt;0,MOD(J99,1)&lt;&gt;0),"Set nonnegative whole qty",IF(COUNTIFS('Recipes'!$B$8:$B$207,G99)&lt;&gt;COUNTIFS($B$8:$B$207,A99,$D$8:$D$207,"&lt;&gt;",$A$8:$A$207,"&lt;&gt;"),"Missing / extra recipe children","OK"))))))))))</x:f>
      </x:c>
    </x:row>
    <x:row r="100" ht="22" customHeight="1">
      <x:c r="A100" s="10"/>
      <x:c r="B100" s="10"/>
      <x:c r="C100" s="10"/>
      <x:c r="D100" s="10"/>
      <x:c r="E100" s="12"/>
      <x:c r="F100" s="10"/>
      <x:c r="G100" s="9" t="str">
        <x:f>IF(A100="","",IF(B100="",C100,IF(COUNTIFS('Recipes'!$A$8:$A$207,D100)=1,VLOOKUP(D100,'Recipes'!$A$8:$F$207,3,FALSE),"")))</x:f>
      </x:c>
      <x:c r="H100" s="9" t="str">
        <x:f>IF(A100="","",IF(COUNTIFS('Definitions'!$A$8:$A$207,G100)=1,REPT("    ",IF(ISNUMBER(M100),M100,0))&amp;VLOOKUP(G100,'Definitions'!$A$8:$J$207,2,FALSE),"Unknown definition"))</x:f>
      </x:c>
      <x:c r="I100" s="11" t="str">
        <x:f>IF(A100="","",IF(B100="",1,IF(COUNTIFS('Recipes'!$A$8:$A$207,D100)=1,VLOOKUP(D100,'Recipes'!$A$8:$F$207,4,FALSE),"")))</x:f>
      </x:c>
      <x:c r="J100" s="11" t="str">
        <x:f>IF(A100="","",IF(ISBLANK(E100),I100,E100))</x:f>
      </x:c>
      <x:c r="K100" s="11" t="str">
        <x:f>IF(A100="","",IF(NOT(ISNUMBER(J100)),"",IF(B100="",J100,IF(COUNTIFS($A$8:$A$99,B100)=1,IF(ISNUMBER(VLOOKUP(B100,$A$8:$N$99,11,FALSE)),J100*VLOOKUP(B100,$A$8:$N$99,11,FALSE),""),""))))</x:f>
      </x:c>
      <x:c r="L100" s="9" t="str">
        <x:f>IF(A100="","",IF(B100="",F100,IF(COUNTIFS($A$8:$A$99,B100)=1,VLOOKUP(B100,$A$8:$N$99,12,FALSE),"")))</x:f>
      </x:c>
      <x:c r="M100" s="11" t="str">
        <x:f>IF(A100="","",IF(B100="",0,IF(COUNTIFS($A$8:$A$99,B100)=1,IF(ISNUMBER(VLOOKUP(B100,$A$8:$N$99,13,FALSE)),VLOOKUP(B100,$A$8:$N$99,13,FALSE)+1,""),"")))</x:f>
      </x:c>
      <x:c r="N100" s="9" t="str">
        <x:f>IF(A100="","",IF(COUNTIFS('Layout'!$A$8:$A$207,A100)&lt;&gt;1,"Duplicate role",IF(AND(B100&lt;&gt;"",COUNTIFS($A$8:$A$99,B100)&lt;&gt;1),"Parent must appear above child",IF(COUNTIFS('Definitions'!$A$8:$A$207,G100)&lt;&gt;1,"Unknown / duplicate definition",IF(AND(B100="",OR(C100="",D100&lt;&gt;"",AND(F100&lt;&gt;"Build",F100&lt;&gt;"Spares"))),"Set root definition and purpose",IF(AND(B100&lt;&gt;"",COUNTIFS('Recipes'!$A$8:$A$207,D100)&lt;&gt;1),"Choose a unique recipe line",IF(AND(B100&lt;&gt;"",OR(C100&lt;&gt;"",F100&lt;&gt;"")),"Clear child root-only inputs",IF(AND(B100&lt;&gt;"",COUNTIFS($A$8:$A$99,B100)=1,COUNTIFS('Recipes'!$A$8:$A$207,D100)=1),IF(VLOOKUP(D100,'Recipes'!$A$8:$F$207,2,FALSE)&lt;&gt;VLOOKUP(B100,$A$8:$N$99,7,FALSE),"Recipe parent mismatch",IF(COUNTIFS($B$8:$B$207,B100,$D$8:$D$207,D100)&lt;&gt;1,"Duplicate child recipe",IF(OR(NOT(ISNUMBER(J100)),J100&lt;0,MOD(J100,1)&lt;&gt;0),"Set nonnegative whole qty",IF(COUNTIFS('Recipes'!$B$8:$B$207,G100)&lt;&gt;COUNTIFS($B$8:$B$207,A100,$D$8:$D$207,"&lt;&gt;",$A$8:$A$207,"&lt;&gt;"),"Missing / extra recipe children","OK")))),IF(OR(NOT(ISNUMBER(J100)),J100&lt;0,MOD(J100,1)&lt;&gt;0),"Set nonnegative whole qty",IF(COUNTIFS('Recipes'!$B$8:$B$207,G100)&lt;&gt;COUNTIFS($B$8:$B$207,A100,$D$8:$D$207,"&lt;&gt;",$A$8:$A$207,"&lt;&gt;"),"Missing / extra recipe children","OK"))))))))))</x:f>
      </x:c>
    </x:row>
    <x:row r="101" ht="22" customHeight="1">
      <x:c r="A101" s="10"/>
      <x:c r="B101" s="10"/>
      <x:c r="C101" s="10"/>
      <x:c r="D101" s="10"/>
      <x:c r="E101" s="12"/>
      <x:c r="F101" s="10"/>
      <x:c r="G101" s="9" t="str">
        <x:f>IF(A101="","",IF(B101="",C101,IF(COUNTIFS('Recipes'!$A$8:$A$207,D101)=1,VLOOKUP(D101,'Recipes'!$A$8:$F$207,3,FALSE),"")))</x:f>
      </x:c>
      <x:c r="H101" s="9" t="str">
        <x:f>IF(A101="","",IF(COUNTIFS('Definitions'!$A$8:$A$207,G101)=1,REPT("    ",IF(ISNUMBER(M101),M101,0))&amp;VLOOKUP(G101,'Definitions'!$A$8:$J$207,2,FALSE),"Unknown definition"))</x:f>
      </x:c>
      <x:c r="I101" s="11" t="str">
        <x:f>IF(A101="","",IF(B101="",1,IF(COUNTIFS('Recipes'!$A$8:$A$207,D101)=1,VLOOKUP(D101,'Recipes'!$A$8:$F$207,4,FALSE),"")))</x:f>
      </x:c>
      <x:c r="J101" s="11" t="str">
        <x:f>IF(A101="","",IF(ISBLANK(E101),I101,E101))</x:f>
      </x:c>
      <x:c r="K101" s="11" t="str">
        <x:f>IF(A101="","",IF(NOT(ISNUMBER(J101)),"",IF(B101="",J101,IF(COUNTIFS($A$8:$A$100,B101)=1,IF(ISNUMBER(VLOOKUP(B101,$A$8:$N$100,11,FALSE)),J101*VLOOKUP(B101,$A$8:$N$100,11,FALSE),""),""))))</x:f>
      </x:c>
      <x:c r="L101" s="9" t="str">
        <x:f>IF(A101="","",IF(B101="",F101,IF(COUNTIFS($A$8:$A$100,B101)=1,VLOOKUP(B101,$A$8:$N$100,12,FALSE),"")))</x:f>
      </x:c>
      <x:c r="M101" s="11" t="str">
        <x:f>IF(A101="","",IF(B101="",0,IF(COUNTIFS($A$8:$A$100,B101)=1,IF(ISNUMBER(VLOOKUP(B101,$A$8:$N$100,13,FALSE)),VLOOKUP(B101,$A$8:$N$100,13,FALSE)+1,""),"")))</x:f>
      </x:c>
      <x:c r="N101" s="9" t="str">
        <x:f>IF(A101="","",IF(COUNTIFS('Layout'!$A$8:$A$207,A101)&lt;&gt;1,"Duplicate role",IF(AND(B101&lt;&gt;"",COUNTIFS($A$8:$A$100,B101)&lt;&gt;1),"Parent must appear above child",IF(COUNTIFS('Definitions'!$A$8:$A$207,G101)&lt;&gt;1,"Unknown / duplicate definition",IF(AND(B101="",OR(C101="",D101&lt;&gt;"",AND(F101&lt;&gt;"Build",F101&lt;&gt;"Spares"))),"Set root definition and purpose",IF(AND(B101&lt;&gt;"",COUNTIFS('Recipes'!$A$8:$A$207,D101)&lt;&gt;1),"Choose a unique recipe line",IF(AND(B101&lt;&gt;"",OR(C101&lt;&gt;"",F101&lt;&gt;"")),"Clear child root-only inputs",IF(AND(B101&lt;&gt;"",COUNTIFS($A$8:$A$100,B101)=1,COUNTIFS('Recipes'!$A$8:$A$207,D101)=1),IF(VLOOKUP(D101,'Recipes'!$A$8:$F$207,2,FALSE)&lt;&gt;VLOOKUP(B101,$A$8:$N$100,7,FALSE),"Recipe parent mismatch",IF(COUNTIFS($B$8:$B$207,B101,$D$8:$D$207,D101)&lt;&gt;1,"Duplicate child recipe",IF(OR(NOT(ISNUMBER(J101)),J101&lt;0,MOD(J101,1)&lt;&gt;0),"Set nonnegative whole qty",IF(COUNTIFS('Recipes'!$B$8:$B$207,G101)&lt;&gt;COUNTIFS($B$8:$B$207,A101,$D$8:$D$207,"&lt;&gt;",$A$8:$A$207,"&lt;&gt;"),"Missing / extra recipe children","OK")))),IF(OR(NOT(ISNUMBER(J101)),J101&lt;0,MOD(J101,1)&lt;&gt;0),"Set nonnegative whole qty",IF(COUNTIFS('Recipes'!$B$8:$B$207,G101)&lt;&gt;COUNTIFS($B$8:$B$207,A101,$D$8:$D$207,"&lt;&gt;",$A$8:$A$207,"&lt;&gt;"),"Missing / extra recipe children","OK"))))))))))</x:f>
      </x:c>
    </x:row>
    <x:row r="102" ht="22" customHeight="1">
      <x:c r="A102" s="10"/>
      <x:c r="B102" s="10"/>
      <x:c r="C102" s="10"/>
      <x:c r="D102" s="10"/>
      <x:c r="E102" s="12"/>
      <x:c r="F102" s="10"/>
      <x:c r="G102" s="9" t="str">
        <x:f>IF(A102="","",IF(B102="",C102,IF(COUNTIFS('Recipes'!$A$8:$A$207,D102)=1,VLOOKUP(D102,'Recipes'!$A$8:$F$207,3,FALSE),"")))</x:f>
      </x:c>
      <x:c r="H102" s="9" t="str">
        <x:f>IF(A102="","",IF(COUNTIFS('Definitions'!$A$8:$A$207,G102)=1,REPT("    ",IF(ISNUMBER(M102),M102,0))&amp;VLOOKUP(G102,'Definitions'!$A$8:$J$207,2,FALSE),"Unknown definition"))</x:f>
      </x:c>
      <x:c r="I102" s="11" t="str">
        <x:f>IF(A102="","",IF(B102="",1,IF(COUNTIFS('Recipes'!$A$8:$A$207,D102)=1,VLOOKUP(D102,'Recipes'!$A$8:$F$207,4,FALSE),"")))</x:f>
      </x:c>
      <x:c r="J102" s="11" t="str">
        <x:f>IF(A102="","",IF(ISBLANK(E102),I102,E102))</x:f>
      </x:c>
      <x:c r="K102" s="11" t="str">
        <x:f>IF(A102="","",IF(NOT(ISNUMBER(J102)),"",IF(B102="",J102,IF(COUNTIFS($A$8:$A$101,B102)=1,IF(ISNUMBER(VLOOKUP(B102,$A$8:$N$101,11,FALSE)),J102*VLOOKUP(B102,$A$8:$N$101,11,FALSE),""),""))))</x:f>
      </x:c>
      <x:c r="L102" s="9" t="str">
        <x:f>IF(A102="","",IF(B102="",F102,IF(COUNTIFS($A$8:$A$101,B102)=1,VLOOKUP(B102,$A$8:$N$101,12,FALSE),"")))</x:f>
      </x:c>
      <x:c r="M102" s="11" t="str">
        <x:f>IF(A102="","",IF(B102="",0,IF(COUNTIFS($A$8:$A$101,B102)=1,IF(ISNUMBER(VLOOKUP(B102,$A$8:$N$101,13,FALSE)),VLOOKUP(B102,$A$8:$N$101,13,FALSE)+1,""),"")))</x:f>
      </x:c>
      <x:c r="N102" s="9" t="str">
        <x:f>IF(A102="","",IF(COUNTIFS('Layout'!$A$8:$A$207,A102)&lt;&gt;1,"Duplicate role",IF(AND(B102&lt;&gt;"",COUNTIFS($A$8:$A$101,B102)&lt;&gt;1),"Parent must appear above child",IF(COUNTIFS('Definitions'!$A$8:$A$207,G102)&lt;&gt;1,"Unknown / duplicate definition",IF(AND(B102="",OR(C102="",D102&lt;&gt;"",AND(F102&lt;&gt;"Build",F102&lt;&gt;"Spares"))),"Set root definition and purpose",IF(AND(B102&lt;&gt;"",COUNTIFS('Recipes'!$A$8:$A$207,D102)&lt;&gt;1),"Choose a unique recipe line",IF(AND(B102&lt;&gt;"",OR(C102&lt;&gt;"",F102&lt;&gt;"")),"Clear child root-only inputs",IF(AND(B102&lt;&gt;"",COUNTIFS($A$8:$A$101,B102)=1,COUNTIFS('Recipes'!$A$8:$A$207,D102)=1),IF(VLOOKUP(D102,'Recipes'!$A$8:$F$207,2,FALSE)&lt;&gt;VLOOKUP(B102,$A$8:$N$101,7,FALSE),"Recipe parent mismatch",IF(COUNTIFS($B$8:$B$207,B102,$D$8:$D$207,D102)&lt;&gt;1,"Duplicate child recipe",IF(OR(NOT(ISNUMBER(J102)),J102&lt;0,MOD(J102,1)&lt;&gt;0),"Set nonnegative whole qty",IF(COUNTIFS('Recipes'!$B$8:$B$207,G102)&lt;&gt;COUNTIFS($B$8:$B$207,A102,$D$8:$D$207,"&lt;&gt;",$A$8:$A$207,"&lt;&gt;"),"Missing / extra recipe children","OK")))),IF(OR(NOT(ISNUMBER(J102)),J102&lt;0,MOD(J102,1)&lt;&gt;0),"Set nonnegative whole qty",IF(COUNTIFS('Recipes'!$B$8:$B$207,G102)&lt;&gt;COUNTIFS($B$8:$B$207,A102,$D$8:$D$207,"&lt;&gt;",$A$8:$A$207,"&lt;&gt;"),"Missing / extra recipe children","OK"))))))))))</x:f>
      </x:c>
    </x:row>
    <x:row r="103" ht="22" customHeight="1">
      <x:c r="A103" s="10"/>
      <x:c r="B103" s="10"/>
      <x:c r="C103" s="10"/>
      <x:c r="D103" s="10"/>
      <x:c r="E103" s="12"/>
      <x:c r="F103" s="10"/>
      <x:c r="G103" s="9" t="str">
        <x:f>IF(A103="","",IF(B103="",C103,IF(COUNTIFS('Recipes'!$A$8:$A$207,D103)=1,VLOOKUP(D103,'Recipes'!$A$8:$F$207,3,FALSE),"")))</x:f>
      </x:c>
      <x:c r="H103" s="9" t="str">
        <x:f>IF(A103="","",IF(COUNTIFS('Definitions'!$A$8:$A$207,G103)=1,REPT("    ",IF(ISNUMBER(M103),M103,0))&amp;VLOOKUP(G103,'Definitions'!$A$8:$J$207,2,FALSE),"Unknown definition"))</x:f>
      </x:c>
      <x:c r="I103" s="11" t="str">
        <x:f>IF(A103="","",IF(B103="",1,IF(COUNTIFS('Recipes'!$A$8:$A$207,D103)=1,VLOOKUP(D103,'Recipes'!$A$8:$F$207,4,FALSE),"")))</x:f>
      </x:c>
      <x:c r="J103" s="11" t="str">
        <x:f>IF(A103="","",IF(ISBLANK(E103),I103,E103))</x:f>
      </x:c>
      <x:c r="K103" s="11" t="str">
        <x:f>IF(A103="","",IF(NOT(ISNUMBER(J103)),"",IF(B103="",J103,IF(COUNTIFS($A$8:$A$102,B103)=1,IF(ISNUMBER(VLOOKUP(B103,$A$8:$N$102,11,FALSE)),J103*VLOOKUP(B103,$A$8:$N$102,11,FALSE),""),""))))</x:f>
      </x:c>
      <x:c r="L103" s="9" t="str">
        <x:f>IF(A103="","",IF(B103="",F103,IF(COUNTIFS($A$8:$A$102,B103)=1,VLOOKUP(B103,$A$8:$N$102,12,FALSE),"")))</x:f>
      </x:c>
      <x:c r="M103" s="11" t="str">
        <x:f>IF(A103="","",IF(B103="",0,IF(COUNTIFS($A$8:$A$102,B103)=1,IF(ISNUMBER(VLOOKUP(B103,$A$8:$N$102,13,FALSE)),VLOOKUP(B103,$A$8:$N$102,13,FALSE)+1,""),"")))</x:f>
      </x:c>
      <x:c r="N103" s="9" t="str">
        <x:f>IF(A103="","",IF(COUNTIFS('Layout'!$A$8:$A$207,A103)&lt;&gt;1,"Duplicate role",IF(AND(B103&lt;&gt;"",COUNTIFS($A$8:$A$102,B103)&lt;&gt;1),"Parent must appear above child",IF(COUNTIFS('Definitions'!$A$8:$A$207,G103)&lt;&gt;1,"Unknown / duplicate definition",IF(AND(B103="",OR(C103="",D103&lt;&gt;"",AND(F103&lt;&gt;"Build",F103&lt;&gt;"Spares"))),"Set root definition and purpose",IF(AND(B103&lt;&gt;"",COUNTIFS('Recipes'!$A$8:$A$207,D103)&lt;&gt;1),"Choose a unique recipe line",IF(AND(B103&lt;&gt;"",OR(C103&lt;&gt;"",F103&lt;&gt;"")),"Clear child root-only inputs",IF(AND(B103&lt;&gt;"",COUNTIFS($A$8:$A$102,B103)=1,COUNTIFS('Recipes'!$A$8:$A$207,D103)=1),IF(VLOOKUP(D103,'Recipes'!$A$8:$F$207,2,FALSE)&lt;&gt;VLOOKUP(B103,$A$8:$N$102,7,FALSE),"Recipe parent mismatch",IF(COUNTIFS($B$8:$B$207,B103,$D$8:$D$207,D103)&lt;&gt;1,"Duplicate child recipe",IF(OR(NOT(ISNUMBER(J103)),J103&lt;0,MOD(J103,1)&lt;&gt;0),"Set nonnegative whole qty",IF(COUNTIFS('Recipes'!$B$8:$B$207,G103)&lt;&gt;COUNTIFS($B$8:$B$207,A103,$D$8:$D$207,"&lt;&gt;",$A$8:$A$207,"&lt;&gt;"),"Missing / extra recipe children","OK")))),IF(OR(NOT(ISNUMBER(J103)),J103&lt;0,MOD(J103,1)&lt;&gt;0),"Set nonnegative whole qty",IF(COUNTIFS('Recipes'!$B$8:$B$207,G103)&lt;&gt;COUNTIFS($B$8:$B$207,A103,$D$8:$D$207,"&lt;&gt;",$A$8:$A$207,"&lt;&gt;"),"Missing / extra recipe children","OK"))))))))))</x:f>
      </x:c>
    </x:row>
    <x:row r="104" ht="22" customHeight="1">
      <x:c r="A104" s="10"/>
      <x:c r="B104" s="10"/>
      <x:c r="C104" s="10"/>
      <x:c r="D104" s="10"/>
      <x:c r="E104" s="12"/>
      <x:c r="F104" s="10"/>
      <x:c r="G104" s="9" t="str">
        <x:f>IF(A104="","",IF(B104="",C104,IF(COUNTIFS('Recipes'!$A$8:$A$207,D104)=1,VLOOKUP(D104,'Recipes'!$A$8:$F$207,3,FALSE),"")))</x:f>
      </x:c>
      <x:c r="H104" s="9" t="str">
        <x:f>IF(A104="","",IF(COUNTIFS('Definitions'!$A$8:$A$207,G104)=1,REPT("    ",IF(ISNUMBER(M104),M104,0))&amp;VLOOKUP(G104,'Definitions'!$A$8:$J$207,2,FALSE),"Unknown definition"))</x:f>
      </x:c>
      <x:c r="I104" s="11" t="str">
        <x:f>IF(A104="","",IF(B104="",1,IF(COUNTIFS('Recipes'!$A$8:$A$207,D104)=1,VLOOKUP(D104,'Recipes'!$A$8:$F$207,4,FALSE),"")))</x:f>
      </x:c>
      <x:c r="J104" s="11" t="str">
        <x:f>IF(A104="","",IF(ISBLANK(E104),I104,E104))</x:f>
      </x:c>
      <x:c r="K104" s="11" t="str">
        <x:f>IF(A104="","",IF(NOT(ISNUMBER(J104)),"",IF(B104="",J104,IF(COUNTIFS($A$8:$A$103,B104)=1,IF(ISNUMBER(VLOOKUP(B104,$A$8:$N$103,11,FALSE)),J104*VLOOKUP(B104,$A$8:$N$103,11,FALSE),""),""))))</x:f>
      </x:c>
      <x:c r="L104" s="9" t="str">
        <x:f>IF(A104="","",IF(B104="",F104,IF(COUNTIFS($A$8:$A$103,B104)=1,VLOOKUP(B104,$A$8:$N$103,12,FALSE),"")))</x:f>
      </x:c>
      <x:c r="M104" s="11" t="str">
        <x:f>IF(A104="","",IF(B104="",0,IF(COUNTIFS($A$8:$A$103,B104)=1,IF(ISNUMBER(VLOOKUP(B104,$A$8:$N$103,13,FALSE)),VLOOKUP(B104,$A$8:$N$103,13,FALSE)+1,""),"")))</x:f>
      </x:c>
      <x:c r="N104" s="9" t="str">
        <x:f>IF(A104="","",IF(COUNTIFS('Layout'!$A$8:$A$207,A104)&lt;&gt;1,"Duplicate role",IF(AND(B104&lt;&gt;"",COUNTIFS($A$8:$A$103,B104)&lt;&gt;1),"Parent must appear above child",IF(COUNTIFS('Definitions'!$A$8:$A$207,G104)&lt;&gt;1,"Unknown / duplicate definition",IF(AND(B104="",OR(C104="",D104&lt;&gt;"",AND(F104&lt;&gt;"Build",F104&lt;&gt;"Spares"))),"Set root definition and purpose",IF(AND(B104&lt;&gt;"",COUNTIFS('Recipes'!$A$8:$A$207,D104)&lt;&gt;1),"Choose a unique recipe line",IF(AND(B104&lt;&gt;"",OR(C104&lt;&gt;"",F104&lt;&gt;"")),"Clear child root-only inputs",IF(AND(B104&lt;&gt;"",COUNTIFS($A$8:$A$103,B104)=1,COUNTIFS('Recipes'!$A$8:$A$207,D104)=1),IF(VLOOKUP(D104,'Recipes'!$A$8:$F$207,2,FALSE)&lt;&gt;VLOOKUP(B104,$A$8:$N$103,7,FALSE),"Recipe parent mismatch",IF(COUNTIFS($B$8:$B$207,B104,$D$8:$D$207,D104)&lt;&gt;1,"Duplicate child recipe",IF(OR(NOT(ISNUMBER(J104)),J104&lt;0,MOD(J104,1)&lt;&gt;0),"Set nonnegative whole qty",IF(COUNTIFS('Recipes'!$B$8:$B$207,G104)&lt;&gt;COUNTIFS($B$8:$B$207,A104,$D$8:$D$207,"&lt;&gt;",$A$8:$A$207,"&lt;&gt;"),"Missing / extra recipe children","OK")))),IF(OR(NOT(ISNUMBER(J104)),J104&lt;0,MOD(J104,1)&lt;&gt;0),"Set nonnegative whole qty",IF(COUNTIFS('Recipes'!$B$8:$B$207,G104)&lt;&gt;COUNTIFS($B$8:$B$207,A104,$D$8:$D$207,"&lt;&gt;",$A$8:$A$207,"&lt;&gt;"),"Missing / extra recipe children","OK"))))))))))</x:f>
      </x:c>
    </x:row>
    <x:row r="105" ht="22" customHeight="1">
      <x:c r="A105" s="10"/>
      <x:c r="B105" s="10"/>
      <x:c r="C105" s="10"/>
      <x:c r="D105" s="10"/>
      <x:c r="E105" s="12"/>
      <x:c r="F105" s="10"/>
      <x:c r="G105" s="9" t="str">
        <x:f>IF(A105="","",IF(B105="",C105,IF(COUNTIFS('Recipes'!$A$8:$A$207,D105)=1,VLOOKUP(D105,'Recipes'!$A$8:$F$207,3,FALSE),"")))</x:f>
      </x:c>
      <x:c r="H105" s="9" t="str">
        <x:f>IF(A105="","",IF(COUNTIFS('Definitions'!$A$8:$A$207,G105)=1,REPT("    ",IF(ISNUMBER(M105),M105,0))&amp;VLOOKUP(G105,'Definitions'!$A$8:$J$207,2,FALSE),"Unknown definition"))</x:f>
      </x:c>
      <x:c r="I105" s="11" t="str">
        <x:f>IF(A105="","",IF(B105="",1,IF(COUNTIFS('Recipes'!$A$8:$A$207,D105)=1,VLOOKUP(D105,'Recipes'!$A$8:$F$207,4,FALSE),"")))</x:f>
      </x:c>
      <x:c r="J105" s="11" t="str">
        <x:f>IF(A105="","",IF(ISBLANK(E105),I105,E105))</x:f>
      </x:c>
      <x:c r="K105" s="11" t="str">
        <x:f>IF(A105="","",IF(NOT(ISNUMBER(J105)),"",IF(B105="",J105,IF(COUNTIFS($A$8:$A$104,B105)=1,IF(ISNUMBER(VLOOKUP(B105,$A$8:$N$104,11,FALSE)),J105*VLOOKUP(B105,$A$8:$N$104,11,FALSE),""),""))))</x:f>
      </x:c>
      <x:c r="L105" s="9" t="str">
        <x:f>IF(A105="","",IF(B105="",F105,IF(COUNTIFS($A$8:$A$104,B105)=1,VLOOKUP(B105,$A$8:$N$104,12,FALSE),"")))</x:f>
      </x:c>
      <x:c r="M105" s="11" t="str">
        <x:f>IF(A105="","",IF(B105="",0,IF(COUNTIFS($A$8:$A$104,B105)=1,IF(ISNUMBER(VLOOKUP(B105,$A$8:$N$104,13,FALSE)),VLOOKUP(B105,$A$8:$N$104,13,FALSE)+1,""),"")))</x:f>
      </x:c>
      <x:c r="N105" s="9" t="str">
        <x:f>IF(A105="","",IF(COUNTIFS('Layout'!$A$8:$A$207,A105)&lt;&gt;1,"Duplicate role",IF(AND(B105&lt;&gt;"",COUNTIFS($A$8:$A$104,B105)&lt;&gt;1),"Parent must appear above child",IF(COUNTIFS('Definitions'!$A$8:$A$207,G105)&lt;&gt;1,"Unknown / duplicate definition",IF(AND(B105="",OR(C105="",D105&lt;&gt;"",AND(F105&lt;&gt;"Build",F105&lt;&gt;"Spares"))),"Set root definition and purpose",IF(AND(B105&lt;&gt;"",COUNTIFS('Recipes'!$A$8:$A$207,D105)&lt;&gt;1),"Choose a unique recipe line",IF(AND(B105&lt;&gt;"",OR(C105&lt;&gt;"",F105&lt;&gt;"")),"Clear child root-only inputs",IF(AND(B105&lt;&gt;"",COUNTIFS($A$8:$A$104,B105)=1,COUNTIFS('Recipes'!$A$8:$A$207,D105)=1),IF(VLOOKUP(D105,'Recipes'!$A$8:$F$207,2,FALSE)&lt;&gt;VLOOKUP(B105,$A$8:$N$104,7,FALSE),"Recipe parent mismatch",IF(COUNTIFS($B$8:$B$207,B105,$D$8:$D$207,D105)&lt;&gt;1,"Duplicate child recipe",IF(OR(NOT(ISNUMBER(J105)),J105&lt;0,MOD(J105,1)&lt;&gt;0),"Set nonnegative whole qty",IF(COUNTIFS('Recipes'!$B$8:$B$207,G105)&lt;&gt;COUNTIFS($B$8:$B$207,A105,$D$8:$D$207,"&lt;&gt;",$A$8:$A$207,"&lt;&gt;"),"Missing / extra recipe children","OK")))),IF(OR(NOT(ISNUMBER(J105)),J105&lt;0,MOD(J105,1)&lt;&gt;0),"Set nonnegative whole qty",IF(COUNTIFS('Recipes'!$B$8:$B$207,G105)&lt;&gt;COUNTIFS($B$8:$B$207,A105,$D$8:$D$207,"&lt;&gt;",$A$8:$A$207,"&lt;&gt;"),"Missing / extra recipe children","OK"))))))))))</x:f>
      </x:c>
    </x:row>
    <x:row r="106" ht="22" customHeight="1">
      <x:c r="A106" s="10"/>
      <x:c r="B106" s="10"/>
      <x:c r="C106" s="10"/>
      <x:c r="D106" s="10"/>
      <x:c r="E106" s="12"/>
      <x:c r="F106" s="10"/>
      <x:c r="G106" s="9" t="str">
        <x:f>IF(A106="","",IF(B106="",C106,IF(COUNTIFS('Recipes'!$A$8:$A$207,D106)=1,VLOOKUP(D106,'Recipes'!$A$8:$F$207,3,FALSE),"")))</x:f>
      </x:c>
      <x:c r="H106" s="9" t="str">
        <x:f>IF(A106="","",IF(COUNTIFS('Definitions'!$A$8:$A$207,G106)=1,REPT("    ",IF(ISNUMBER(M106),M106,0))&amp;VLOOKUP(G106,'Definitions'!$A$8:$J$207,2,FALSE),"Unknown definition"))</x:f>
      </x:c>
      <x:c r="I106" s="11" t="str">
        <x:f>IF(A106="","",IF(B106="",1,IF(COUNTIFS('Recipes'!$A$8:$A$207,D106)=1,VLOOKUP(D106,'Recipes'!$A$8:$F$207,4,FALSE),"")))</x:f>
      </x:c>
      <x:c r="J106" s="11" t="str">
        <x:f>IF(A106="","",IF(ISBLANK(E106),I106,E106))</x:f>
      </x:c>
      <x:c r="K106" s="11" t="str">
        <x:f>IF(A106="","",IF(NOT(ISNUMBER(J106)),"",IF(B106="",J106,IF(COUNTIFS($A$8:$A$105,B106)=1,IF(ISNUMBER(VLOOKUP(B106,$A$8:$N$105,11,FALSE)),J106*VLOOKUP(B106,$A$8:$N$105,11,FALSE),""),""))))</x:f>
      </x:c>
      <x:c r="L106" s="9" t="str">
        <x:f>IF(A106="","",IF(B106="",F106,IF(COUNTIFS($A$8:$A$105,B106)=1,VLOOKUP(B106,$A$8:$N$105,12,FALSE),"")))</x:f>
      </x:c>
      <x:c r="M106" s="11" t="str">
        <x:f>IF(A106="","",IF(B106="",0,IF(COUNTIFS($A$8:$A$105,B106)=1,IF(ISNUMBER(VLOOKUP(B106,$A$8:$N$105,13,FALSE)),VLOOKUP(B106,$A$8:$N$105,13,FALSE)+1,""),"")))</x:f>
      </x:c>
      <x:c r="N106" s="9" t="str">
        <x:f>IF(A106="","",IF(COUNTIFS('Layout'!$A$8:$A$207,A106)&lt;&gt;1,"Duplicate role",IF(AND(B106&lt;&gt;"",COUNTIFS($A$8:$A$105,B106)&lt;&gt;1),"Parent must appear above child",IF(COUNTIFS('Definitions'!$A$8:$A$207,G106)&lt;&gt;1,"Unknown / duplicate definition",IF(AND(B106="",OR(C106="",D106&lt;&gt;"",AND(F106&lt;&gt;"Build",F106&lt;&gt;"Spares"))),"Set root definition and purpose",IF(AND(B106&lt;&gt;"",COUNTIFS('Recipes'!$A$8:$A$207,D106)&lt;&gt;1),"Choose a unique recipe line",IF(AND(B106&lt;&gt;"",OR(C106&lt;&gt;"",F106&lt;&gt;"")),"Clear child root-only inputs",IF(AND(B106&lt;&gt;"",COUNTIFS($A$8:$A$105,B106)=1,COUNTIFS('Recipes'!$A$8:$A$207,D106)=1),IF(VLOOKUP(D106,'Recipes'!$A$8:$F$207,2,FALSE)&lt;&gt;VLOOKUP(B106,$A$8:$N$105,7,FALSE),"Recipe parent mismatch",IF(COUNTIFS($B$8:$B$207,B106,$D$8:$D$207,D106)&lt;&gt;1,"Duplicate child recipe",IF(OR(NOT(ISNUMBER(J106)),J106&lt;0,MOD(J106,1)&lt;&gt;0),"Set nonnegative whole qty",IF(COUNTIFS('Recipes'!$B$8:$B$207,G106)&lt;&gt;COUNTIFS($B$8:$B$207,A106,$D$8:$D$207,"&lt;&gt;",$A$8:$A$207,"&lt;&gt;"),"Missing / extra recipe children","OK")))),IF(OR(NOT(ISNUMBER(J106)),J106&lt;0,MOD(J106,1)&lt;&gt;0),"Set nonnegative whole qty",IF(COUNTIFS('Recipes'!$B$8:$B$207,G106)&lt;&gt;COUNTIFS($B$8:$B$207,A106,$D$8:$D$207,"&lt;&gt;",$A$8:$A$207,"&lt;&gt;"),"Missing / extra recipe children","OK"))))))))))</x:f>
      </x:c>
    </x:row>
    <x:row r="107" ht="22" customHeight="1">
      <x:c r="A107" s="10"/>
      <x:c r="B107" s="10"/>
      <x:c r="C107" s="10"/>
      <x:c r="D107" s="10"/>
      <x:c r="E107" s="12"/>
      <x:c r="F107" s="10"/>
      <x:c r="G107" s="9" t="str">
        <x:f>IF(A107="","",IF(B107="",C107,IF(COUNTIFS('Recipes'!$A$8:$A$207,D107)=1,VLOOKUP(D107,'Recipes'!$A$8:$F$207,3,FALSE),"")))</x:f>
      </x:c>
      <x:c r="H107" s="9" t="str">
        <x:f>IF(A107="","",IF(COUNTIFS('Definitions'!$A$8:$A$207,G107)=1,REPT("    ",IF(ISNUMBER(M107),M107,0))&amp;VLOOKUP(G107,'Definitions'!$A$8:$J$207,2,FALSE),"Unknown definition"))</x:f>
      </x:c>
      <x:c r="I107" s="11" t="str">
        <x:f>IF(A107="","",IF(B107="",1,IF(COUNTIFS('Recipes'!$A$8:$A$207,D107)=1,VLOOKUP(D107,'Recipes'!$A$8:$F$207,4,FALSE),"")))</x:f>
      </x:c>
      <x:c r="J107" s="11" t="str">
        <x:f>IF(A107="","",IF(ISBLANK(E107),I107,E107))</x:f>
      </x:c>
      <x:c r="K107" s="11" t="str">
        <x:f>IF(A107="","",IF(NOT(ISNUMBER(J107)),"",IF(B107="",J107,IF(COUNTIFS($A$8:$A$106,B107)=1,IF(ISNUMBER(VLOOKUP(B107,$A$8:$N$106,11,FALSE)),J107*VLOOKUP(B107,$A$8:$N$106,11,FALSE),""),""))))</x:f>
      </x:c>
      <x:c r="L107" s="9" t="str">
        <x:f>IF(A107="","",IF(B107="",F107,IF(COUNTIFS($A$8:$A$106,B107)=1,VLOOKUP(B107,$A$8:$N$106,12,FALSE),"")))</x:f>
      </x:c>
      <x:c r="M107" s="11" t="str">
        <x:f>IF(A107="","",IF(B107="",0,IF(COUNTIFS($A$8:$A$106,B107)=1,IF(ISNUMBER(VLOOKUP(B107,$A$8:$N$106,13,FALSE)),VLOOKUP(B107,$A$8:$N$106,13,FALSE)+1,""),"")))</x:f>
      </x:c>
      <x:c r="N107" s="9" t="str">
        <x:f>IF(A107="","",IF(COUNTIFS('Layout'!$A$8:$A$207,A107)&lt;&gt;1,"Duplicate role",IF(AND(B107&lt;&gt;"",COUNTIFS($A$8:$A$106,B107)&lt;&gt;1),"Parent must appear above child",IF(COUNTIFS('Definitions'!$A$8:$A$207,G107)&lt;&gt;1,"Unknown / duplicate definition",IF(AND(B107="",OR(C107="",D107&lt;&gt;"",AND(F107&lt;&gt;"Build",F107&lt;&gt;"Spares"))),"Set root definition and purpose",IF(AND(B107&lt;&gt;"",COUNTIFS('Recipes'!$A$8:$A$207,D107)&lt;&gt;1),"Choose a unique recipe line",IF(AND(B107&lt;&gt;"",OR(C107&lt;&gt;"",F107&lt;&gt;"")),"Clear child root-only inputs",IF(AND(B107&lt;&gt;"",COUNTIFS($A$8:$A$106,B107)=1,COUNTIFS('Recipes'!$A$8:$A$207,D107)=1),IF(VLOOKUP(D107,'Recipes'!$A$8:$F$207,2,FALSE)&lt;&gt;VLOOKUP(B107,$A$8:$N$106,7,FALSE),"Recipe parent mismatch",IF(COUNTIFS($B$8:$B$207,B107,$D$8:$D$207,D107)&lt;&gt;1,"Duplicate child recipe",IF(OR(NOT(ISNUMBER(J107)),J107&lt;0,MOD(J107,1)&lt;&gt;0),"Set nonnegative whole qty",IF(COUNTIFS('Recipes'!$B$8:$B$207,G107)&lt;&gt;COUNTIFS($B$8:$B$207,A107,$D$8:$D$207,"&lt;&gt;",$A$8:$A$207,"&lt;&gt;"),"Missing / extra recipe children","OK")))),IF(OR(NOT(ISNUMBER(J107)),J107&lt;0,MOD(J107,1)&lt;&gt;0),"Set nonnegative whole qty",IF(COUNTIFS('Recipes'!$B$8:$B$207,G107)&lt;&gt;COUNTIFS($B$8:$B$207,A107,$D$8:$D$207,"&lt;&gt;",$A$8:$A$207,"&lt;&gt;"),"Missing / extra recipe children","OK"))))))))))</x:f>
      </x:c>
    </x:row>
    <x:row r="108" ht="22" customHeight="1">
      <x:c r="A108" s="10"/>
      <x:c r="B108" s="10"/>
      <x:c r="C108" s="10"/>
      <x:c r="D108" s="10"/>
      <x:c r="E108" s="12"/>
      <x:c r="F108" s="10"/>
      <x:c r="G108" s="9" t="str">
        <x:f>IF(A108="","",IF(B108="",C108,IF(COUNTIFS('Recipes'!$A$8:$A$207,D108)=1,VLOOKUP(D108,'Recipes'!$A$8:$F$207,3,FALSE),"")))</x:f>
      </x:c>
      <x:c r="H108" s="9" t="str">
        <x:f>IF(A108="","",IF(COUNTIFS('Definitions'!$A$8:$A$207,G108)=1,REPT("    ",IF(ISNUMBER(M108),M108,0))&amp;VLOOKUP(G108,'Definitions'!$A$8:$J$207,2,FALSE),"Unknown definition"))</x:f>
      </x:c>
      <x:c r="I108" s="11" t="str">
        <x:f>IF(A108="","",IF(B108="",1,IF(COUNTIFS('Recipes'!$A$8:$A$207,D108)=1,VLOOKUP(D108,'Recipes'!$A$8:$F$207,4,FALSE),"")))</x:f>
      </x:c>
      <x:c r="J108" s="11" t="str">
        <x:f>IF(A108="","",IF(ISBLANK(E108),I108,E108))</x:f>
      </x:c>
      <x:c r="K108" s="11" t="str">
        <x:f>IF(A108="","",IF(NOT(ISNUMBER(J108)),"",IF(B108="",J108,IF(COUNTIFS($A$8:$A$107,B108)=1,IF(ISNUMBER(VLOOKUP(B108,$A$8:$N$107,11,FALSE)),J108*VLOOKUP(B108,$A$8:$N$107,11,FALSE),""),""))))</x:f>
      </x:c>
      <x:c r="L108" s="9" t="str">
        <x:f>IF(A108="","",IF(B108="",F108,IF(COUNTIFS($A$8:$A$107,B108)=1,VLOOKUP(B108,$A$8:$N$107,12,FALSE),"")))</x:f>
      </x:c>
      <x:c r="M108" s="11" t="str">
        <x:f>IF(A108="","",IF(B108="",0,IF(COUNTIFS($A$8:$A$107,B108)=1,IF(ISNUMBER(VLOOKUP(B108,$A$8:$N$107,13,FALSE)),VLOOKUP(B108,$A$8:$N$107,13,FALSE)+1,""),"")))</x:f>
      </x:c>
      <x:c r="N108" s="9" t="str">
        <x:f>IF(A108="","",IF(COUNTIFS('Layout'!$A$8:$A$207,A108)&lt;&gt;1,"Duplicate role",IF(AND(B108&lt;&gt;"",COUNTIFS($A$8:$A$107,B108)&lt;&gt;1),"Parent must appear above child",IF(COUNTIFS('Definitions'!$A$8:$A$207,G108)&lt;&gt;1,"Unknown / duplicate definition",IF(AND(B108="",OR(C108="",D108&lt;&gt;"",AND(F108&lt;&gt;"Build",F108&lt;&gt;"Spares"))),"Set root definition and purpose",IF(AND(B108&lt;&gt;"",COUNTIFS('Recipes'!$A$8:$A$207,D108)&lt;&gt;1),"Choose a unique recipe line",IF(AND(B108&lt;&gt;"",OR(C108&lt;&gt;"",F108&lt;&gt;"")),"Clear child root-only inputs",IF(AND(B108&lt;&gt;"",COUNTIFS($A$8:$A$107,B108)=1,COUNTIFS('Recipes'!$A$8:$A$207,D108)=1),IF(VLOOKUP(D108,'Recipes'!$A$8:$F$207,2,FALSE)&lt;&gt;VLOOKUP(B108,$A$8:$N$107,7,FALSE),"Recipe parent mismatch",IF(COUNTIFS($B$8:$B$207,B108,$D$8:$D$207,D108)&lt;&gt;1,"Duplicate child recipe",IF(OR(NOT(ISNUMBER(J108)),J108&lt;0,MOD(J108,1)&lt;&gt;0),"Set nonnegative whole qty",IF(COUNTIFS('Recipes'!$B$8:$B$207,G108)&lt;&gt;COUNTIFS($B$8:$B$207,A108,$D$8:$D$207,"&lt;&gt;",$A$8:$A$207,"&lt;&gt;"),"Missing / extra recipe children","OK")))),IF(OR(NOT(ISNUMBER(J108)),J108&lt;0,MOD(J108,1)&lt;&gt;0),"Set nonnegative whole qty",IF(COUNTIFS('Recipes'!$B$8:$B$207,G108)&lt;&gt;COUNTIFS($B$8:$B$207,A108,$D$8:$D$207,"&lt;&gt;",$A$8:$A$207,"&lt;&gt;"),"Missing / extra recipe children","OK"))))))))))</x:f>
      </x:c>
    </x:row>
    <x:row r="109" ht="22" customHeight="1">
      <x:c r="A109" s="10"/>
      <x:c r="B109" s="10"/>
      <x:c r="C109" s="10"/>
      <x:c r="D109" s="10"/>
      <x:c r="E109" s="12"/>
      <x:c r="F109" s="10"/>
      <x:c r="G109" s="9" t="str">
        <x:f>IF(A109="","",IF(B109="",C109,IF(COUNTIFS('Recipes'!$A$8:$A$207,D109)=1,VLOOKUP(D109,'Recipes'!$A$8:$F$207,3,FALSE),"")))</x:f>
      </x:c>
      <x:c r="H109" s="9" t="str">
        <x:f>IF(A109="","",IF(COUNTIFS('Definitions'!$A$8:$A$207,G109)=1,REPT("    ",IF(ISNUMBER(M109),M109,0))&amp;VLOOKUP(G109,'Definitions'!$A$8:$J$207,2,FALSE),"Unknown definition"))</x:f>
      </x:c>
      <x:c r="I109" s="11" t="str">
        <x:f>IF(A109="","",IF(B109="",1,IF(COUNTIFS('Recipes'!$A$8:$A$207,D109)=1,VLOOKUP(D109,'Recipes'!$A$8:$F$207,4,FALSE),"")))</x:f>
      </x:c>
      <x:c r="J109" s="11" t="str">
        <x:f>IF(A109="","",IF(ISBLANK(E109),I109,E109))</x:f>
      </x:c>
      <x:c r="K109" s="11" t="str">
        <x:f>IF(A109="","",IF(NOT(ISNUMBER(J109)),"",IF(B109="",J109,IF(COUNTIFS($A$8:$A$108,B109)=1,IF(ISNUMBER(VLOOKUP(B109,$A$8:$N$108,11,FALSE)),J109*VLOOKUP(B109,$A$8:$N$108,11,FALSE),""),""))))</x:f>
      </x:c>
      <x:c r="L109" s="9" t="str">
        <x:f>IF(A109="","",IF(B109="",F109,IF(COUNTIFS($A$8:$A$108,B109)=1,VLOOKUP(B109,$A$8:$N$108,12,FALSE),"")))</x:f>
      </x:c>
      <x:c r="M109" s="11" t="str">
        <x:f>IF(A109="","",IF(B109="",0,IF(COUNTIFS($A$8:$A$108,B109)=1,IF(ISNUMBER(VLOOKUP(B109,$A$8:$N$108,13,FALSE)),VLOOKUP(B109,$A$8:$N$108,13,FALSE)+1,""),"")))</x:f>
      </x:c>
      <x:c r="N109" s="9" t="str">
        <x:f>IF(A109="","",IF(COUNTIFS('Layout'!$A$8:$A$207,A109)&lt;&gt;1,"Duplicate role",IF(AND(B109&lt;&gt;"",COUNTIFS($A$8:$A$108,B109)&lt;&gt;1),"Parent must appear above child",IF(COUNTIFS('Definitions'!$A$8:$A$207,G109)&lt;&gt;1,"Unknown / duplicate definition",IF(AND(B109="",OR(C109="",D109&lt;&gt;"",AND(F109&lt;&gt;"Build",F109&lt;&gt;"Spares"))),"Set root definition and purpose",IF(AND(B109&lt;&gt;"",COUNTIFS('Recipes'!$A$8:$A$207,D109)&lt;&gt;1),"Choose a unique recipe line",IF(AND(B109&lt;&gt;"",OR(C109&lt;&gt;"",F109&lt;&gt;"")),"Clear child root-only inputs",IF(AND(B109&lt;&gt;"",COUNTIFS($A$8:$A$108,B109)=1,COUNTIFS('Recipes'!$A$8:$A$207,D109)=1),IF(VLOOKUP(D109,'Recipes'!$A$8:$F$207,2,FALSE)&lt;&gt;VLOOKUP(B109,$A$8:$N$108,7,FALSE),"Recipe parent mismatch",IF(COUNTIFS($B$8:$B$207,B109,$D$8:$D$207,D109)&lt;&gt;1,"Duplicate child recipe",IF(OR(NOT(ISNUMBER(J109)),J109&lt;0,MOD(J109,1)&lt;&gt;0),"Set nonnegative whole qty",IF(COUNTIFS('Recipes'!$B$8:$B$207,G109)&lt;&gt;COUNTIFS($B$8:$B$207,A109,$D$8:$D$207,"&lt;&gt;",$A$8:$A$207,"&lt;&gt;"),"Missing / extra recipe children","OK")))),IF(OR(NOT(ISNUMBER(J109)),J109&lt;0,MOD(J109,1)&lt;&gt;0),"Set nonnegative whole qty",IF(COUNTIFS('Recipes'!$B$8:$B$207,G109)&lt;&gt;COUNTIFS($B$8:$B$207,A109,$D$8:$D$207,"&lt;&gt;",$A$8:$A$207,"&lt;&gt;"),"Missing / extra recipe children","OK"))))))))))</x:f>
      </x:c>
    </x:row>
    <x:row r="110" ht="22" customHeight="1">
      <x:c r="A110" s="10"/>
      <x:c r="B110" s="10"/>
      <x:c r="C110" s="10"/>
      <x:c r="D110" s="10"/>
      <x:c r="E110" s="12"/>
      <x:c r="F110" s="10"/>
      <x:c r="G110" s="9" t="str">
        <x:f>IF(A110="","",IF(B110="",C110,IF(COUNTIFS('Recipes'!$A$8:$A$207,D110)=1,VLOOKUP(D110,'Recipes'!$A$8:$F$207,3,FALSE),"")))</x:f>
      </x:c>
      <x:c r="H110" s="9" t="str">
        <x:f>IF(A110="","",IF(COUNTIFS('Definitions'!$A$8:$A$207,G110)=1,REPT("    ",IF(ISNUMBER(M110),M110,0))&amp;VLOOKUP(G110,'Definitions'!$A$8:$J$207,2,FALSE),"Unknown definition"))</x:f>
      </x:c>
      <x:c r="I110" s="11" t="str">
        <x:f>IF(A110="","",IF(B110="",1,IF(COUNTIFS('Recipes'!$A$8:$A$207,D110)=1,VLOOKUP(D110,'Recipes'!$A$8:$F$207,4,FALSE),"")))</x:f>
      </x:c>
      <x:c r="J110" s="11" t="str">
        <x:f>IF(A110="","",IF(ISBLANK(E110),I110,E110))</x:f>
      </x:c>
      <x:c r="K110" s="11" t="str">
        <x:f>IF(A110="","",IF(NOT(ISNUMBER(J110)),"",IF(B110="",J110,IF(COUNTIFS($A$8:$A$109,B110)=1,IF(ISNUMBER(VLOOKUP(B110,$A$8:$N$109,11,FALSE)),J110*VLOOKUP(B110,$A$8:$N$109,11,FALSE),""),""))))</x:f>
      </x:c>
      <x:c r="L110" s="9" t="str">
        <x:f>IF(A110="","",IF(B110="",F110,IF(COUNTIFS($A$8:$A$109,B110)=1,VLOOKUP(B110,$A$8:$N$109,12,FALSE),"")))</x:f>
      </x:c>
      <x:c r="M110" s="11" t="str">
        <x:f>IF(A110="","",IF(B110="",0,IF(COUNTIFS($A$8:$A$109,B110)=1,IF(ISNUMBER(VLOOKUP(B110,$A$8:$N$109,13,FALSE)),VLOOKUP(B110,$A$8:$N$109,13,FALSE)+1,""),"")))</x:f>
      </x:c>
      <x:c r="N110" s="9" t="str">
        <x:f>IF(A110="","",IF(COUNTIFS('Layout'!$A$8:$A$207,A110)&lt;&gt;1,"Duplicate role",IF(AND(B110&lt;&gt;"",COUNTIFS($A$8:$A$109,B110)&lt;&gt;1),"Parent must appear above child",IF(COUNTIFS('Definitions'!$A$8:$A$207,G110)&lt;&gt;1,"Unknown / duplicate definition",IF(AND(B110="",OR(C110="",D110&lt;&gt;"",AND(F110&lt;&gt;"Build",F110&lt;&gt;"Spares"))),"Set root definition and purpose",IF(AND(B110&lt;&gt;"",COUNTIFS('Recipes'!$A$8:$A$207,D110)&lt;&gt;1),"Choose a unique recipe line",IF(AND(B110&lt;&gt;"",OR(C110&lt;&gt;"",F110&lt;&gt;"")),"Clear child root-only inputs",IF(AND(B110&lt;&gt;"",COUNTIFS($A$8:$A$109,B110)=1,COUNTIFS('Recipes'!$A$8:$A$207,D110)=1),IF(VLOOKUP(D110,'Recipes'!$A$8:$F$207,2,FALSE)&lt;&gt;VLOOKUP(B110,$A$8:$N$109,7,FALSE),"Recipe parent mismatch",IF(COUNTIFS($B$8:$B$207,B110,$D$8:$D$207,D110)&lt;&gt;1,"Duplicate child recipe",IF(OR(NOT(ISNUMBER(J110)),J110&lt;0,MOD(J110,1)&lt;&gt;0),"Set nonnegative whole qty",IF(COUNTIFS('Recipes'!$B$8:$B$207,G110)&lt;&gt;COUNTIFS($B$8:$B$207,A110,$D$8:$D$207,"&lt;&gt;",$A$8:$A$207,"&lt;&gt;"),"Missing / extra recipe children","OK")))),IF(OR(NOT(ISNUMBER(J110)),J110&lt;0,MOD(J110,1)&lt;&gt;0),"Set nonnegative whole qty",IF(COUNTIFS('Recipes'!$B$8:$B$207,G110)&lt;&gt;COUNTIFS($B$8:$B$207,A110,$D$8:$D$207,"&lt;&gt;",$A$8:$A$207,"&lt;&gt;"),"Missing / extra recipe children","OK"))))))))))</x:f>
      </x:c>
    </x:row>
    <x:row r="111" ht="22" customHeight="1">
      <x:c r="A111" s="10"/>
      <x:c r="B111" s="10"/>
      <x:c r="C111" s="10"/>
      <x:c r="D111" s="10"/>
      <x:c r="E111" s="12"/>
      <x:c r="F111" s="10"/>
      <x:c r="G111" s="9" t="str">
        <x:f>IF(A111="","",IF(B111="",C111,IF(COUNTIFS('Recipes'!$A$8:$A$207,D111)=1,VLOOKUP(D111,'Recipes'!$A$8:$F$207,3,FALSE),"")))</x:f>
      </x:c>
      <x:c r="H111" s="9" t="str">
        <x:f>IF(A111="","",IF(COUNTIFS('Definitions'!$A$8:$A$207,G111)=1,REPT("    ",IF(ISNUMBER(M111),M111,0))&amp;VLOOKUP(G111,'Definitions'!$A$8:$J$207,2,FALSE),"Unknown definition"))</x:f>
      </x:c>
      <x:c r="I111" s="11" t="str">
        <x:f>IF(A111="","",IF(B111="",1,IF(COUNTIFS('Recipes'!$A$8:$A$207,D111)=1,VLOOKUP(D111,'Recipes'!$A$8:$F$207,4,FALSE),"")))</x:f>
      </x:c>
      <x:c r="J111" s="11" t="str">
        <x:f>IF(A111="","",IF(ISBLANK(E111),I111,E111))</x:f>
      </x:c>
      <x:c r="K111" s="11" t="str">
        <x:f>IF(A111="","",IF(NOT(ISNUMBER(J111)),"",IF(B111="",J111,IF(COUNTIFS($A$8:$A$110,B111)=1,IF(ISNUMBER(VLOOKUP(B111,$A$8:$N$110,11,FALSE)),J111*VLOOKUP(B111,$A$8:$N$110,11,FALSE),""),""))))</x:f>
      </x:c>
      <x:c r="L111" s="9" t="str">
        <x:f>IF(A111="","",IF(B111="",F111,IF(COUNTIFS($A$8:$A$110,B111)=1,VLOOKUP(B111,$A$8:$N$110,12,FALSE),"")))</x:f>
      </x:c>
      <x:c r="M111" s="11" t="str">
        <x:f>IF(A111="","",IF(B111="",0,IF(COUNTIFS($A$8:$A$110,B111)=1,IF(ISNUMBER(VLOOKUP(B111,$A$8:$N$110,13,FALSE)),VLOOKUP(B111,$A$8:$N$110,13,FALSE)+1,""),"")))</x:f>
      </x:c>
      <x:c r="N111" s="9" t="str">
        <x:f>IF(A111="","",IF(COUNTIFS('Layout'!$A$8:$A$207,A111)&lt;&gt;1,"Duplicate role",IF(AND(B111&lt;&gt;"",COUNTIFS($A$8:$A$110,B111)&lt;&gt;1),"Parent must appear above child",IF(COUNTIFS('Definitions'!$A$8:$A$207,G111)&lt;&gt;1,"Unknown / duplicate definition",IF(AND(B111="",OR(C111="",D111&lt;&gt;"",AND(F111&lt;&gt;"Build",F111&lt;&gt;"Spares"))),"Set root definition and purpose",IF(AND(B111&lt;&gt;"",COUNTIFS('Recipes'!$A$8:$A$207,D111)&lt;&gt;1),"Choose a unique recipe line",IF(AND(B111&lt;&gt;"",OR(C111&lt;&gt;"",F111&lt;&gt;"")),"Clear child root-only inputs",IF(AND(B111&lt;&gt;"",COUNTIFS($A$8:$A$110,B111)=1,COUNTIFS('Recipes'!$A$8:$A$207,D111)=1),IF(VLOOKUP(D111,'Recipes'!$A$8:$F$207,2,FALSE)&lt;&gt;VLOOKUP(B111,$A$8:$N$110,7,FALSE),"Recipe parent mismatch",IF(COUNTIFS($B$8:$B$207,B111,$D$8:$D$207,D111)&lt;&gt;1,"Duplicate child recipe",IF(OR(NOT(ISNUMBER(J111)),J111&lt;0,MOD(J111,1)&lt;&gt;0),"Set nonnegative whole qty",IF(COUNTIFS('Recipes'!$B$8:$B$207,G111)&lt;&gt;COUNTIFS($B$8:$B$207,A111,$D$8:$D$207,"&lt;&gt;",$A$8:$A$207,"&lt;&gt;"),"Missing / extra recipe children","OK")))),IF(OR(NOT(ISNUMBER(J111)),J111&lt;0,MOD(J111,1)&lt;&gt;0),"Set nonnegative whole qty",IF(COUNTIFS('Recipes'!$B$8:$B$207,G111)&lt;&gt;COUNTIFS($B$8:$B$207,A111,$D$8:$D$207,"&lt;&gt;",$A$8:$A$207,"&lt;&gt;"),"Missing / extra recipe children","OK"))))))))))</x:f>
      </x:c>
    </x:row>
    <x:row r="112" ht="22" customHeight="1">
      <x:c r="A112" s="10"/>
      <x:c r="B112" s="10"/>
      <x:c r="C112" s="10"/>
      <x:c r="D112" s="10"/>
      <x:c r="E112" s="12"/>
      <x:c r="F112" s="10"/>
      <x:c r="G112" s="9" t="str">
        <x:f>IF(A112="","",IF(B112="",C112,IF(COUNTIFS('Recipes'!$A$8:$A$207,D112)=1,VLOOKUP(D112,'Recipes'!$A$8:$F$207,3,FALSE),"")))</x:f>
      </x:c>
      <x:c r="H112" s="9" t="str">
        <x:f>IF(A112="","",IF(COUNTIFS('Definitions'!$A$8:$A$207,G112)=1,REPT("    ",IF(ISNUMBER(M112),M112,0))&amp;VLOOKUP(G112,'Definitions'!$A$8:$J$207,2,FALSE),"Unknown definition"))</x:f>
      </x:c>
      <x:c r="I112" s="11" t="str">
        <x:f>IF(A112="","",IF(B112="",1,IF(COUNTIFS('Recipes'!$A$8:$A$207,D112)=1,VLOOKUP(D112,'Recipes'!$A$8:$F$207,4,FALSE),"")))</x:f>
      </x:c>
      <x:c r="J112" s="11" t="str">
        <x:f>IF(A112="","",IF(ISBLANK(E112),I112,E112))</x:f>
      </x:c>
      <x:c r="K112" s="11" t="str">
        <x:f>IF(A112="","",IF(NOT(ISNUMBER(J112)),"",IF(B112="",J112,IF(COUNTIFS($A$8:$A$111,B112)=1,IF(ISNUMBER(VLOOKUP(B112,$A$8:$N$111,11,FALSE)),J112*VLOOKUP(B112,$A$8:$N$111,11,FALSE),""),""))))</x:f>
      </x:c>
      <x:c r="L112" s="9" t="str">
        <x:f>IF(A112="","",IF(B112="",F112,IF(COUNTIFS($A$8:$A$111,B112)=1,VLOOKUP(B112,$A$8:$N$111,12,FALSE),"")))</x:f>
      </x:c>
      <x:c r="M112" s="11" t="str">
        <x:f>IF(A112="","",IF(B112="",0,IF(COUNTIFS($A$8:$A$111,B112)=1,IF(ISNUMBER(VLOOKUP(B112,$A$8:$N$111,13,FALSE)),VLOOKUP(B112,$A$8:$N$111,13,FALSE)+1,""),"")))</x:f>
      </x:c>
      <x:c r="N112" s="9" t="str">
        <x:f>IF(A112="","",IF(COUNTIFS('Layout'!$A$8:$A$207,A112)&lt;&gt;1,"Duplicate role",IF(AND(B112&lt;&gt;"",COUNTIFS($A$8:$A$111,B112)&lt;&gt;1),"Parent must appear above child",IF(COUNTIFS('Definitions'!$A$8:$A$207,G112)&lt;&gt;1,"Unknown / duplicate definition",IF(AND(B112="",OR(C112="",D112&lt;&gt;"",AND(F112&lt;&gt;"Build",F112&lt;&gt;"Spares"))),"Set root definition and purpose",IF(AND(B112&lt;&gt;"",COUNTIFS('Recipes'!$A$8:$A$207,D112)&lt;&gt;1),"Choose a unique recipe line",IF(AND(B112&lt;&gt;"",OR(C112&lt;&gt;"",F112&lt;&gt;"")),"Clear child root-only inputs",IF(AND(B112&lt;&gt;"",COUNTIFS($A$8:$A$111,B112)=1,COUNTIFS('Recipes'!$A$8:$A$207,D112)=1),IF(VLOOKUP(D112,'Recipes'!$A$8:$F$207,2,FALSE)&lt;&gt;VLOOKUP(B112,$A$8:$N$111,7,FALSE),"Recipe parent mismatch",IF(COUNTIFS($B$8:$B$207,B112,$D$8:$D$207,D112)&lt;&gt;1,"Duplicate child recipe",IF(OR(NOT(ISNUMBER(J112)),J112&lt;0,MOD(J112,1)&lt;&gt;0),"Set nonnegative whole qty",IF(COUNTIFS('Recipes'!$B$8:$B$207,G112)&lt;&gt;COUNTIFS($B$8:$B$207,A112,$D$8:$D$207,"&lt;&gt;",$A$8:$A$207,"&lt;&gt;"),"Missing / extra recipe children","OK")))),IF(OR(NOT(ISNUMBER(J112)),J112&lt;0,MOD(J112,1)&lt;&gt;0),"Set nonnegative whole qty",IF(COUNTIFS('Recipes'!$B$8:$B$207,G112)&lt;&gt;COUNTIFS($B$8:$B$207,A112,$D$8:$D$207,"&lt;&gt;",$A$8:$A$207,"&lt;&gt;"),"Missing / extra recipe children","OK"))))))))))</x:f>
      </x:c>
    </x:row>
    <x:row r="113" ht="22" customHeight="1">
      <x:c r="A113" s="10"/>
      <x:c r="B113" s="10"/>
      <x:c r="C113" s="10"/>
      <x:c r="D113" s="10"/>
      <x:c r="E113" s="12"/>
      <x:c r="F113" s="10"/>
      <x:c r="G113" s="9" t="str">
        <x:f>IF(A113="","",IF(B113="",C113,IF(COUNTIFS('Recipes'!$A$8:$A$207,D113)=1,VLOOKUP(D113,'Recipes'!$A$8:$F$207,3,FALSE),"")))</x:f>
      </x:c>
      <x:c r="H113" s="9" t="str">
        <x:f>IF(A113="","",IF(COUNTIFS('Definitions'!$A$8:$A$207,G113)=1,REPT("    ",IF(ISNUMBER(M113),M113,0))&amp;VLOOKUP(G113,'Definitions'!$A$8:$J$207,2,FALSE),"Unknown definition"))</x:f>
      </x:c>
      <x:c r="I113" s="11" t="str">
        <x:f>IF(A113="","",IF(B113="",1,IF(COUNTIFS('Recipes'!$A$8:$A$207,D113)=1,VLOOKUP(D113,'Recipes'!$A$8:$F$207,4,FALSE),"")))</x:f>
      </x:c>
      <x:c r="J113" s="11" t="str">
        <x:f>IF(A113="","",IF(ISBLANK(E113),I113,E113))</x:f>
      </x:c>
      <x:c r="K113" s="11" t="str">
        <x:f>IF(A113="","",IF(NOT(ISNUMBER(J113)),"",IF(B113="",J113,IF(COUNTIFS($A$8:$A$112,B113)=1,IF(ISNUMBER(VLOOKUP(B113,$A$8:$N$112,11,FALSE)),J113*VLOOKUP(B113,$A$8:$N$112,11,FALSE),""),""))))</x:f>
      </x:c>
      <x:c r="L113" s="9" t="str">
        <x:f>IF(A113="","",IF(B113="",F113,IF(COUNTIFS($A$8:$A$112,B113)=1,VLOOKUP(B113,$A$8:$N$112,12,FALSE),"")))</x:f>
      </x:c>
      <x:c r="M113" s="11" t="str">
        <x:f>IF(A113="","",IF(B113="",0,IF(COUNTIFS($A$8:$A$112,B113)=1,IF(ISNUMBER(VLOOKUP(B113,$A$8:$N$112,13,FALSE)),VLOOKUP(B113,$A$8:$N$112,13,FALSE)+1,""),"")))</x:f>
      </x:c>
      <x:c r="N113" s="9" t="str">
        <x:f>IF(A113="","",IF(COUNTIFS('Layout'!$A$8:$A$207,A113)&lt;&gt;1,"Duplicate role",IF(AND(B113&lt;&gt;"",COUNTIFS($A$8:$A$112,B113)&lt;&gt;1),"Parent must appear above child",IF(COUNTIFS('Definitions'!$A$8:$A$207,G113)&lt;&gt;1,"Unknown / duplicate definition",IF(AND(B113="",OR(C113="",D113&lt;&gt;"",AND(F113&lt;&gt;"Build",F113&lt;&gt;"Spares"))),"Set root definition and purpose",IF(AND(B113&lt;&gt;"",COUNTIFS('Recipes'!$A$8:$A$207,D113)&lt;&gt;1),"Choose a unique recipe line",IF(AND(B113&lt;&gt;"",OR(C113&lt;&gt;"",F113&lt;&gt;"")),"Clear child root-only inputs",IF(AND(B113&lt;&gt;"",COUNTIFS($A$8:$A$112,B113)=1,COUNTIFS('Recipes'!$A$8:$A$207,D113)=1),IF(VLOOKUP(D113,'Recipes'!$A$8:$F$207,2,FALSE)&lt;&gt;VLOOKUP(B113,$A$8:$N$112,7,FALSE),"Recipe parent mismatch",IF(COUNTIFS($B$8:$B$207,B113,$D$8:$D$207,D113)&lt;&gt;1,"Duplicate child recipe",IF(OR(NOT(ISNUMBER(J113)),J113&lt;0,MOD(J113,1)&lt;&gt;0),"Set nonnegative whole qty",IF(COUNTIFS('Recipes'!$B$8:$B$207,G113)&lt;&gt;COUNTIFS($B$8:$B$207,A113,$D$8:$D$207,"&lt;&gt;",$A$8:$A$207,"&lt;&gt;"),"Missing / extra recipe children","OK")))),IF(OR(NOT(ISNUMBER(J113)),J113&lt;0,MOD(J113,1)&lt;&gt;0),"Set nonnegative whole qty",IF(COUNTIFS('Recipes'!$B$8:$B$207,G113)&lt;&gt;COUNTIFS($B$8:$B$207,A113,$D$8:$D$207,"&lt;&gt;",$A$8:$A$207,"&lt;&gt;"),"Missing / extra recipe children","OK"))))))))))</x:f>
      </x:c>
    </x:row>
    <x:row r="114" ht="22" customHeight="1">
      <x:c r="A114" s="10"/>
      <x:c r="B114" s="10"/>
      <x:c r="C114" s="10"/>
      <x:c r="D114" s="10"/>
      <x:c r="E114" s="12"/>
      <x:c r="F114" s="10"/>
      <x:c r="G114" s="9" t="str">
        <x:f>IF(A114="","",IF(B114="",C114,IF(COUNTIFS('Recipes'!$A$8:$A$207,D114)=1,VLOOKUP(D114,'Recipes'!$A$8:$F$207,3,FALSE),"")))</x:f>
      </x:c>
      <x:c r="H114" s="9" t="str">
        <x:f>IF(A114="","",IF(COUNTIFS('Definitions'!$A$8:$A$207,G114)=1,REPT("    ",IF(ISNUMBER(M114),M114,0))&amp;VLOOKUP(G114,'Definitions'!$A$8:$J$207,2,FALSE),"Unknown definition"))</x:f>
      </x:c>
      <x:c r="I114" s="11" t="str">
        <x:f>IF(A114="","",IF(B114="",1,IF(COUNTIFS('Recipes'!$A$8:$A$207,D114)=1,VLOOKUP(D114,'Recipes'!$A$8:$F$207,4,FALSE),"")))</x:f>
      </x:c>
      <x:c r="J114" s="11" t="str">
        <x:f>IF(A114="","",IF(ISBLANK(E114),I114,E114))</x:f>
      </x:c>
      <x:c r="K114" s="11" t="str">
        <x:f>IF(A114="","",IF(NOT(ISNUMBER(J114)),"",IF(B114="",J114,IF(COUNTIFS($A$8:$A$113,B114)=1,IF(ISNUMBER(VLOOKUP(B114,$A$8:$N$113,11,FALSE)),J114*VLOOKUP(B114,$A$8:$N$113,11,FALSE),""),""))))</x:f>
      </x:c>
      <x:c r="L114" s="9" t="str">
        <x:f>IF(A114="","",IF(B114="",F114,IF(COUNTIFS($A$8:$A$113,B114)=1,VLOOKUP(B114,$A$8:$N$113,12,FALSE),"")))</x:f>
      </x:c>
      <x:c r="M114" s="11" t="str">
        <x:f>IF(A114="","",IF(B114="",0,IF(COUNTIFS($A$8:$A$113,B114)=1,IF(ISNUMBER(VLOOKUP(B114,$A$8:$N$113,13,FALSE)),VLOOKUP(B114,$A$8:$N$113,13,FALSE)+1,""),"")))</x:f>
      </x:c>
      <x:c r="N114" s="9" t="str">
        <x:f>IF(A114="","",IF(COUNTIFS('Layout'!$A$8:$A$207,A114)&lt;&gt;1,"Duplicate role",IF(AND(B114&lt;&gt;"",COUNTIFS($A$8:$A$113,B114)&lt;&gt;1),"Parent must appear above child",IF(COUNTIFS('Definitions'!$A$8:$A$207,G114)&lt;&gt;1,"Unknown / duplicate definition",IF(AND(B114="",OR(C114="",D114&lt;&gt;"",AND(F114&lt;&gt;"Build",F114&lt;&gt;"Spares"))),"Set root definition and purpose",IF(AND(B114&lt;&gt;"",COUNTIFS('Recipes'!$A$8:$A$207,D114)&lt;&gt;1),"Choose a unique recipe line",IF(AND(B114&lt;&gt;"",OR(C114&lt;&gt;"",F114&lt;&gt;"")),"Clear child root-only inputs",IF(AND(B114&lt;&gt;"",COUNTIFS($A$8:$A$113,B114)=1,COUNTIFS('Recipes'!$A$8:$A$207,D114)=1),IF(VLOOKUP(D114,'Recipes'!$A$8:$F$207,2,FALSE)&lt;&gt;VLOOKUP(B114,$A$8:$N$113,7,FALSE),"Recipe parent mismatch",IF(COUNTIFS($B$8:$B$207,B114,$D$8:$D$207,D114)&lt;&gt;1,"Duplicate child recipe",IF(OR(NOT(ISNUMBER(J114)),J114&lt;0,MOD(J114,1)&lt;&gt;0),"Set nonnegative whole qty",IF(COUNTIFS('Recipes'!$B$8:$B$207,G114)&lt;&gt;COUNTIFS($B$8:$B$207,A114,$D$8:$D$207,"&lt;&gt;",$A$8:$A$207,"&lt;&gt;"),"Missing / extra recipe children","OK")))),IF(OR(NOT(ISNUMBER(J114)),J114&lt;0,MOD(J114,1)&lt;&gt;0),"Set nonnegative whole qty",IF(COUNTIFS('Recipes'!$B$8:$B$207,G114)&lt;&gt;COUNTIFS($B$8:$B$207,A114,$D$8:$D$207,"&lt;&gt;",$A$8:$A$207,"&lt;&gt;"),"Missing / extra recipe children","OK"))))))))))</x:f>
      </x:c>
    </x:row>
    <x:row r="115" ht="22" customHeight="1">
      <x:c r="A115" s="10"/>
      <x:c r="B115" s="10"/>
      <x:c r="C115" s="10"/>
      <x:c r="D115" s="10"/>
      <x:c r="E115" s="12"/>
      <x:c r="F115" s="10"/>
      <x:c r="G115" s="9" t="str">
        <x:f>IF(A115="","",IF(B115="",C115,IF(COUNTIFS('Recipes'!$A$8:$A$207,D115)=1,VLOOKUP(D115,'Recipes'!$A$8:$F$207,3,FALSE),"")))</x:f>
      </x:c>
      <x:c r="H115" s="9" t="str">
        <x:f>IF(A115="","",IF(COUNTIFS('Definitions'!$A$8:$A$207,G115)=1,REPT("    ",IF(ISNUMBER(M115),M115,0))&amp;VLOOKUP(G115,'Definitions'!$A$8:$J$207,2,FALSE),"Unknown definition"))</x:f>
      </x:c>
      <x:c r="I115" s="11" t="str">
        <x:f>IF(A115="","",IF(B115="",1,IF(COUNTIFS('Recipes'!$A$8:$A$207,D115)=1,VLOOKUP(D115,'Recipes'!$A$8:$F$207,4,FALSE),"")))</x:f>
      </x:c>
      <x:c r="J115" s="11" t="str">
        <x:f>IF(A115="","",IF(ISBLANK(E115),I115,E115))</x:f>
      </x:c>
      <x:c r="K115" s="11" t="str">
        <x:f>IF(A115="","",IF(NOT(ISNUMBER(J115)),"",IF(B115="",J115,IF(COUNTIFS($A$8:$A$114,B115)=1,IF(ISNUMBER(VLOOKUP(B115,$A$8:$N$114,11,FALSE)),J115*VLOOKUP(B115,$A$8:$N$114,11,FALSE),""),""))))</x:f>
      </x:c>
      <x:c r="L115" s="9" t="str">
        <x:f>IF(A115="","",IF(B115="",F115,IF(COUNTIFS($A$8:$A$114,B115)=1,VLOOKUP(B115,$A$8:$N$114,12,FALSE),"")))</x:f>
      </x:c>
      <x:c r="M115" s="11" t="str">
        <x:f>IF(A115="","",IF(B115="",0,IF(COUNTIFS($A$8:$A$114,B115)=1,IF(ISNUMBER(VLOOKUP(B115,$A$8:$N$114,13,FALSE)),VLOOKUP(B115,$A$8:$N$114,13,FALSE)+1,""),"")))</x:f>
      </x:c>
      <x:c r="N115" s="9" t="str">
        <x:f>IF(A115="","",IF(COUNTIFS('Layout'!$A$8:$A$207,A115)&lt;&gt;1,"Duplicate role",IF(AND(B115&lt;&gt;"",COUNTIFS($A$8:$A$114,B115)&lt;&gt;1),"Parent must appear above child",IF(COUNTIFS('Definitions'!$A$8:$A$207,G115)&lt;&gt;1,"Unknown / duplicate definition",IF(AND(B115="",OR(C115="",D115&lt;&gt;"",AND(F115&lt;&gt;"Build",F115&lt;&gt;"Spares"))),"Set root definition and purpose",IF(AND(B115&lt;&gt;"",COUNTIFS('Recipes'!$A$8:$A$207,D115)&lt;&gt;1),"Choose a unique recipe line",IF(AND(B115&lt;&gt;"",OR(C115&lt;&gt;"",F115&lt;&gt;"")),"Clear child root-only inputs",IF(AND(B115&lt;&gt;"",COUNTIFS($A$8:$A$114,B115)=1,COUNTIFS('Recipes'!$A$8:$A$207,D115)=1),IF(VLOOKUP(D115,'Recipes'!$A$8:$F$207,2,FALSE)&lt;&gt;VLOOKUP(B115,$A$8:$N$114,7,FALSE),"Recipe parent mismatch",IF(COUNTIFS($B$8:$B$207,B115,$D$8:$D$207,D115)&lt;&gt;1,"Duplicate child recipe",IF(OR(NOT(ISNUMBER(J115)),J115&lt;0,MOD(J115,1)&lt;&gt;0),"Set nonnegative whole qty",IF(COUNTIFS('Recipes'!$B$8:$B$207,G115)&lt;&gt;COUNTIFS($B$8:$B$207,A115,$D$8:$D$207,"&lt;&gt;",$A$8:$A$207,"&lt;&gt;"),"Missing / extra recipe children","OK")))),IF(OR(NOT(ISNUMBER(J115)),J115&lt;0,MOD(J115,1)&lt;&gt;0),"Set nonnegative whole qty",IF(COUNTIFS('Recipes'!$B$8:$B$207,G115)&lt;&gt;COUNTIFS($B$8:$B$207,A115,$D$8:$D$207,"&lt;&gt;",$A$8:$A$207,"&lt;&gt;"),"Missing / extra recipe children","OK"))))))))))</x:f>
      </x:c>
    </x:row>
    <x:row r="116" ht="22" customHeight="1">
      <x:c r="A116" s="10"/>
      <x:c r="B116" s="10"/>
      <x:c r="C116" s="10"/>
      <x:c r="D116" s="10"/>
      <x:c r="E116" s="12"/>
      <x:c r="F116" s="10"/>
      <x:c r="G116" s="9" t="str">
        <x:f>IF(A116="","",IF(B116="",C116,IF(COUNTIFS('Recipes'!$A$8:$A$207,D116)=1,VLOOKUP(D116,'Recipes'!$A$8:$F$207,3,FALSE),"")))</x:f>
      </x:c>
      <x:c r="H116" s="9" t="str">
        <x:f>IF(A116="","",IF(COUNTIFS('Definitions'!$A$8:$A$207,G116)=1,REPT("    ",IF(ISNUMBER(M116),M116,0))&amp;VLOOKUP(G116,'Definitions'!$A$8:$J$207,2,FALSE),"Unknown definition"))</x:f>
      </x:c>
      <x:c r="I116" s="11" t="str">
        <x:f>IF(A116="","",IF(B116="",1,IF(COUNTIFS('Recipes'!$A$8:$A$207,D116)=1,VLOOKUP(D116,'Recipes'!$A$8:$F$207,4,FALSE),"")))</x:f>
      </x:c>
      <x:c r="J116" s="11" t="str">
        <x:f>IF(A116="","",IF(ISBLANK(E116),I116,E116))</x:f>
      </x:c>
      <x:c r="K116" s="11" t="str">
        <x:f>IF(A116="","",IF(NOT(ISNUMBER(J116)),"",IF(B116="",J116,IF(COUNTIFS($A$8:$A$115,B116)=1,IF(ISNUMBER(VLOOKUP(B116,$A$8:$N$115,11,FALSE)),J116*VLOOKUP(B116,$A$8:$N$115,11,FALSE),""),""))))</x:f>
      </x:c>
      <x:c r="L116" s="9" t="str">
        <x:f>IF(A116="","",IF(B116="",F116,IF(COUNTIFS($A$8:$A$115,B116)=1,VLOOKUP(B116,$A$8:$N$115,12,FALSE),"")))</x:f>
      </x:c>
      <x:c r="M116" s="11" t="str">
        <x:f>IF(A116="","",IF(B116="",0,IF(COUNTIFS($A$8:$A$115,B116)=1,IF(ISNUMBER(VLOOKUP(B116,$A$8:$N$115,13,FALSE)),VLOOKUP(B116,$A$8:$N$115,13,FALSE)+1,""),"")))</x:f>
      </x:c>
      <x:c r="N116" s="9" t="str">
        <x:f>IF(A116="","",IF(COUNTIFS('Layout'!$A$8:$A$207,A116)&lt;&gt;1,"Duplicate role",IF(AND(B116&lt;&gt;"",COUNTIFS($A$8:$A$115,B116)&lt;&gt;1),"Parent must appear above child",IF(COUNTIFS('Definitions'!$A$8:$A$207,G116)&lt;&gt;1,"Unknown / duplicate definition",IF(AND(B116="",OR(C116="",D116&lt;&gt;"",AND(F116&lt;&gt;"Build",F116&lt;&gt;"Spares"))),"Set root definition and purpose",IF(AND(B116&lt;&gt;"",COUNTIFS('Recipes'!$A$8:$A$207,D116)&lt;&gt;1),"Choose a unique recipe line",IF(AND(B116&lt;&gt;"",OR(C116&lt;&gt;"",F116&lt;&gt;"")),"Clear child root-only inputs",IF(AND(B116&lt;&gt;"",COUNTIFS($A$8:$A$115,B116)=1,COUNTIFS('Recipes'!$A$8:$A$207,D116)=1),IF(VLOOKUP(D116,'Recipes'!$A$8:$F$207,2,FALSE)&lt;&gt;VLOOKUP(B116,$A$8:$N$115,7,FALSE),"Recipe parent mismatch",IF(COUNTIFS($B$8:$B$207,B116,$D$8:$D$207,D116)&lt;&gt;1,"Duplicate child recipe",IF(OR(NOT(ISNUMBER(J116)),J116&lt;0,MOD(J116,1)&lt;&gt;0),"Set nonnegative whole qty",IF(COUNTIFS('Recipes'!$B$8:$B$207,G116)&lt;&gt;COUNTIFS($B$8:$B$207,A116,$D$8:$D$207,"&lt;&gt;",$A$8:$A$207,"&lt;&gt;"),"Missing / extra recipe children","OK")))),IF(OR(NOT(ISNUMBER(J116)),J116&lt;0,MOD(J116,1)&lt;&gt;0),"Set nonnegative whole qty",IF(COUNTIFS('Recipes'!$B$8:$B$207,G116)&lt;&gt;COUNTIFS($B$8:$B$207,A116,$D$8:$D$207,"&lt;&gt;",$A$8:$A$207,"&lt;&gt;"),"Missing / extra recipe children","OK"))))))))))</x:f>
      </x:c>
    </x:row>
    <x:row r="117" ht="22" customHeight="1">
      <x:c r="A117" s="10"/>
      <x:c r="B117" s="10"/>
      <x:c r="C117" s="10"/>
      <x:c r="D117" s="10"/>
      <x:c r="E117" s="12"/>
      <x:c r="F117" s="10"/>
      <x:c r="G117" s="9" t="str">
        <x:f>IF(A117="","",IF(B117="",C117,IF(COUNTIFS('Recipes'!$A$8:$A$207,D117)=1,VLOOKUP(D117,'Recipes'!$A$8:$F$207,3,FALSE),"")))</x:f>
      </x:c>
      <x:c r="H117" s="9" t="str">
        <x:f>IF(A117="","",IF(COUNTIFS('Definitions'!$A$8:$A$207,G117)=1,REPT("    ",IF(ISNUMBER(M117),M117,0))&amp;VLOOKUP(G117,'Definitions'!$A$8:$J$207,2,FALSE),"Unknown definition"))</x:f>
      </x:c>
      <x:c r="I117" s="11" t="str">
        <x:f>IF(A117="","",IF(B117="",1,IF(COUNTIFS('Recipes'!$A$8:$A$207,D117)=1,VLOOKUP(D117,'Recipes'!$A$8:$F$207,4,FALSE),"")))</x:f>
      </x:c>
      <x:c r="J117" s="11" t="str">
        <x:f>IF(A117="","",IF(ISBLANK(E117),I117,E117))</x:f>
      </x:c>
      <x:c r="K117" s="11" t="str">
        <x:f>IF(A117="","",IF(NOT(ISNUMBER(J117)),"",IF(B117="",J117,IF(COUNTIFS($A$8:$A$116,B117)=1,IF(ISNUMBER(VLOOKUP(B117,$A$8:$N$116,11,FALSE)),J117*VLOOKUP(B117,$A$8:$N$116,11,FALSE),""),""))))</x:f>
      </x:c>
      <x:c r="L117" s="9" t="str">
        <x:f>IF(A117="","",IF(B117="",F117,IF(COUNTIFS($A$8:$A$116,B117)=1,VLOOKUP(B117,$A$8:$N$116,12,FALSE),"")))</x:f>
      </x:c>
      <x:c r="M117" s="11" t="str">
        <x:f>IF(A117="","",IF(B117="",0,IF(COUNTIFS($A$8:$A$116,B117)=1,IF(ISNUMBER(VLOOKUP(B117,$A$8:$N$116,13,FALSE)),VLOOKUP(B117,$A$8:$N$116,13,FALSE)+1,""),"")))</x:f>
      </x:c>
      <x:c r="N117" s="9" t="str">
        <x:f>IF(A117="","",IF(COUNTIFS('Layout'!$A$8:$A$207,A117)&lt;&gt;1,"Duplicate role",IF(AND(B117&lt;&gt;"",COUNTIFS($A$8:$A$116,B117)&lt;&gt;1),"Parent must appear above child",IF(COUNTIFS('Definitions'!$A$8:$A$207,G117)&lt;&gt;1,"Unknown / duplicate definition",IF(AND(B117="",OR(C117="",D117&lt;&gt;"",AND(F117&lt;&gt;"Build",F117&lt;&gt;"Spares"))),"Set root definition and purpose",IF(AND(B117&lt;&gt;"",COUNTIFS('Recipes'!$A$8:$A$207,D117)&lt;&gt;1),"Choose a unique recipe line",IF(AND(B117&lt;&gt;"",OR(C117&lt;&gt;"",F117&lt;&gt;"")),"Clear child root-only inputs",IF(AND(B117&lt;&gt;"",COUNTIFS($A$8:$A$116,B117)=1,COUNTIFS('Recipes'!$A$8:$A$207,D117)=1),IF(VLOOKUP(D117,'Recipes'!$A$8:$F$207,2,FALSE)&lt;&gt;VLOOKUP(B117,$A$8:$N$116,7,FALSE),"Recipe parent mismatch",IF(COUNTIFS($B$8:$B$207,B117,$D$8:$D$207,D117)&lt;&gt;1,"Duplicate child recipe",IF(OR(NOT(ISNUMBER(J117)),J117&lt;0,MOD(J117,1)&lt;&gt;0),"Set nonnegative whole qty",IF(COUNTIFS('Recipes'!$B$8:$B$207,G117)&lt;&gt;COUNTIFS($B$8:$B$207,A117,$D$8:$D$207,"&lt;&gt;",$A$8:$A$207,"&lt;&gt;"),"Missing / extra recipe children","OK")))),IF(OR(NOT(ISNUMBER(J117)),J117&lt;0,MOD(J117,1)&lt;&gt;0),"Set nonnegative whole qty",IF(COUNTIFS('Recipes'!$B$8:$B$207,G117)&lt;&gt;COUNTIFS($B$8:$B$207,A117,$D$8:$D$207,"&lt;&gt;",$A$8:$A$207,"&lt;&gt;"),"Missing / extra recipe children","OK"))))))))))</x:f>
      </x:c>
    </x:row>
    <x:row r="118" ht="22" customHeight="1">
      <x:c r="A118" s="10"/>
      <x:c r="B118" s="10"/>
      <x:c r="C118" s="10"/>
      <x:c r="D118" s="10"/>
      <x:c r="E118" s="12"/>
      <x:c r="F118" s="10"/>
      <x:c r="G118" s="9" t="str">
        <x:f>IF(A118="","",IF(B118="",C118,IF(COUNTIFS('Recipes'!$A$8:$A$207,D118)=1,VLOOKUP(D118,'Recipes'!$A$8:$F$207,3,FALSE),"")))</x:f>
      </x:c>
      <x:c r="H118" s="9" t="str">
        <x:f>IF(A118="","",IF(COUNTIFS('Definitions'!$A$8:$A$207,G118)=1,REPT("    ",IF(ISNUMBER(M118),M118,0))&amp;VLOOKUP(G118,'Definitions'!$A$8:$J$207,2,FALSE),"Unknown definition"))</x:f>
      </x:c>
      <x:c r="I118" s="11" t="str">
        <x:f>IF(A118="","",IF(B118="",1,IF(COUNTIFS('Recipes'!$A$8:$A$207,D118)=1,VLOOKUP(D118,'Recipes'!$A$8:$F$207,4,FALSE),"")))</x:f>
      </x:c>
      <x:c r="J118" s="11" t="str">
        <x:f>IF(A118="","",IF(ISBLANK(E118),I118,E118))</x:f>
      </x:c>
      <x:c r="K118" s="11" t="str">
        <x:f>IF(A118="","",IF(NOT(ISNUMBER(J118)),"",IF(B118="",J118,IF(COUNTIFS($A$8:$A$117,B118)=1,IF(ISNUMBER(VLOOKUP(B118,$A$8:$N$117,11,FALSE)),J118*VLOOKUP(B118,$A$8:$N$117,11,FALSE),""),""))))</x:f>
      </x:c>
      <x:c r="L118" s="9" t="str">
        <x:f>IF(A118="","",IF(B118="",F118,IF(COUNTIFS($A$8:$A$117,B118)=1,VLOOKUP(B118,$A$8:$N$117,12,FALSE),"")))</x:f>
      </x:c>
      <x:c r="M118" s="11" t="str">
        <x:f>IF(A118="","",IF(B118="",0,IF(COUNTIFS($A$8:$A$117,B118)=1,IF(ISNUMBER(VLOOKUP(B118,$A$8:$N$117,13,FALSE)),VLOOKUP(B118,$A$8:$N$117,13,FALSE)+1,""),"")))</x:f>
      </x:c>
      <x:c r="N118" s="9" t="str">
        <x:f>IF(A118="","",IF(COUNTIFS('Layout'!$A$8:$A$207,A118)&lt;&gt;1,"Duplicate role",IF(AND(B118&lt;&gt;"",COUNTIFS($A$8:$A$117,B118)&lt;&gt;1),"Parent must appear above child",IF(COUNTIFS('Definitions'!$A$8:$A$207,G118)&lt;&gt;1,"Unknown / duplicate definition",IF(AND(B118="",OR(C118="",D118&lt;&gt;"",AND(F118&lt;&gt;"Build",F118&lt;&gt;"Spares"))),"Set root definition and purpose",IF(AND(B118&lt;&gt;"",COUNTIFS('Recipes'!$A$8:$A$207,D118)&lt;&gt;1),"Choose a unique recipe line",IF(AND(B118&lt;&gt;"",OR(C118&lt;&gt;"",F118&lt;&gt;"")),"Clear child root-only inputs",IF(AND(B118&lt;&gt;"",COUNTIFS($A$8:$A$117,B118)=1,COUNTIFS('Recipes'!$A$8:$A$207,D118)=1),IF(VLOOKUP(D118,'Recipes'!$A$8:$F$207,2,FALSE)&lt;&gt;VLOOKUP(B118,$A$8:$N$117,7,FALSE),"Recipe parent mismatch",IF(COUNTIFS($B$8:$B$207,B118,$D$8:$D$207,D118)&lt;&gt;1,"Duplicate child recipe",IF(OR(NOT(ISNUMBER(J118)),J118&lt;0,MOD(J118,1)&lt;&gt;0),"Set nonnegative whole qty",IF(COUNTIFS('Recipes'!$B$8:$B$207,G118)&lt;&gt;COUNTIFS($B$8:$B$207,A118,$D$8:$D$207,"&lt;&gt;",$A$8:$A$207,"&lt;&gt;"),"Missing / extra recipe children","OK")))),IF(OR(NOT(ISNUMBER(J118)),J118&lt;0,MOD(J118,1)&lt;&gt;0),"Set nonnegative whole qty",IF(COUNTIFS('Recipes'!$B$8:$B$207,G118)&lt;&gt;COUNTIFS($B$8:$B$207,A118,$D$8:$D$207,"&lt;&gt;",$A$8:$A$207,"&lt;&gt;"),"Missing / extra recipe children","OK"))))))))))</x:f>
      </x:c>
    </x:row>
    <x:row r="119" ht="22" customHeight="1">
      <x:c r="A119" s="10"/>
      <x:c r="B119" s="10"/>
      <x:c r="C119" s="10"/>
      <x:c r="D119" s="10"/>
      <x:c r="E119" s="12"/>
      <x:c r="F119" s="10"/>
      <x:c r="G119" s="9" t="str">
        <x:f>IF(A119="","",IF(B119="",C119,IF(COUNTIFS('Recipes'!$A$8:$A$207,D119)=1,VLOOKUP(D119,'Recipes'!$A$8:$F$207,3,FALSE),"")))</x:f>
      </x:c>
      <x:c r="H119" s="9" t="str">
        <x:f>IF(A119="","",IF(COUNTIFS('Definitions'!$A$8:$A$207,G119)=1,REPT("    ",IF(ISNUMBER(M119),M119,0))&amp;VLOOKUP(G119,'Definitions'!$A$8:$J$207,2,FALSE),"Unknown definition"))</x:f>
      </x:c>
      <x:c r="I119" s="11" t="str">
        <x:f>IF(A119="","",IF(B119="",1,IF(COUNTIFS('Recipes'!$A$8:$A$207,D119)=1,VLOOKUP(D119,'Recipes'!$A$8:$F$207,4,FALSE),"")))</x:f>
      </x:c>
      <x:c r="J119" s="11" t="str">
        <x:f>IF(A119="","",IF(ISBLANK(E119),I119,E119))</x:f>
      </x:c>
      <x:c r="K119" s="11" t="str">
        <x:f>IF(A119="","",IF(NOT(ISNUMBER(J119)),"",IF(B119="",J119,IF(COUNTIFS($A$8:$A$118,B119)=1,IF(ISNUMBER(VLOOKUP(B119,$A$8:$N$118,11,FALSE)),J119*VLOOKUP(B119,$A$8:$N$118,11,FALSE),""),""))))</x:f>
      </x:c>
      <x:c r="L119" s="9" t="str">
        <x:f>IF(A119="","",IF(B119="",F119,IF(COUNTIFS($A$8:$A$118,B119)=1,VLOOKUP(B119,$A$8:$N$118,12,FALSE),"")))</x:f>
      </x:c>
      <x:c r="M119" s="11" t="str">
        <x:f>IF(A119="","",IF(B119="",0,IF(COUNTIFS($A$8:$A$118,B119)=1,IF(ISNUMBER(VLOOKUP(B119,$A$8:$N$118,13,FALSE)),VLOOKUP(B119,$A$8:$N$118,13,FALSE)+1,""),"")))</x:f>
      </x:c>
      <x:c r="N119" s="9" t="str">
        <x:f>IF(A119="","",IF(COUNTIFS('Layout'!$A$8:$A$207,A119)&lt;&gt;1,"Duplicate role",IF(AND(B119&lt;&gt;"",COUNTIFS($A$8:$A$118,B119)&lt;&gt;1),"Parent must appear above child",IF(COUNTIFS('Definitions'!$A$8:$A$207,G119)&lt;&gt;1,"Unknown / duplicate definition",IF(AND(B119="",OR(C119="",D119&lt;&gt;"",AND(F119&lt;&gt;"Build",F119&lt;&gt;"Spares"))),"Set root definition and purpose",IF(AND(B119&lt;&gt;"",COUNTIFS('Recipes'!$A$8:$A$207,D119)&lt;&gt;1),"Choose a unique recipe line",IF(AND(B119&lt;&gt;"",OR(C119&lt;&gt;"",F119&lt;&gt;"")),"Clear child root-only inputs",IF(AND(B119&lt;&gt;"",COUNTIFS($A$8:$A$118,B119)=1,COUNTIFS('Recipes'!$A$8:$A$207,D119)=1),IF(VLOOKUP(D119,'Recipes'!$A$8:$F$207,2,FALSE)&lt;&gt;VLOOKUP(B119,$A$8:$N$118,7,FALSE),"Recipe parent mismatch",IF(COUNTIFS($B$8:$B$207,B119,$D$8:$D$207,D119)&lt;&gt;1,"Duplicate child recipe",IF(OR(NOT(ISNUMBER(J119)),J119&lt;0,MOD(J119,1)&lt;&gt;0),"Set nonnegative whole qty",IF(COUNTIFS('Recipes'!$B$8:$B$207,G119)&lt;&gt;COUNTIFS($B$8:$B$207,A119,$D$8:$D$207,"&lt;&gt;",$A$8:$A$207,"&lt;&gt;"),"Missing / extra recipe children","OK")))),IF(OR(NOT(ISNUMBER(J119)),J119&lt;0,MOD(J119,1)&lt;&gt;0),"Set nonnegative whole qty",IF(COUNTIFS('Recipes'!$B$8:$B$207,G119)&lt;&gt;COUNTIFS($B$8:$B$207,A119,$D$8:$D$207,"&lt;&gt;",$A$8:$A$207,"&lt;&gt;"),"Missing / extra recipe children","OK"))))))))))</x:f>
      </x:c>
    </x:row>
    <x:row r="120" ht="22" customHeight="1">
      <x:c r="A120" s="10"/>
      <x:c r="B120" s="10"/>
      <x:c r="C120" s="10"/>
      <x:c r="D120" s="10"/>
      <x:c r="E120" s="12"/>
      <x:c r="F120" s="10"/>
      <x:c r="G120" s="9" t="str">
        <x:f>IF(A120="","",IF(B120="",C120,IF(COUNTIFS('Recipes'!$A$8:$A$207,D120)=1,VLOOKUP(D120,'Recipes'!$A$8:$F$207,3,FALSE),"")))</x:f>
      </x:c>
      <x:c r="H120" s="9" t="str">
        <x:f>IF(A120="","",IF(COUNTIFS('Definitions'!$A$8:$A$207,G120)=1,REPT("    ",IF(ISNUMBER(M120),M120,0))&amp;VLOOKUP(G120,'Definitions'!$A$8:$J$207,2,FALSE),"Unknown definition"))</x:f>
      </x:c>
      <x:c r="I120" s="11" t="str">
        <x:f>IF(A120="","",IF(B120="",1,IF(COUNTIFS('Recipes'!$A$8:$A$207,D120)=1,VLOOKUP(D120,'Recipes'!$A$8:$F$207,4,FALSE),"")))</x:f>
      </x:c>
      <x:c r="J120" s="11" t="str">
        <x:f>IF(A120="","",IF(ISBLANK(E120),I120,E120))</x:f>
      </x:c>
      <x:c r="K120" s="11" t="str">
        <x:f>IF(A120="","",IF(NOT(ISNUMBER(J120)),"",IF(B120="",J120,IF(COUNTIFS($A$8:$A$119,B120)=1,IF(ISNUMBER(VLOOKUP(B120,$A$8:$N$119,11,FALSE)),J120*VLOOKUP(B120,$A$8:$N$119,11,FALSE),""),""))))</x:f>
      </x:c>
      <x:c r="L120" s="9" t="str">
        <x:f>IF(A120="","",IF(B120="",F120,IF(COUNTIFS($A$8:$A$119,B120)=1,VLOOKUP(B120,$A$8:$N$119,12,FALSE),"")))</x:f>
      </x:c>
      <x:c r="M120" s="11" t="str">
        <x:f>IF(A120="","",IF(B120="",0,IF(COUNTIFS($A$8:$A$119,B120)=1,IF(ISNUMBER(VLOOKUP(B120,$A$8:$N$119,13,FALSE)),VLOOKUP(B120,$A$8:$N$119,13,FALSE)+1,""),"")))</x:f>
      </x:c>
      <x:c r="N120" s="9" t="str">
        <x:f>IF(A120="","",IF(COUNTIFS('Layout'!$A$8:$A$207,A120)&lt;&gt;1,"Duplicate role",IF(AND(B120&lt;&gt;"",COUNTIFS($A$8:$A$119,B120)&lt;&gt;1),"Parent must appear above child",IF(COUNTIFS('Definitions'!$A$8:$A$207,G120)&lt;&gt;1,"Unknown / duplicate definition",IF(AND(B120="",OR(C120="",D120&lt;&gt;"",AND(F120&lt;&gt;"Build",F120&lt;&gt;"Spares"))),"Set root definition and purpose",IF(AND(B120&lt;&gt;"",COUNTIFS('Recipes'!$A$8:$A$207,D120)&lt;&gt;1),"Choose a unique recipe line",IF(AND(B120&lt;&gt;"",OR(C120&lt;&gt;"",F120&lt;&gt;"")),"Clear child root-only inputs",IF(AND(B120&lt;&gt;"",COUNTIFS($A$8:$A$119,B120)=1,COUNTIFS('Recipes'!$A$8:$A$207,D120)=1),IF(VLOOKUP(D120,'Recipes'!$A$8:$F$207,2,FALSE)&lt;&gt;VLOOKUP(B120,$A$8:$N$119,7,FALSE),"Recipe parent mismatch",IF(COUNTIFS($B$8:$B$207,B120,$D$8:$D$207,D120)&lt;&gt;1,"Duplicate child recipe",IF(OR(NOT(ISNUMBER(J120)),J120&lt;0,MOD(J120,1)&lt;&gt;0),"Set nonnegative whole qty",IF(COUNTIFS('Recipes'!$B$8:$B$207,G120)&lt;&gt;COUNTIFS($B$8:$B$207,A120,$D$8:$D$207,"&lt;&gt;",$A$8:$A$207,"&lt;&gt;"),"Missing / extra recipe children","OK")))),IF(OR(NOT(ISNUMBER(J120)),J120&lt;0,MOD(J120,1)&lt;&gt;0),"Set nonnegative whole qty",IF(COUNTIFS('Recipes'!$B$8:$B$207,G120)&lt;&gt;COUNTIFS($B$8:$B$207,A120,$D$8:$D$207,"&lt;&gt;",$A$8:$A$207,"&lt;&gt;"),"Missing / extra recipe children","OK"))))))))))</x:f>
      </x:c>
    </x:row>
    <x:row r="121" ht="22" customHeight="1">
      <x:c r="A121" s="10"/>
      <x:c r="B121" s="10"/>
      <x:c r="C121" s="10"/>
      <x:c r="D121" s="10"/>
      <x:c r="E121" s="12"/>
      <x:c r="F121" s="10"/>
      <x:c r="G121" s="9" t="str">
        <x:f>IF(A121="","",IF(B121="",C121,IF(COUNTIFS('Recipes'!$A$8:$A$207,D121)=1,VLOOKUP(D121,'Recipes'!$A$8:$F$207,3,FALSE),"")))</x:f>
      </x:c>
      <x:c r="H121" s="9" t="str">
        <x:f>IF(A121="","",IF(COUNTIFS('Definitions'!$A$8:$A$207,G121)=1,REPT("    ",IF(ISNUMBER(M121),M121,0))&amp;VLOOKUP(G121,'Definitions'!$A$8:$J$207,2,FALSE),"Unknown definition"))</x:f>
      </x:c>
      <x:c r="I121" s="11" t="str">
        <x:f>IF(A121="","",IF(B121="",1,IF(COUNTIFS('Recipes'!$A$8:$A$207,D121)=1,VLOOKUP(D121,'Recipes'!$A$8:$F$207,4,FALSE),"")))</x:f>
      </x:c>
      <x:c r="J121" s="11" t="str">
        <x:f>IF(A121="","",IF(ISBLANK(E121),I121,E121))</x:f>
      </x:c>
      <x:c r="K121" s="11" t="str">
        <x:f>IF(A121="","",IF(NOT(ISNUMBER(J121)),"",IF(B121="",J121,IF(COUNTIFS($A$8:$A$120,B121)=1,IF(ISNUMBER(VLOOKUP(B121,$A$8:$N$120,11,FALSE)),J121*VLOOKUP(B121,$A$8:$N$120,11,FALSE),""),""))))</x:f>
      </x:c>
      <x:c r="L121" s="9" t="str">
        <x:f>IF(A121="","",IF(B121="",F121,IF(COUNTIFS($A$8:$A$120,B121)=1,VLOOKUP(B121,$A$8:$N$120,12,FALSE),"")))</x:f>
      </x:c>
      <x:c r="M121" s="11" t="str">
        <x:f>IF(A121="","",IF(B121="",0,IF(COUNTIFS($A$8:$A$120,B121)=1,IF(ISNUMBER(VLOOKUP(B121,$A$8:$N$120,13,FALSE)),VLOOKUP(B121,$A$8:$N$120,13,FALSE)+1,""),"")))</x:f>
      </x:c>
      <x:c r="N121" s="9" t="str">
        <x:f>IF(A121="","",IF(COUNTIFS('Layout'!$A$8:$A$207,A121)&lt;&gt;1,"Duplicate role",IF(AND(B121&lt;&gt;"",COUNTIFS($A$8:$A$120,B121)&lt;&gt;1),"Parent must appear above child",IF(COUNTIFS('Definitions'!$A$8:$A$207,G121)&lt;&gt;1,"Unknown / duplicate definition",IF(AND(B121="",OR(C121="",D121&lt;&gt;"",AND(F121&lt;&gt;"Build",F121&lt;&gt;"Spares"))),"Set root definition and purpose",IF(AND(B121&lt;&gt;"",COUNTIFS('Recipes'!$A$8:$A$207,D121)&lt;&gt;1),"Choose a unique recipe line",IF(AND(B121&lt;&gt;"",OR(C121&lt;&gt;"",F121&lt;&gt;"")),"Clear child root-only inputs",IF(AND(B121&lt;&gt;"",COUNTIFS($A$8:$A$120,B121)=1,COUNTIFS('Recipes'!$A$8:$A$207,D121)=1),IF(VLOOKUP(D121,'Recipes'!$A$8:$F$207,2,FALSE)&lt;&gt;VLOOKUP(B121,$A$8:$N$120,7,FALSE),"Recipe parent mismatch",IF(COUNTIFS($B$8:$B$207,B121,$D$8:$D$207,D121)&lt;&gt;1,"Duplicate child recipe",IF(OR(NOT(ISNUMBER(J121)),J121&lt;0,MOD(J121,1)&lt;&gt;0),"Set nonnegative whole qty",IF(COUNTIFS('Recipes'!$B$8:$B$207,G121)&lt;&gt;COUNTIFS($B$8:$B$207,A121,$D$8:$D$207,"&lt;&gt;",$A$8:$A$207,"&lt;&gt;"),"Missing / extra recipe children","OK")))),IF(OR(NOT(ISNUMBER(J121)),J121&lt;0,MOD(J121,1)&lt;&gt;0),"Set nonnegative whole qty",IF(COUNTIFS('Recipes'!$B$8:$B$207,G121)&lt;&gt;COUNTIFS($B$8:$B$207,A121,$D$8:$D$207,"&lt;&gt;",$A$8:$A$207,"&lt;&gt;"),"Missing / extra recipe children","OK"))))))))))</x:f>
      </x:c>
    </x:row>
    <x:row r="122" ht="22" customHeight="1">
      <x:c r="A122" s="10"/>
      <x:c r="B122" s="10"/>
      <x:c r="C122" s="10"/>
      <x:c r="D122" s="10"/>
      <x:c r="E122" s="12"/>
      <x:c r="F122" s="10"/>
      <x:c r="G122" s="9" t="str">
        <x:f>IF(A122="","",IF(B122="",C122,IF(COUNTIFS('Recipes'!$A$8:$A$207,D122)=1,VLOOKUP(D122,'Recipes'!$A$8:$F$207,3,FALSE),"")))</x:f>
      </x:c>
      <x:c r="H122" s="9" t="str">
        <x:f>IF(A122="","",IF(COUNTIFS('Definitions'!$A$8:$A$207,G122)=1,REPT("    ",IF(ISNUMBER(M122),M122,0))&amp;VLOOKUP(G122,'Definitions'!$A$8:$J$207,2,FALSE),"Unknown definition"))</x:f>
      </x:c>
      <x:c r="I122" s="11" t="str">
        <x:f>IF(A122="","",IF(B122="",1,IF(COUNTIFS('Recipes'!$A$8:$A$207,D122)=1,VLOOKUP(D122,'Recipes'!$A$8:$F$207,4,FALSE),"")))</x:f>
      </x:c>
      <x:c r="J122" s="11" t="str">
        <x:f>IF(A122="","",IF(ISBLANK(E122),I122,E122))</x:f>
      </x:c>
      <x:c r="K122" s="11" t="str">
        <x:f>IF(A122="","",IF(NOT(ISNUMBER(J122)),"",IF(B122="",J122,IF(COUNTIFS($A$8:$A$121,B122)=1,IF(ISNUMBER(VLOOKUP(B122,$A$8:$N$121,11,FALSE)),J122*VLOOKUP(B122,$A$8:$N$121,11,FALSE),""),""))))</x:f>
      </x:c>
      <x:c r="L122" s="9" t="str">
        <x:f>IF(A122="","",IF(B122="",F122,IF(COUNTIFS($A$8:$A$121,B122)=1,VLOOKUP(B122,$A$8:$N$121,12,FALSE),"")))</x:f>
      </x:c>
      <x:c r="M122" s="11" t="str">
        <x:f>IF(A122="","",IF(B122="",0,IF(COUNTIFS($A$8:$A$121,B122)=1,IF(ISNUMBER(VLOOKUP(B122,$A$8:$N$121,13,FALSE)),VLOOKUP(B122,$A$8:$N$121,13,FALSE)+1,""),"")))</x:f>
      </x:c>
      <x:c r="N122" s="9" t="str">
        <x:f>IF(A122="","",IF(COUNTIFS('Layout'!$A$8:$A$207,A122)&lt;&gt;1,"Duplicate role",IF(AND(B122&lt;&gt;"",COUNTIFS($A$8:$A$121,B122)&lt;&gt;1),"Parent must appear above child",IF(COUNTIFS('Definitions'!$A$8:$A$207,G122)&lt;&gt;1,"Unknown / duplicate definition",IF(AND(B122="",OR(C122="",D122&lt;&gt;"",AND(F122&lt;&gt;"Build",F122&lt;&gt;"Spares"))),"Set root definition and purpose",IF(AND(B122&lt;&gt;"",COUNTIFS('Recipes'!$A$8:$A$207,D122)&lt;&gt;1),"Choose a unique recipe line",IF(AND(B122&lt;&gt;"",OR(C122&lt;&gt;"",F122&lt;&gt;"")),"Clear child root-only inputs",IF(AND(B122&lt;&gt;"",COUNTIFS($A$8:$A$121,B122)=1,COUNTIFS('Recipes'!$A$8:$A$207,D122)=1),IF(VLOOKUP(D122,'Recipes'!$A$8:$F$207,2,FALSE)&lt;&gt;VLOOKUP(B122,$A$8:$N$121,7,FALSE),"Recipe parent mismatch",IF(COUNTIFS($B$8:$B$207,B122,$D$8:$D$207,D122)&lt;&gt;1,"Duplicate child recipe",IF(OR(NOT(ISNUMBER(J122)),J122&lt;0,MOD(J122,1)&lt;&gt;0),"Set nonnegative whole qty",IF(COUNTIFS('Recipes'!$B$8:$B$207,G122)&lt;&gt;COUNTIFS($B$8:$B$207,A122,$D$8:$D$207,"&lt;&gt;",$A$8:$A$207,"&lt;&gt;"),"Missing / extra recipe children","OK")))),IF(OR(NOT(ISNUMBER(J122)),J122&lt;0,MOD(J122,1)&lt;&gt;0),"Set nonnegative whole qty",IF(COUNTIFS('Recipes'!$B$8:$B$207,G122)&lt;&gt;COUNTIFS($B$8:$B$207,A122,$D$8:$D$207,"&lt;&gt;",$A$8:$A$207,"&lt;&gt;"),"Missing / extra recipe children","OK"))))))))))</x:f>
      </x:c>
    </x:row>
    <x:row r="123" ht="22" customHeight="1">
      <x:c r="A123" s="10"/>
      <x:c r="B123" s="10"/>
      <x:c r="C123" s="10"/>
      <x:c r="D123" s="10"/>
      <x:c r="E123" s="12"/>
      <x:c r="F123" s="10"/>
      <x:c r="G123" s="9" t="str">
        <x:f>IF(A123="","",IF(B123="",C123,IF(COUNTIFS('Recipes'!$A$8:$A$207,D123)=1,VLOOKUP(D123,'Recipes'!$A$8:$F$207,3,FALSE),"")))</x:f>
      </x:c>
      <x:c r="H123" s="9" t="str">
        <x:f>IF(A123="","",IF(COUNTIFS('Definitions'!$A$8:$A$207,G123)=1,REPT("    ",IF(ISNUMBER(M123),M123,0))&amp;VLOOKUP(G123,'Definitions'!$A$8:$J$207,2,FALSE),"Unknown definition"))</x:f>
      </x:c>
      <x:c r="I123" s="11" t="str">
        <x:f>IF(A123="","",IF(B123="",1,IF(COUNTIFS('Recipes'!$A$8:$A$207,D123)=1,VLOOKUP(D123,'Recipes'!$A$8:$F$207,4,FALSE),"")))</x:f>
      </x:c>
      <x:c r="J123" s="11" t="str">
        <x:f>IF(A123="","",IF(ISBLANK(E123),I123,E123))</x:f>
      </x:c>
      <x:c r="K123" s="11" t="str">
        <x:f>IF(A123="","",IF(NOT(ISNUMBER(J123)),"",IF(B123="",J123,IF(COUNTIFS($A$8:$A$122,B123)=1,IF(ISNUMBER(VLOOKUP(B123,$A$8:$N$122,11,FALSE)),J123*VLOOKUP(B123,$A$8:$N$122,11,FALSE),""),""))))</x:f>
      </x:c>
      <x:c r="L123" s="9" t="str">
        <x:f>IF(A123="","",IF(B123="",F123,IF(COUNTIFS($A$8:$A$122,B123)=1,VLOOKUP(B123,$A$8:$N$122,12,FALSE),"")))</x:f>
      </x:c>
      <x:c r="M123" s="11" t="str">
        <x:f>IF(A123="","",IF(B123="",0,IF(COUNTIFS($A$8:$A$122,B123)=1,IF(ISNUMBER(VLOOKUP(B123,$A$8:$N$122,13,FALSE)),VLOOKUP(B123,$A$8:$N$122,13,FALSE)+1,""),"")))</x:f>
      </x:c>
      <x:c r="N123" s="9" t="str">
        <x:f>IF(A123="","",IF(COUNTIFS('Layout'!$A$8:$A$207,A123)&lt;&gt;1,"Duplicate role",IF(AND(B123&lt;&gt;"",COUNTIFS($A$8:$A$122,B123)&lt;&gt;1),"Parent must appear above child",IF(COUNTIFS('Definitions'!$A$8:$A$207,G123)&lt;&gt;1,"Unknown / duplicate definition",IF(AND(B123="",OR(C123="",D123&lt;&gt;"",AND(F123&lt;&gt;"Build",F123&lt;&gt;"Spares"))),"Set root definition and purpose",IF(AND(B123&lt;&gt;"",COUNTIFS('Recipes'!$A$8:$A$207,D123)&lt;&gt;1),"Choose a unique recipe line",IF(AND(B123&lt;&gt;"",OR(C123&lt;&gt;"",F123&lt;&gt;"")),"Clear child root-only inputs",IF(AND(B123&lt;&gt;"",COUNTIFS($A$8:$A$122,B123)=1,COUNTIFS('Recipes'!$A$8:$A$207,D123)=1),IF(VLOOKUP(D123,'Recipes'!$A$8:$F$207,2,FALSE)&lt;&gt;VLOOKUP(B123,$A$8:$N$122,7,FALSE),"Recipe parent mismatch",IF(COUNTIFS($B$8:$B$207,B123,$D$8:$D$207,D123)&lt;&gt;1,"Duplicate child recipe",IF(OR(NOT(ISNUMBER(J123)),J123&lt;0,MOD(J123,1)&lt;&gt;0),"Set nonnegative whole qty",IF(COUNTIFS('Recipes'!$B$8:$B$207,G123)&lt;&gt;COUNTIFS($B$8:$B$207,A123,$D$8:$D$207,"&lt;&gt;",$A$8:$A$207,"&lt;&gt;"),"Missing / extra recipe children","OK")))),IF(OR(NOT(ISNUMBER(J123)),J123&lt;0,MOD(J123,1)&lt;&gt;0),"Set nonnegative whole qty",IF(COUNTIFS('Recipes'!$B$8:$B$207,G123)&lt;&gt;COUNTIFS($B$8:$B$207,A123,$D$8:$D$207,"&lt;&gt;",$A$8:$A$207,"&lt;&gt;"),"Missing / extra recipe children","OK"))))))))))</x:f>
      </x:c>
    </x:row>
    <x:row r="124" ht="22" customHeight="1">
      <x:c r="A124" s="10"/>
      <x:c r="B124" s="10"/>
      <x:c r="C124" s="10"/>
      <x:c r="D124" s="10"/>
      <x:c r="E124" s="12"/>
      <x:c r="F124" s="10"/>
      <x:c r="G124" s="9" t="str">
        <x:f>IF(A124="","",IF(B124="",C124,IF(COUNTIFS('Recipes'!$A$8:$A$207,D124)=1,VLOOKUP(D124,'Recipes'!$A$8:$F$207,3,FALSE),"")))</x:f>
      </x:c>
      <x:c r="H124" s="9" t="str">
        <x:f>IF(A124="","",IF(COUNTIFS('Definitions'!$A$8:$A$207,G124)=1,REPT("    ",IF(ISNUMBER(M124),M124,0))&amp;VLOOKUP(G124,'Definitions'!$A$8:$J$207,2,FALSE),"Unknown definition"))</x:f>
      </x:c>
      <x:c r="I124" s="11" t="str">
        <x:f>IF(A124="","",IF(B124="",1,IF(COUNTIFS('Recipes'!$A$8:$A$207,D124)=1,VLOOKUP(D124,'Recipes'!$A$8:$F$207,4,FALSE),"")))</x:f>
      </x:c>
      <x:c r="J124" s="11" t="str">
        <x:f>IF(A124="","",IF(ISBLANK(E124),I124,E124))</x:f>
      </x:c>
      <x:c r="K124" s="11" t="str">
        <x:f>IF(A124="","",IF(NOT(ISNUMBER(J124)),"",IF(B124="",J124,IF(COUNTIFS($A$8:$A$123,B124)=1,IF(ISNUMBER(VLOOKUP(B124,$A$8:$N$123,11,FALSE)),J124*VLOOKUP(B124,$A$8:$N$123,11,FALSE),""),""))))</x:f>
      </x:c>
      <x:c r="L124" s="9" t="str">
        <x:f>IF(A124="","",IF(B124="",F124,IF(COUNTIFS($A$8:$A$123,B124)=1,VLOOKUP(B124,$A$8:$N$123,12,FALSE),"")))</x:f>
      </x:c>
      <x:c r="M124" s="11" t="str">
        <x:f>IF(A124="","",IF(B124="",0,IF(COUNTIFS($A$8:$A$123,B124)=1,IF(ISNUMBER(VLOOKUP(B124,$A$8:$N$123,13,FALSE)),VLOOKUP(B124,$A$8:$N$123,13,FALSE)+1,""),"")))</x:f>
      </x:c>
      <x:c r="N124" s="9" t="str">
        <x:f>IF(A124="","",IF(COUNTIFS('Layout'!$A$8:$A$207,A124)&lt;&gt;1,"Duplicate role",IF(AND(B124&lt;&gt;"",COUNTIFS($A$8:$A$123,B124)&lt;&gt;1),"Parent must appear above child",IF(COUNTIFS('Definitions'!$A$8:$A$207,G124)&lt;&gt;1,"Unknown / duplicate definition",IF(AND(B124="",OR(C124="",D124&lt;&gt;"",AND(F124&lt;&gt;"Build",F124&lt;&gt;"Spares"))),"Set root definition and purpose",IF(AND(B124&lt;&gt;"",COUNTIFS('Recipes'!$A$8:$A$207,D124)&lt;&gt;1),"Choose a unique recipe line",IF(AND(B124&lt;&gt;"",OR(C124&lt;&gt;"",F124&lt;&gt;"")),"Clear child root-only inputs",IF(AND(B124&lt;&gt;"",COUNTIFS($A$8:$A$123,B124)=1,COUNTIFS('Recipes'!$A$8:$A$207,D124)=1),IF(VLOOKUP(D124,'Recipes'!$A$8:$F$207,2,FALSE)&lt;&gt;VLOOKUP(B124,$A$8:$N$123,7,FALSE),"Recipe parent mismatch",IF(COUNTIFS($B$8:$B$207,B124,$D$8:$D$207,D124)&lt;&gt;1,"Duplicate child recipe",IF(OR(NOT(ISNUMBER(J124)),J124&lt;0,MOD(J124,1)&lt;&gt;0),"Set nonnegative whole qty",IF(COUNTIFS('Recipes'!$B$8:$B$207,G124)&lt;&gt;COUNTIFS($B$8:$B$207,A124,$D$8:$D$207,"&lt;&gt;",$A$8:$A$207,"&lt;&gt;"),"Missing / extra recipe children","OK")))),IF(OR(NOT(ISNUMBER(J124)),J124&lt;0,MOD(J124,1)&lt;&gt;0),"Set nonnegative whole qty",IF(COUNTIFS('Recipes'!$B$8:$B$207,G124)&lt;&gt;COUNTIFS($B$8:$B$207,A124,$D$8:$D$207,"&lt;&gt;",$A$8:$A$207,"&lt;&gt;"),"Missing / extra recipe children","OK"))))))))))</x:f>
      </x:c>
    </x:row>
    <x:row r="125" ht="22" customHeight="1">
      <x:c r="A125" s="10"/>
      <x:c r="B125" s="10"/>
      <x:c r="C125" s="10"/>
      <x:c r="D125" s="10"/>
      <x:c r="E125" s="12"/>
      <x:c r="F125" s="10"/>
      <x:c r="G125" s="9" t="str">
        <x:f>IF(A125="","",IF(B125="",C125,IF(COUNTIFS('Recipes'!$A$8:$A$207,D125)=1,VLOOKUP(D125,'Recipes'!$A$8:$F$207,3,FALSE),"")))</x:f>
      </x:c>
      <x:c r="H125" s="9" t="str">
        <x:f>IF(A125="","",IF(COUNTIFS('Definitions'!$A$8:$A$207,G125)=1,REPT("    ",IF(ISNUMBER(M125),M125,0))&amp;VLOOKUP(G125,'Definitions'!$A$8:$J$207,2,FALSE),"Unknown definition"))</x:f>
      </x:c>
      <x:c r="I125" s="11" t="str">
        <x:f>IF(A125="","",IF(B125="",1,IF(COUNTIFS('Recipes'!$A$8:$A$207,D125)=1,VLOOKUP(D125,'Recipes'!$A$8:$F$207,4,FALSE),"")))</x:f>
      </x:c>
      <x:c r="J125" s="11" t="str">
        <x:f>IF(A125="","",IF(ISBLANK(E125),I125,E125))</x:f>
      </x:c>
      <x:c r="K125" s="11" t="str">
        <x:f>IF(A125="","",IF(NOT(ISNUMBER(J125)),"",IF(B125="",J125,IF(COUNTIFS($A$8:$A$124,B125)=1,IF(ISNUMBER(VLOOKUP(B125,$A$8:$N$124,11,FALSE)),J125*VLOOKUP(B125,$A$8:$N$124,11,FALSE),""),""))))</x:f>
      </x:c>
      <x:c r="L125" s="9" t="str">
        <x:f>IF(A125="","",IF(B125="",F125,IF(COUNTIFS($A$8:$A$124,B125)=1,VLOOKUP(B125,$A$8:$N$124,12,FALSE),"")))</x:f>
      </x:c>
      <x:c r="M125" s="11" t="str">
        <x:f>IF(A125="","",IF(B125="",0,IF(COUNTIFS($A$8:$A$124,B125)=1,IF(ISNUMBER(VLOOKUP(B125,$A$8:$N$124,13,FALSE)),VLOOKUP(B125,$A$8:$N$124,13,FALSE)+1,""),"")))</x:f>
      </x:c>
      <x:c r="N125" s="9" t="str">
        <x:f>IF(A125="","",IF(COUNTIFS('Layout'!$A$8:$A$207,A125)&lt;&gt;1,"Duplicate role",IF(AND(B125&lt;&gt;"",COUNTIFS($A$8:$A$124,B125)&lt;&gt;1),"Parent must appear above child",IF(COUNTIFS('Definitions'!$A$8:$A$207,G125)&lt;&gt;1,"Unknown / duplicate definition",IF(AND(B125="",OR(C125="",D125&lt;&gt;"",AND(F125&lt;&gt;"Build",F125&lt;&gt;"Spares"))),"Set root definition and purpose",IF(AND(B125&lt;&gt;"",COUNTIFS('Recipes'!$A$8:$A$207,D125)&lt;&gt;1),"Choose a unique recipe line",IF(AND(B125&lt;&gt;"",OR(C125&lt;&gt;"",F125&lt;&gt;"")),"Clear child root-only inputs",IF(AND(B125&lt;&gt;"",COUNTIFS($A$8:$A$124,B125)=1,COUNTIFS('Recipes'!$A$8:$A$207,D125)=1),IF(VLOOKUP(D125,'Recipes'!$A$8:$F$207,2,FALSE)&lt;&gt;VLOOKUP(B125,$A$8:$N$124,7,FALSE),"Recipe parent mismatch",IF(COUNTIFS($B$8:$B$207,B125,$D$8:$D$207,D125)&lt;&gt;1,"Duplicate child recipe",IF(OR(NOT(ISNUMBER(J125)),J125&lt;0,MOD(J125,1)&lt;&gt;0),"Set nonnegative whole qty",IF(COUNTIFS('Recipes'!$B$8:$B$207,G125)&lt;&gt;COUNTIFS($B$8:$B$207,A125,$D$8:$D$207,"&lt;&gt;",$A$8:$A$207,"&lt;&gt;"),"Missing / extra recipe children","OK")))),IF(OR(NOT(ISNUMBER(J125)),J125&lt;0,MOD(J125,1)&lt;&gt;0),"Set nonnegative whole qty",IF(COUNTIFS('Recipes'!$B$8:$B$207,G125)&lt;&gt;COUNTIFS($B$8:$B$207,A125,$D$8:$D$207,"&lt;&gt;",$A$8:$A$207,"&lt;&gt;"),"Missing / extra recipe children","OK"))))))))))</x:f>
      </x:c>
    </x:row>
    <x:row r="126" ht="22" customHeight="1">
      <x:c r="A126" s="10"/>
      <x:c r="B126" s="10"/>
      <x:c r="C126" s="10"/>
      <x:c r="D126" s="10"/>
      <x:c r="E126" s="12"/>
      <x:c r="F126" s="10"/>
      <x:c r="G126" s="9" t="str">
        <x:f>IF(A126="","",IF(B126="",C126,IF(COUNTIFS('Recipes'!$A$8:$A$207,D126)=1,VLOOKUP(D126,'Recipes'!$A$8:$F$207,3,FALSE),"")))</x:f>
      </x:c>
      <x:c r="H126" s="9" t="str">
        <x:f>IF(A126="","",IF(COUNTIFS('Definitions'!$A$8:$A$207,G126)=1,REPT("    ",IF(ISNUMBER(M126),M126,0))&amp;VLOOKUP(G126,'Definitions'!$A$8:$J$207,2,FALSE),"Unknown definition"))</x:f>
      </x:c>
      <x:c r="I126" s="11" t="str">
        <x:f>IF(A126="","",IF(B126="",1,IF(COUNTIFS('Recipes'!$A$8:$A$207,D126)=1,VLOOKUP(D126,'Recipes'!$A$8:$F$207,4,FALSE),"")))</x:f>
      </x:c>
      <x:c r="J126" s="11" t="str">
        <x:f>IF(A126="","",IF(ISBLANK(E126),I126,E126))</x:f>
      </x:c>
      <x:c r="K126" s="11" t="str">
        <x:f>IF(A126="","",IF(NOT(ISNUMBER(J126)),"",IF(B126="",J126,IF(COUNTIFS($A$8:$A$125,B126)=1,IF(ISNUMBER(VLOOKUP(B126,$A$8:$N$125,11,FALSE)),J126*VLOOKUP(B126,$A$8:$N$125,11,FALSE),""),""))))</x:f>
      </x:c>
      <x:c r="L126" s="9" t="str">
        <x:f>IF(A126="","",IF(B126="",F126,IF(COUNTIFS($A$8:$A$125,B126)=1,VLOOKUP(B126,$A$8:$N$125,12,FALSE),"")))</x:f>
      </x:c>
      <x:c r="M126" s="11" t="str">
        <x:f>IF(A126="","",IF(B126="",0,IF(COUNTIFS($A$8:$A$125,B126)=1,IF(ISNUMBER(VLOOKUP(B126,$A$8:$N$125,13,FALSE)),VLOOKUP(B126,$A$8:$N$125,13,FALSE)+1,""),"")))</x:f>
      </x:c>
      <x:c r="N126" s="9" t="str">
        <x:f>IF(A126="","",IF(COUNTIFS('Layout'!$A$8:$A$207,A126)&lt;&gt;1,"Duplicate role",IF(AND(B126&lt;&gt;"",COUNTIFS($A$8:$A$125,B126)&lt;&gt;1),"Parent must appear above child",IF(COUNTIFS('Definitions'!$A$8:$A$207,G126)&lt;&gt;1,"Unknown / duplicate definition",IF(AND(B126="",OR(C126="",D126&lt;&gt;"",AND(F126&lt;&gt;"Build",F126&lt;&gt;"Spares"))),"Set root definition and purpose",IF(AND(B126&lt;&gt;"",COUNTIFS('Recipes'!$A$8:$A$207,D126)&lt;&gt;1),"Choose a unique recipe line",IF(AND(B126&lt;&gt;"",OR(C126&lt;&gt;"",F126&lt;&gt;"")),"Clear child root-only inputs",IF(AND(B126&lt;&gt;"",COUNTIFS($A$8:$A$125,B126)=1,COUNTIFS('Recipes'!$A$8:$A$207,D126)=1),IF(VLOOKUP(D126,'Recipes'!$A$8:$F$207,2,FALSE)&lt;&gt;VLOOKUP(B126,$A$8:$N$125,7,FALSE),"Recipe parent mismatch",IF(COUNTIFS($B$8:$B$207,B126,$D$8:$D$207,D126)&lt;&gt;1,"Duplicate child recipe",IF(OR(NOT(ISNUMBER(J126)),J126&lt;0,MOD(J126,1)&lt;&gt;0),"Set nonnegative whole qty",IF(COUNTIFS('Recipes'!$B$8:$B$207,G126)&lt;&gt;COUNTIFS($B$8:$B$207,A126,$D$8:$D$207,"&lt;&gt;",$A$8:$A$207,"&lt;&gt;"),"Missing / extra recipe children","OK")))),IF(OR(NOT(ISNUMBER(J126)),J126&lt;0,MOD(J126,1)&lt;&gt;0),"Set nonnegative whole qty",IF(COUNTIFS('Recipes'!$B$8:$B$207,G126)&lt;&gt;COUNTIFS($B$8:$B$207,A126,$D$8:$D$207,"&lt;&gt;",$A$8:$A$207,"&lt;&gt;"),"Missing / extra recipe children","OK"))))))))))</x:f>
      </x:c>
    </x:row>
    <x:row r="127" ht="22" customHeight="1">
      <x:c r="A127" s="10"/>
      <x:c r="B127" s="10"/>
      <x:c r="C127" s="10"/>
      <x:c r="D127" s="10"/>
      <x:c r="E127" s="12"/>
      <x:c r="F127" s="10"/>
      <x:c r="G127" s="9" t="str">
        <x:f>IF(A127="","",IF(B127="",C127,IF(COUNTIFS('Recipes'!$A$8:$A$207,D127)=1,VLOOKUP(D127,'Recipes'!$A$8:$F$207,3,FALSE),"")))</x:f>
      </x:c>
      <x:c r="H127" s="9" t="str">
        <x:f>IF(A127="","",IF(COUNTIFS('Definitions'!$A$8:$A$207,G127)=1,REPT("    ",IF(ISNUMBER(M127),M127,0))&amp;VLOOKUP(G127,'Definitions'!$A$8:$J$207,2,FALSE),"Unknown definition"))</x:f>
      </x:c>
      <x:c r="I127" s="11" t="str">
        <x:f>IF(A127="","",IF(B127="",1,IF(COUNTIFS('Recipes'!$A$8:$A$207,D127)=1,VLOOKUP(D127,'Recipes'!$A$8:$F$207,4,FALSE),"")))</x:f>
      </x:c>
      <x:c r="J127" s="11" t="str">
        <x:f>IF(A127="","",IF(ISBLANK(E127),I127,E127))</x:f>
      </x:c>
      <x:c r="K127" s="11" t="str">
        <x:f>IF(A127="","",IF(NOT(ISNUMBER(J127)),"",IF(B127="",J127,IF(COUNTIFS($A$8:$A$126,B127)=1,IF(ISNUMBER(VLOOKUP(B127,$A$8:$N$126,11,FALSE)),J127*VLOOKUP(B127,$A$8:$N$126,11,FALSE),""),""))))</x:f>
      </x:c>
      <x:c r="L127" s="9" t="str">
        <x:f>IF(A127="","",IF(B127="",F127,IF(COUNTIFS($A$8:$A$126,B127)=1,VLOOKUP(B127,$A$8:$N$126,12,FALSE),"")))</x:f>
      </x:c>
      <x:c r="M127" s="11" t="str">
        <x:f>IF(A127="","",IF(B127="",0,IF(COUNTIFS($A$8:$A$126,B127)=1,IF(ISNUMBER(VLOOKUP(B127,$A$8:$N$126,13,FALSE)),VLOOKUP(B127,$A$8:$N$126,13,FALSE)+1,""),"")))</x:f>
      </x:c>
      <x:c r="N127" s="9" t="str">
        <x:f>IF(A127="","",IF(COUNTIFS('Layout'!$A$8:$A$207,A127)&lt;&gt;1,"Duplicate role",IF(AND(B127&lt;&gt;"",COUNTIFS($A$8:$A$126,B127)&lt;&gt;1),"Parent must appear above child",IF(COUNTIFS('Definitions'!$A$8:$A$207,G127)&lt;&gt;1,"Unknown / duplicate definition",IF(AND(B127="",OR(C127="",D127&lt;&gt;"",AND(F127&lt;&gt;"Build",F127&lt;&gt;"Spares"))),"Set root definition and purpose",IF(AND(B127&lt;&gt;"",COUNTIFS('Recipes'!$A$8:$A$207,D127)&lt;&gt;1),"Choose a unique recipe line",IF(AND(B127&lt;&gt;"",OR(C127&lt;&gt;"",F127&lt;&gt;"")),"Clear child root-only inputs",IF(AND(B127&lt;&gt;"",COUNTIFS($A$8:$A$126,B127)=1,COUNTIFS('Recipes'!$A$8:$A$207,D127)=1),IF(VLOOKUP(D127,'Recipes'!$A$8:$F$207,2,FALSE)&lt;&gt;VLOOKUP(B127,$A$8:$N$126,7,FALSE),"Recipe parent mismatch",IF(COUNTIFS($B$8:$B$207,B127,$D$8:$D$207,D127)&lt;&gt;1,"Duplicate child recipe",IF(OR(NOT(ISNUMBER(J127)),J127&lt;0,MOD(J127,1)&lt;&gt;0),"Set nonnegative whole qty",IF(COUNTIFS('Recipes'!$B$8:$B$207,G127)&lt;&gt;COUNTIFS($B$8:$B$207,A127,$D$8:$D$207,"&lt;&gt;",$A$8:$A$207,"&lt;&gt;"),"Missing / extra recipe children","OK")))),IF(OR(NOT(ISNUMBER(J127)),J127&lt;0,MOD(J127,1)&lt;&gt;0),"Set nonnegative whole qty",IF(COUNTIFS('Recipes'!$B$8:$B$207,G127)&lt;&gt;COUNTIFS($B$8:$B$207,A127,$D$8:$D$207,"&lt;&gt;",$A$8:$A$207,"&lt;&gt;"),"Missing / extra recipe children","OK"))))))))))</x:f>
      </x:c>
    </x:row>
    <x:row r="128" ht="22" customHeight="1">
      <x:c r="A128" s="10"/>
      <x:c r="B128" s="10"/>
      <x:c r="C128" s="10"/>
      <x:c r="D128" s="10"/>
      <x:c r="E128" s="12"/>
      <x:c r="F128" s="10"/>
      <x:c r="G128" s="9" t="str">
        <x:f>IF(A128="","",IF(B128="",C128,IF(COUNTIFS('Recipes'!$A$8:$A$207,D128)=1,VLOOKUP(D128,'Recipes'!$A$8:$F$207,3,FALSE),"")))</x:f>
      </x:c>
      <x:c r="H128" s="9" t="str">
        <x:f>IF(A128="","",IF(COUNTIFS('Definitions'!$A$8:$A$207,G128)=1,REPT("    ",IF(ISNUMBER(M128),M128,0))&amp;VLOOKUP(G128,'Definitions'!$A$8:$J$207,2,FALSE),"Unknown definition"))</x:f>
      </x:c>
      <x:c r="I128" s="11" t="str">
        <x:f>IF(A128="","",IF(B128="",1,IF(COUNTIFS('Recipes'!$A$8:$A$207,D128)=1,VLOOKUP(D128,'Recipes'!$A$8:$F$207,4,FALSE),"")))</x:f>
      </x:c>
      <x:c r="J128" s="11" t="str">
        <x:f>IF(A128="","",IF(ISBLANK(E128),I128,E128))</x:f>
      </x:c>
      <x:c r="K128" s="11" t="str">
        <x:f>IF(A128="","",IF(NOT(ISNUMBER(J128)),"",IF(B128="",J128,IF(COUNTIFS($A$8:$A$127,B128)=1,IF(ISNUMBER(VLOOKUP(B128,$A$8:$N$127,11,FALSE)),J128*VLOOKUP(B128,$A$8:$N$127,11,FALSE),""),""))))</x:f>
      </x:c>
      <x:c r="L128" s="9" t="str">
        <x:f>IF(A128="","",IF(B128="",F128,IF(COUNTIFS($A$8:$A$127,B128)=1,VLOOKUP(B128,$A$8:$N$127,12,FALSE),"")))</x:f>
      </x:c>
      <x:c r="M128" s="11" t="str">
        <x:f>IF(A128="","",IF(B128="",0,IF(COUNTIFS($A$8:$A$127,B128)=1,IF(ISNUMBER(VLOOKUP(B128,$A$8:$N$127,13,FALSE)),VLOOKUP(B128,$A$8:$N$127,13,FALSE)+1,""),"")))</x:f>
      </x:c>
      <x:c r="N128" s="9" t="str">
        <x:f>IF(A128="","",IF(COUNTIFS('Layout'!$A$8:$A$207,A128)&lt;&gt;1,"Duplicate role",IF(AND(B128&lt;&gt;"",COUNTIFS($A$8:$A$127,B128)&lt;&gt;1),"Parent must appear above child",IF(COUNTIFS('Definitions'!$A$8:$A$207,G128)&lt;&gt;1,"Unknown / duplicate definition",IF(AND(B128="",OR(C128="",D128&lt;&gt;"",AND(F128&lt;&gt;"Build",F128&lt;&gt;"Spares"))),"Set root definition and purpose",IF(AND(B128&lt;&gt;"",COUNTIFS('Recipes'!$A$8:$A$207,D128)&lt;&gt;1),"Choose a unique recipe line",IF(AND(B128&lt;&gt;"",OR(C128&lt;&gt;"",F128&lt;&gt;"")),"Clear child root-only inputs",IF(AND(B128&lt;&gt;"",COUNTIFS($A$8:$A$127,B128)=1,COUNTIFS('Recipes'!$A$8:$A$207,D128)=1),IF(VLOOKUP(D128,'Recipes'!$A$8:$F$207,2,FALSE)&lt;&gt;VLOOKUP(B128,$A$8:$N$127,7,FALSE),"Recipe parent mismatch",IF(COUNTIFS($B$8:$B$207,B128,$D$8:$D$207,D128)&lt;&gt;1,"Duplicate child recipe",IF(OR(NOT(ISNUMBER(J128)),J128&lt;0,MOD(J128,1)&lt;&gt;0),"Set nonnegative whole qty",IF(COUNTIFS('Recipes'!$B$8:$B$207,G128)&lt;&gt;COUNTIFS($B$8:$B$207,A128,$D$8:$D$207,"&lt;&gt;",$A$8:$A$207,"&lt;&gt;"),"Missing / extra recipe children","OK")))),IF(OR(NOT(ISNUMBER(J128)),J128&lt;0,MOD(J128,1)&lt;&gt;0),"Set nonnegative whole qty",IF(COUNTIFS('Recipes'!$B$8:$B$207,G128)&lt;&gt;COUNTIFS($B$8:$B$207,A128,$D$8:$D$207,"&lt;&gt;",$A$8:$A$207,"&lt;&gt;"),"Missing / extra recipe children","OK"))))))))))</x:f>
      </x:c>
    </x:row>
    <x:row r="129" ht="22" customHeight="1">
      <x:c r="A129" s="10"/>
      <x:c r="B129" s="10"/>
      <x:c r="C129" s="10"/>
      <x:c r="D129" s="10"/>
      <x:c r="E129" s="12"/>
      <x:c r="F129" s="10"/>
      <x:c r="G129" s="9" t="str">
        <x:f>IF(A129="","",IF(B129="",C129,IF(COUNTIFS('Recipes'!$A$8:$A$207,D129)=1,VLOOKUP(D129,'Recipes'!$A$8:$F$207,3,FALSE),"")))</x:f>
      </x:c>
      <x:c r="H129" s="9" t="str">
        <x:f>IF(A129="","",IF(COUNTIFS('Definitions'!$A$8:$A$207,G129)=1,REPT("    ",IF(ISNUMBER(M129),M129,0))&amp;VLOOKUP(G129,'Definitions'!$A$8:$J$207,2,FALSE),"Unknown definition"))</x:f>
      </x:c>
      <x:c r="I129" s="11" t="str">
        <x:f>IF(A129="","",IF(B129="",1,IF(COUNTIFS('Recipes'!$A$8:$A$207,D129)=1,VLOOKUP(D129,'Recipes'!$A$8:$F$207,4,FALSE),"")))</x:f>
      </x:c>
      <x:c r="J129" s="11" t="str">
        <x:f>IF(A129="","",IF(ISBLANK(E129),I129,E129))</x:f>
      </x:c>
      <x:c r="K129" s="11" t="str">
        <x:f>IF(A129="","",IF(NOT(ISNUMBER(J129)),"",IF(B129="",J129,IF(COUNTIFS($A$8:$A$128,B129)=1,IF(ISNUMBER(VLOOKUP(B129,$A$8:$N$128,11,FALSE)),J129*VLOOKUP(B129,$A$8:$N$128,11,FALSE),""),""))))</x:f>
      </x:c>
      <x:c r="L129" s="9" t="str">
        <x:f>IF(A129="","",IF(B129="",F129,IF(COUNTIFS($A$8:$A$128,B129)=1,VLOOKUP(B129,$A$8:$N$128,12,FALSE),"")))</x:f>
      </x:c>
      <x:c r="M129" s="11" t="str">
        <x:f>IF(A129="","",IF(B129="",0,IF(COUNTIFS($A$8:$A$128,B129)=1,IF(ISNUMBER(VLOOKUP(B129,$A$8:$N$128,13,FALSE)),VLOOKUP(B129,$A$8:$N$128,13,FALSE)+1,""),"")))</x:f>
      </x:c>
      <x:c r="N129" s="9" t="str">
        <x:f>IF(A129="","",IF(COUNTIFS('Layout'!$A$8:$A$207,A129)&lt;&gt;1,"Duplicate role",IF(AND(B129&lt;&gt;"",COUNTIFS($A$8:$A$128,B129)&lt;&gt;1),"Parent must appear above child",IF(COUNTIFS('Definitions'!$A$8:$A$207,G129)&lt;&gt;1,"Unknown / duplicate definition",IF(AND(B129="",OR(C129="",D129&lt;&gt;"",AND(F129&lt;&gt;"Build",F129&lt;&gt;"Spares"))),"Set root definition and purpose",IF(AND(B129&lt;&gt;"",COUNTIFS('Recipes'!$A$8:$A$207,D129)&lt;&gt;1),"Choose a unique recipe line",IF(AND(B129&lt;&gt;"",OR(C129&lt;&gt;"",F129&lt;&gt;"")),"Clear child root-only inputs",IF(AND(B129&lt;&gt;"",COUNTIFS($A$8:$A$128,B129)=1,COUNTIFS('Recipes'!$A$8:$A$207,D129)=1),IF(VLOOKUP(D129,'Recipes'!$A$8:$F$207,2,FALSE)&lt;&gt;VLOOKUP(B129,$A$8:$N$128,7,FALSE),"Recipe parent mismatch",IF(COUNTIFS($B$8:$B$207,B129,$D$8:$D$207,D129)&lt;&gt;1,"Duplicate child recipe",IF(OR(NOT(ISNUMBER(J129)),J129&lt;0,MOD(J129,1)&lt;&gt;0),"Set nonnegative whole qty",IF(COUNTIFS('Recipes'!$B$8:$B$207,G129)&lt;&gt;COUNTIFS($B$8:$B$207,A129,$D$8:$D$207,"&lt;&gt;",$A$8:$A$207,"&lt;&gt;"),"Missing / extra recipe children","OK")))),IF(OR(NOT(ISNUMBER(J129)),J129&lt;0,MOD(J129,1)&lt;&gt;0),"Set nonnegative whole qty",IF(COUNTIFS('Recipes'!$B$8:$B$207,G129)&lt;&gt;COUNTIFS($B$8:$B$207,A129,$D$8:$D$207,"&lt;&gt;",$A$8:$A$207,"&lt;&gt;"),"Missing / extra recipe children","OK"))))))))))</x:f>
      </x:c>
    </x:row>
    <x:row r="130" ht="22" customHeight="1">
      <x:c r="A130" s="10"/>
      <x:c r="B130" s="10"/>
      <x:c r="C130" s="10"/>
      <x:c r="D130" s="10"/>
      <x:c r="E130" s="12"/>
      <x:c r="F130" s="10"/>
      <x:c r="G130" s="9" t="str">
        <x:f>IF(A130="","",IF(B130="",C130,IF(COUNTIFS('Recipes'!$A$8:$A$207,D130)=1,VLOOKUP(D130,'Recipes'!$A$8:$F$207,3,FALSE),"")))</x:f>
      </x:c>
      <x:c r="H130" s="9" t="str">
        <x:f>IF(A130="","",IF(COUNTIFS('Definitions'!$A$8:$A$207,G130)=1,REPT("    ",IF(ISNUMBER(M130),M130,0))&amp;VLOOKUP(G130,'Definitions'!$A$8:$J$207,2,FALSE),"Unknown definition"))</x:f>
      </x:c>
      <x:c r="I130" s="11" t="str">
        <x:f>IF(A130="","",IF(B130="",1,IF(COUNTIFS('Recipes'!$A$8:$A$207,D130)=1,VLOOKUP(D130,'Recipes'!$A$8:$F$207,4,FALSE),"")))</x:f>
      </x:c>
      <x:c r="J130" s="11" t="str">
        <x:f>IF(A130="","",IF(ISBLANK(E130),I130,E130))</x:f>
      </x:c>
      <x:c r="K130" s="11" t="str">
        <x:f>IF(A130="","",IF(NOT(ISNUMBER(J130)),"",IF(B130="",J130,IF(COUNTIFS($A$8:$A$129,B130)=1,IF(ISNUMBER(VLOOKUP(B130,$A$8:$N$129,11,FALSE)),J130*VLOOKUP(B130,$A$8:$N$129,11,FALSE),""),""))))</x:f>
      </x:c>
      <x:c r="L130" s="9" t="str">
        <x:f>IF(A130="","",IF(B130="",F130,IF(COUNTIFS($A$8:$A$129,B130)=1,VLOOKUP(B130,$A$8:$N$129,12,FALSE),"")))</x:f>
      </x:c>
      <x:c r="M130" s="11" t="str">
        <x:f>IF(A130="","",IF(B130="",0,IF(COUNTIFS($A$8:$A$129,B130)=1,IF(ISNUMBER(VLOOKUP(B130,$A$8:$N$129,13,FALSE)),VLOOKUP(B130,$A$8:$N$129,13,FALSE)+1,""),"")))</x:f>
      </x:c>
      <x:c r="N130" s="9" t="str">
        <x:f>IF(A130="","",IF(COUNTIFS('Layout'!$A$8:$A$207,A130)&lt;&gt;1,"Duplicate role",IF(AND(B130&lt;&gt;"",COUNTIFS($A$8:$A$129,B130)&lt;&gt;1),"Parent must appear above child",IF(COUNTIFS('Definitions'!$A$8:$A$207,G130)&lt;&gt;1,"Unknown / duplicate definition",IF(AND(B130="",OR(C130="",D130&lt;&gt;"",AND(F130&lt;&gt;"Build",F130&lt;&gt;"Spares"))),"Set root definition and purpose",IF(AND(B130&lt;&gt;"",COUNTIFS('Recipes'!$A$8:$A$207,D130)&lt;&gt;1),"Choose a unique recipe line",IF(AND(B130&lt;&gt;"",OR(C130&lt;&gt;"",F130&lt;&gt;"")),"Clear child root-only inputs",IF(AND(B130&lt;&gt;"",COUNTIFS($A$8:$A$129,B130)=1,COUNTIFS('Recipes'!$A$8:$A$207,D130)=1),IF(VLOOKUP(D130,'Recipes'!$A$8:$F$207,2,FALSE)&lt;&gt;VLOOKUP(B130,$A$8:$N$129,7,FALSE),"Recipe parent mismatch",IF(COUNTIFS($B$8:$B$207,B130,$D$8:$D$207,D130)&lt;&gt;1,"Duplicate child recipe",IF(OR(NOT(ISNUMBER(J130)),J130&lt;0,MOD(J130,1)&lt;&gt;0),"Set nonnegative whole qty",IF(COUNTIFS('Recipes'!$B$8:$B$207,G130)&lt;&gt;COUNTIFS($B$8:$B$207,A130,$D$8:$D$207,"&lt;&gt;",$A$8:$A$207,"&lt;&gt;"),"Missing / extra recipe children","OK")))),IF(OR(NOT(ISNUMBER(J130)),J130&lt;0,MOD(J130,1)&lt;&gt;0),"Set nonnegative whole qty",IF(COUNTIFS('Recipes'!$B$8:$B$207,G130)&lt;&gt;COUNTIFS($B$8:$B$207,A130,$D$8:$D$207,"&lt;&gt;",$A$8:$A$207,"&lt;&gt;"),"Missing / extra recipe children","OK"))))))))))</x:f>
      </x:c>
    </x:row>
    <x:row r="131" ht="22" customHeight="1">
      <x:c r="A131" s="10"/>
      <x:c r="B131" s="10"/>
      <x:c r="C131" s="10"/>
      <x:c r="D131" s="10"/>
      <x:c r="E131" s="12"/>
      <x:c r="F131" s="10"/>
      <x:c r="G131" s="9" t="str">
        <x:f>IF(A131="","",IF(B131="",C131,IF(COUNTIFS('Recipes'!$A$8:$A$207,D131)=1,VLOOKUP(D131,'Recipes'!$A$8:$F$207,3,FALSE),"")))</x:f>
      </x:c>
      <x:c r="H131" s="9" t="str">
        <x:f>IF(A131="","",IF(COUNTIFS('Definitions'!$A$8:$A$207,G131)=1,REPT("    ",IF(ISNUMBER(M131),M131,0))&amp;VLOOKUP(G131,'Definitions'!$A$8:$J$207,2,FALSE),"Unknown definition"))</x:f>
      </x:c>
      <x:c r="I131" s="11" t="str">
        <x:f>IF(A131="","",IF(B131="",1,IF(COUNTIFS('Recipes'!$A$8:$A$207,D131)=1,VLOOKUP(D131,'Recipes'!$A$8:$F$207,4,FALSE),"")))</x:f>
      </x:c>
      <x:c r="J131" s="11" t="str">
        <x:f>IF(A131="","",IF(ISBLANK(E131),I131,E131))</x:f>
      </x:c>
      <x:c r="K131" s="11" t="str">
        <x:f>IF(A131="","",IF(NOT(ISNUMBER(J131)),"",IF(B131="",J131,IF(COUNTIFS($A$8:$A$130,B131)=1,IF(ISNUMBER(VLOOKUP(B131,$A$8:$N$130,11,FALSE)),J131*VLOOKUP(B131,$A$8:$N$130,11,FALSE),""),""))))</x:f>
      </x:c>
      <x:c r="L131" s="9" t="str">
        <x:f>IF(A131="","",IF(B131="",F131,IF(COUNTIFS($A$8:$A$130,B131)=1,VLOOKUP(B131,$A$8:$N$130,12,FALSE),"")))</x:f>
      </x:c>
      <x:c r="M131" s="11" t="str">
        <x:f>IF(A131="","",IF(B131="",0,IF(COUNTIFS($A$8:$A$130,B131)=1,IF(ISNUMBER(VLOOKUP(B131,$A$8:$N$130,13,FALSE)),VLOOKUP(B131,$A$8:$N$130,13,FALSE)+1,""),"")))</x:f>
      </x:c>
      <x:c r="N131" s="9" t="str">
        <x:f>IF(A131="","",IF(COUNTIFS('Layout'!$A$8:$A$207,A131)&lt;&gt;1,"Duplicate role",IF(AND(B131&lt;&gt;"",COUNTIFS($A$8:$A$130,B131)&lt;&gt;1),"Parent must appear above child",IF(COUNTIFS('Definitions'!$A$8:$A$207,G131)&lt;&gt;1,"Unknown / duplicate definition",IF(AND(B131="",OR(C131="",D131&lt;&gt;"",AND(F131&lt;&gt;"Build",F131&lt;&gt;"Spares"))),"Set root definition and purpose",IF(AND(B131&lt;&gt;"",COUNTIFS('Recipes'!$A$8:$A$207,D131)&lt;&gt;1),"Choose a unique recipe line",IF(AND(B131&lt;&gt;"",OR(C131&lt;&gt;"",F131&lt;&gt;"")),"Clear child root-only inputs",IF(AND(B131&lt;&gt;"",COUNTIFS($A$8:$A$130,B131)=1,COUNTIFS('Recipes'!$A$8:$A$207,D131)=1),IF(VLOOKUP(D131,'Recipes'!$A$8:$F$207,2,FALSE)&lt;&gt;VLOOKUP(B131,$A$8:$N$130,7,FALSE),"Recipe parent mismatch",IF(COUNTIFS($B$8:$B$207,B131,$D$8:$D$207,D131)&lt;&gt;1,"Duplicate child recipe",IF(OR(NOT(ISNUMBER(J131)),J131&lt;0,MOD(J131,1)&lt;&gt;0),"Set nonnegative whole qty",IF(COUNTIFS('Recipes'!$B$8:$B$207,G131)&lt;&gt;COUNTIFS($B$8:$B$207,A131,$D$8:$D$207,"&lt;&gt;",$A$8:$A$207,"&lt;&gt;"),"Missing / extra recipe children","OK")))),IF(OR(NOT(ISNUMBER(J131)),J131&lt;0,MOD(J131,1)&lt;&gt;0),"Set nonnegative whole qty",IF(COUNTIFS('Recipes'!$B$8:$B$207,G131)&lt;&gt;COUNTIFS($B$8:$B$207,A131,$D$8:$D$207,"&lt;&gt;",$A$8:$A$207,"&lt;&gt;"),"Missing / extra recipe children","OK"))))))))))</x:f>
      </x:c>
    </x:row>
    <x:row r="132" ht="22" customHeight="1">
      <x:c r="A132" s="10"/>
      <x:c r="B132" s="10"/>
      <x:c r="C132" s="10"/>
      <x:c r="D132" s="10"/>
      <x:c r="E132" s="12"/>
      <x:c r="F132" s="10"/>
      <x:c r="G132" s="9" t="str">
        <x:f>IF(A132="","",IF(B132="",C132,IF(COUNTIFS('Recipes'!$A$8:$A$207,D132)=1,VLOOKUP(D132,'Recipes'!$A$8:$F$207,3,FALSE),"")))</x:f>
      </x:c>
      <x:c r="H132" s="9" t="str">
        <x:f>IF(A132="","",IF(COUNTIFS('Definitions'!$A$8:$A$207,G132)=1,REPT("    ",IF(ISNUMBER(M132),M132,0))&amp;VLOOKUP(G132,'Definitions'!$A$8:$J$207,2,FALSE),"Unknown definition"))</x:f>
      </x:c>
      <x:c r="I132" s="11" t="str">
        <x:f>IF(A132="","",IF(B132="",1,IF(COUNTIFS('Recipes'!$A$8:$A$207,D132)=1,VLOOKUP(D132,'Recipes'!$A$8:$F$207,4,FALSE),"")))</x:f>
      </x:c>
      <x:c r="J132" s="11" t="str">
        <x:f>IF(A132="","",IF(ISBLANK(E132),I132,E132))</x:f>
      </x:c>
      <x:c r="K132" s="11" t="str">
        <x:f>IF(A132="","",IF(NOT(ISNUMBER(J132)),"",IF(B132="",J132,IF(COUNTIFS($A$8:$A$131,B132)=1,IF(ISNUMBER(VLOOKUP(B132,$A$8:$N$131,11,FALSE)),J132*VLOOKUP(B132,$A$8:$N$131,11,FALSE),""),""))))</x:f>
      </x:c>
      <x:c r="L132" s="9" t="str">
        <x:f>IF(A132="","",IF(B132="",F132,IF(COUNTIFS($A$8:$A$131,B132)=1,VLOOKUP(B132,$A$8:$N$131,12,FALSE),"")))</x:f>
      </x:c>
      <x:c r="M132" s="11" t="str">
        <x:f>IF(A132="","",IF(B132="",0,IF(COUNTIFS($A$8:$A$131,B132)=1,IF(ISNUMBER(VLOOKUP(B132,$A$8:$N$131,13,FALSE)),VLOOKUP(B132,$A$8:$N$131,13,FALSE)+1,""),"")))</x:f>
      </x:c>
      <x:c r="N132" s="9" t="str">
        <x:f>IF(A132="","",IF(COUNTIFS('Layout'!$A$8:$A$207,A132)&lt;&gt;1,"Duplicate role",IF(AND(B132&lt;&gt;"",COUNTIFS($A$8:$A$131,B132)&lt;&gt;1),"Parent must appear above child",IF(COUNTIFS('Definitions'!$A$8:$A$207,G132)&lt;&gt;1,"Unknown / duplicate definition",IF(AND(B132="",OR(C132="",D132&lt;&gt;"",AND(F132&lt;&gt;"Build",F132&lt;&gt;"Spares"))),"Set root definition and purpose",IF(AND(B132&lt;&gt;"",COUNTIFS('Recipes'!$A$8:$A$207,D132)&lt;&gt;1),"Choose a unique recipe line",IF(AND(B132&lt;&gt;"",OR(C132&lt;&gt;"",F132&lt;&gt;"")),"Clear child root-only inputs",IF(AND(B132&lt;&gt;"",COUNTIFS($A$8:$A$131,B132)=1,COUNTIFS('Recipes'!$A$8:$A$207,D132)=1),IF(VLOOKUP(D132,'Recipes'!$A$8:$F$207,2,FALSE)&lt;&gt;VLOOKUP(B132,$A$8:$N$131,7,FALSE),"Recipe parent mismatch",IF(COUNTIFS($B$8:$B$207,B132,$D$8:$D$207,D132)&lt;&gt;1,"Duplicate child recipe",IF(OR(NOT(ISNUMBER(J132)),J132&lt;0,MOD(J132,1)&lt;&gt;0),"Set nonnegative whole qty",IF(COUNTIFS('Recipes'!$B$8:$B$207,G132)&lt;&gt;COUNTIFS($B$8:$B$207,A132,$D$8:$D$207,"&lt;&gt;",$A$8:$A$207,"&lt;&gt;"),"Missing / extra recipe children","OK")))),IF(OR(NOT(ISNUMBER(J132)),J132&lt;0,MOD(J132,1)&lt;&gt;0),"Set nonnegative whole qty",IF(COUNTIFS('Recipes'!$B$8:$B$207,G132)&lt;&gt;COUNTIFS($B$8:$B$207,A132,$D$8:$D$207,"&lt;&gt;",$A$8:$A$207,"&lt;&gt;"),"Missing / extra recipe children","OK"))))))))))</x:f>
      </x:c>
    </x:row>
    <x:row r="133" ht="22" customHeight="1">
      <x:c r="A133" s="10"/>
      <x:c r="B133" s="10"/>
      <x:c r="C133" s="10"/>
      <x:c r="D133" s="10"/>
      <x:c r="E133" s="12"/>
      <x:c r="F133" s="10"/>
      <x:c r="G133" s="9" t="str">
        <x:f>IF(A133="","",IF(B133="",C133,IF(COUNTIFS('Recipes'!$A$8:$A$207,D133)=1,VLOOKUP(D133,'Recipes'!$A$8:$F$207,3,FALSE),"")))</x:f>
      </x:c>
      <x:c r="H133" s="9" t="str">
        <x:f>IF(A133="","",IF(COUNTIFS('Definitions'!$A$8:$A$207,G133)=1,REPT("    ",IF(ISNUMBER(M133),M133,0))&amp;VLOOKUP(G133,'Definitions'!$A$8:$J$207,2,FALSE),"Unknown definition"))</x:f>
      </x:c>
      <x:c r="I133" s="11" t="str">
        <x:f>IF(A133="","",IF(B133="",1,IF(COUNTIFS('Recipes'!$A$8:$A$207,D133)=1,VLOOKUP(D133,'Recipes'!$A$8:$F$207,4,FALSE),"")))</x:f>
      </x:c>
      <x:c r="J133" s="11" t="str">
        <x:f>IF(A133="","",IF(ISBLANK(E133),I133,E133))</x:f>
      </x:c>
      <x:c r="K133" s="11" t="str">
        <x:f>IF(A133="","",IF(NOT(ISNUMBER(J133)),"",IF(B133="",J133,IF(COUNTIFS($A$8:$A$132,B133)=1,IF(ISNUMBER(VLOOKUP(B133,$A$8:$N$132,11,FALSE)),J133*VLOOKUP(B133,$A$8:$N$132,11,FALSE),""),""))))</x:f>
      </x:c>
      <x:c r="L133" s="9" t="str">
        <x:f>IF(A133="","",IF(B133="",F133,IF(COUNTIFS($A$8:$A$132,B133)=1,VLOOKUP(B133,$A$8:$N$132,12,FALSE),"")))</x:f>
      </x:c>
      <x:c r="M133" s="11" t="str">
        <x:f>IF(A133="","",IF(B133="",0,IF(COUNTIFS($A$8:$A$132,B133)=1,IF(ISNUMBER(VLOOKUP(B133,$A$8:$N$132,13,FALSE)),VLOOKUP(B133,$A$8:$N$132,13,FALSE)+1,""),"")))</x:f>
      </x:c>
      <x:c r="N133" s="9" t="str">
        <x:f>IF(A133="","",IF(COUNTIFS('Layout'!$A$8:$A$207,A133)&lt;&gt;1,"Duplicate role",IF(AND(B133&lt;&gt;"",COUNTIFS($A$8:$A$132,B133)&lt;&gt;1),"Parent must appear above child",IF(COUNTIFS('Definitions'!$A$8:$A$207,G133)&lt;&gt;1,"Unknown / duplicate definition",IF(AND(B133="",OR(C133="",D133&lt;&gt;"",AND(F133&lt;&gt;"Build",F133&lt;&gt;"Spares"))),"Set root definition and purpose",IF(AND(B133&lt;&gt;"",COUNTIFS('Recipes'!$A$8:$A$207,D133)&lt;&gt;1),"Choose a unique recipe line",IF(AND(B133&lt;&gt;"",OR(C133&lt;&gt;"",F133&lt;&gt;"")),"Clear child root-only inputs",IF(AND(B133&lt;&gt;"",COUNTIFS($A$8:$A$132,B133)=1,COUNTIFS('Recipes'!$A$8:$A$207,D133)=1),IF(VLOOKUP(D133,'Recipes'!$A$8:$F$207,2,FALSE)&lt;&gt;VLOOKUP(B133,$A$8:$N$132,7,FALSE),"Recipe parent mismatch",IF(COUNTIFS($B$8:$B$207,B133,$D$8:$D$207,D133)&lt;&gt;1,"Duplicate child recipe",IF(OR(NOT(ISNUMBER(J133)),J133&lt;0,MOD(J133,1)&lt;&gt;0),"Set nonnegative whole qty",IF(COUNTIFS('Recipes'!$B$8:$B$207,G133)&lt;&gt;COUNTIFS($B$8:$B$207,A133,$D$8:$D$207,"&lt;&gt;",$A$8:$A$207,"&lt;&gt;"),"Missing / extra recipe children","OK")))),IF(OR(NOT(ISNUMBER(J133)),J133&lt;0,MOD(J133,1)&lt;&gt;0),"Set nonnegative whole qty",IF(COUNTIFS('Recipes'!$B$8:$B$207,G133)&lt;&gt;COUNTIFS($B$8:$B$207,A133,$D$8:$D$207,"&lt;&gt;",$A$8:$A$207,"&lt;&gt;"),"Missing / extra recipe children","OK"))))))))))</x:f>
      </x:c>
    </x:row>
    <x:row r="134" ht="22" customHeight="1">
      <x:c r="A134" s="10"/>
      <x:c r="B134" s="10"/>
      <x:c r="C134" s="10"/>
      <x:c r="D134" s="10"/>
      <x:c r="E134" s="12"/>
      <x:c r="F134" s="10"/>
      <x:c r="G134" s="9" t="str">
        <x:f>IF(A134="","",IF(B134="",C134,IF(COUNTIFS('Recipes'!$A$8:$A$207,D134)=1,VLOOKUP(D134,'Recipes'!$A$8:$F$207,3,FALSE),"")))</x:f>
      </x:c>
      <x:c r="H134" s="9" t="str">
        <x:f>IF(A134="","",IF(COUNTIFS('Definitions'!$A$8:$A$207,G134)=1,REPT("    ",IF(ISNUMBER(M134),M134,0))&amp;VLOOKUP(G134,'Definitions'!$A$8:$J$207,2,FALSE),"Unknown definition"))</x:f>
      </x:c>
      <x:c r="I134" s="11" t="str">
        <x:f>IF(A134="","",IF(B134="",1,IF(COUNTIFS('Recipes'!$A$8:$A$207,D134)=1,VLOOKUP(D134,'Recipes'!$A$8:$F$207,4,FALSE),"")))</x:f>
      </x:c>
      <x:c r="J134" s="11" t="str">
        <x:f>IF(A134="","",IF(ISBLANK(E134),I134,E134))</x:f>
      </x:c>
      <x:c r="K134" s="11" t="str">
        <x:f>IF(A134="","",IF(NOT(ISNUMBER(J134)),"",IF(B134="",J134,IF(COUNTIFS($A$8:$A$133,B134)=1,IF(ISNUMBER(VLOOKUP(B134,$A$8:$N$133,11,FALSE)),J134*VLOOKUP(B134,$A$8:$N$133,11,FALSE),""),""))))</x:f>
      </x:c>
      <x:c r="L134" s="9" t="str">
        <x:f>IF(A134="","",IF(B134="",F134,IF(COUNTIFS($A$8:$A$133,B134)=1,VLOOKUP(B134,$A$8:$N$133,12,FALSE),"")))</x:f>
      </x:c>
      <x:c r="M134" s="11" t="str">
        <x:f>IF(A134="","",IF(B134="",0,IF(COUNTIFS($A$8:$A$133,B134)=1,IF(ISNUMBER(VLOOKUP(B134,$A$8:$N$133,13,FALSE)),VLOOKUP(B134,$A$8:$N$133,13,FALSE)+1,""),"")))</x:f>
      </x:c>
      <x:c r="N134" s="9" t="str">
        <x:f>IF(A134="","",IF(COUNTIFS('Layout'!$A$8:$A$207,A134)&lt;&gt;1,"Duplicate role",IF(AND(B134&lt;&gt;"",COUNTIFS($A$8:$A$133,B134)&lt;&gt;1),"Parent must appear above child",IF(COUNTIFS('Definitions'!$A$8:$A$207,G134)&lt;&gt;1,"Unknown / duplicate definition",IF(AND(B134="",OR(C134="",D134&lt;&gt;"",AND(F134&lt;&gt;"Build",F134&lt;&gt;"Spares"))),"Set root definition and purpose",IF(AND(B134&lt;&gt;"",COUNTIFS('Recipes'!$A$8:$A$207,D134)&lt;&gt;1),"Choose a unique recipe line",IF(AND(B134&lt;&gt;"",OR(C134&lt;&gt;"",F134&lt;&gt;"")),"Clear child root-only inputs",IF(AND(B134&lt;&gt;"",COUNTIFS($A$8:$A$133,B134)=1,COUNTIFS('Recipes'!$A$8:$A$207,D134)=1),IF(VLOOKUP(D134,'Recipes'!$A$8:$F$207,2,FALSE)&lt;&gt;VLOOKUP(B134,$A$8:$N$133,7,FALSE),"Recipe parent mismatch",IF(COUNTIFS($B$8:$B$207,B134,$D$8:$D$207,D134)&lt;&gt;1,"Duplicate child recipe",IF(OR(NOT(ISNUMBER(J134)),J134&lt;0,MOD(J134,1)&lt;&gt;0),"Set nonnegative whole qty",IF(COUNTIFS('Recipes'!$B$8:$B$207,G134)&lt;&gt;COUNTIFS($B$8:$B$207,A134,$D$8:$D$207,"&lt;&gt;",$A$8:$A$207,"&lt;&gt;"),"Missing / extra recipe children","OK")))),IF(OR(NOT(ISNUMBER(J134)),J134&lt;0,MOD(J134,1)&lt;&gt;0),"Set nonnegative whole qty",IF(COUNTIFS('Recipes'!$B$8:$B$207,G134)&lt;&gt;COUNTIFS($B$8:$B$207,A134,$D$8:$D$207,"&lt;&gt;",$A$8:$A$207,"&lt;&gt;"),"Missing / extra recipe children","OK"))))))))))</x:f>
      </x:c>
    </x:row>
    <x:row r="135" ht="22" customHeight="1">
      <x:c r="A135" s="10"/>
      <x:c r="B135" s="10"/>
      <x:c r="C135" s="10"/>
      <x:c r="D135" s="10"/>
      <x:c r="E135" s="12"/>
      <x:c r="F135" s="10"/>
      <x:c r="G135" s="9" t="str">
        <x:f>IF(A135="","",IF(B135="",C135,IF(COUNTIFS('Recipes'!$A$8:$A$207,D135)=1,VLOOKUP(D135,'Recipes'!$A$8:$F$207,3,FALSE),"")))</x:f>
      </x:c>
      <x:c r="H135" s="9" t="str">
        <x:f>IF(A135="","",IF(COUNTIFS('Definitions'!$A$8:$A$207,G135)=1,REPT("    ",IF(ISNUMBER(M135),M135,0))&amp;VLOOKUP(G135,'Definitions'!$A$8:$J$207,2,FALSE),"Unknown definition"))</x:f>
      </x:c>
      <x:c r="I135" s="11" t="str">
        <x:f>IF(A135="","",IF(B135="",1,IF(COUNTIFS('Recipes'!$A$8:$A$207,D135)=1,VLOOKUP(D135,'Recipes'!$A$8:$F$207,4,FALSE),"")))</x:f>
      </x:c>
      <x:c r="J135" s="11" t="str">
        <x:f>IF(A135="","",IF(ISBLANK(E135),I135,E135))</x:f>
      </x:c>
      <x:c r="K135" s="11" t="str">
        <x:f>IF(A135="","",IF(NOT(ISNUMBER(J135)),"",IF(B135="",J135,IF(COUNTIFS($A$8:$A$134,B135)=1,IF(ISNUMBER(VLOOKUP(B135,$A$8:$N$134,11,FALSE)),J135*VLOOKUP(B135,$A$8:$N$134,11,FALSE),""),""))))</x:f>
      </x:c>
      <x:c r="L135" s="9" t="str">
        <x:f>IF(A135="","",IF(B135="",F135,IF(COUNTIFS($A$8:$A$134,B135)=1,VLOOKUP(B135,$A$8:$N$134,12,FALSE),"")))</x:f>
      </x:c>
      <x:c r="M135" s="11" t="str">
        <x:f>IF(A135="","",IF(B135="",0,IF(COUNTIFS($A$8:$A$134,B135)=1,IF(ISNUMBER(VLOOKUP(B135,$A$8:$N$134,13,FALSE)),VLOOKUP(B135,$A$8:$N$134,13,FALSE)+1,""),"")))</x:f>
      </x:c>
      <x:c r="N135" s="9" t="str">
        <x:f>IF(A135="","",IF(COUNTIFS('Layout'!$A$8:$A$207,A135)&lt;&gt;1,"Duplicate role",IF(AND(B135&lt;&gt;"",COUNTIFS($A$8:$A$134,B135)&lt;&gt;1),"Parent must appear above child",IF(COUNTIFS('Definitions'!$A$8:$A$207,G135)&lt;&gt;1,"Unknown / duplicate definition",IF(AND(B135="",OR(C135="",D135&lt;&gt;"",AND(F135&lt;&gt;"Build",F135&lt;&gt;"Spares"))),"Set root definition and purpose",IF(AND(B135&lt;&gt;"",COUNTIFS('Recipes'!$A$8:$A$207,D135)&lt;&gt;1),"Choose a unique recipe line",IF(AND(B135&lt;&gt;"",OR(C135&lt;&gt;"",F135&lt;&gt;"")),"Clear child root-only inputs",IF(AND(B135&lt;&gt;"",COUNTIFS($A$8:$A$134,B135)=1,COUNTIFS('Recipes'!$A$8:$A$207,D135)=1),IF(VLOOKUP(D135,'Recipes'!$A$8:$F$207,2,FALSE)&lt;&gt;VLOOKUP(B135,$A$8:$N$134,7,FALSE),"Recipe parent mismatch",IF(COUNTIFS($B$8:$B$207,B135,$D$8:$D$207,D135)&lt;&gt;1,"Duplicate child recipe",IF(OR(NOT(ISNUMBER(J135)),J135&lt;0,MOD(J135,1)&lt;&gt;0),"Set nonnegative whole qty",IF(COUNTIFS('Recipes'!$B$8:$B$207,G135)&lt;&gt;COUNTIFS($B$8:$B$207,A135,$D$8:$D$207,"&lt;&gt;",$A$8:$A$207,"&lt;&gt;"),"Missing / extra recipe children","OK")))),IF(OR(NOT(ISNUMBER(J135)),J135&lt;0,MOD(J135,1)&lt;&gt;0),"Set nonnegative whole qty",IF(COUNTIFS('Recipes'!$B$8:$B$207,G135)&lt;&gt;COUNTIFS($B$8:$B$207,A135,$D$8:$D$207,"&lt;&gt;",$A$8:$A$207,"&lt;&gt;"),"Missing / extra recipe children","OK"))))))))))</x:f>
      </x:c>
    </x:row>
    <x:row r="136" ht="22" customHeight="1">
      <x:c r="A136" s="10"/>
      <x:c r="B136" s="10"/>
      <x:c r="C136" s="10"/>
      <x:c r="D136" s="10"/>
      <x:c r="E136" s="12"/>
      <x:c r="F136" s="10"/>
      <x:c r="G136" s="9" t="str">
        <x:f>IF(A136="","",IF(B136="",C136,IF(COUNTIFS('Recipes'!$A$8:$A$207,D136)=1,VLOOKUP(D136,'Recipes'!$A$8:$F$207,3,FALSE),"")))</x:f>
      </x:c>
      <x:c r="H136" s="9" t="str">
        <x:f>IF(A136="","",IF(COUNTIFS('Definitions'!$A$8:$A$207,G136)=1,REPT("    ",IF(ISNUMBER(M136),M136,0))&amp;VLOOKUP(G136,'Definitions'!$A$8:$J$207,2,FALSE),"Unknown definition"))</x:f>
      </x:c>
      <x:c r="I136" s="11" t="str">
        <x:f>IF(A136="","",IF(B136="",1,IF(COUNTIFS('Recipes'!$A$8:$A$207,D136)=1,VLOOKUP(D136,'Recipes'!$A$8:$F$207,4,FALSE),"")))</x:f>
      </x:c>
      <x:c r="J136" s="11" t="str">
        <x:f>IF(A136="","",IF(ISBLANK(E136),I136,E136))</x:f>
      </x:c>
      <x:c r="K136" s="11" t="str">
        <x:f>IF(A136="","",IF(NOT(ISNUMBER(J136)),"",IF(B136="",J136,IF(COUNTIFS($A$8:$A$135,B136)=1,IF(ISNUMBER(VLOOKUP(B136,$A$8:$N$135,11,FALSE)),J136*VLOOKUP(B136,$A$8:$N$135,11,FALSE),""),""))))</x:f>
      </x:c>
      <x:c r="L136" s="9" t="str">
        <x:f>IF(A136="","",IF(B136="",F136,IF(COUNTIFS($A$8:$A$135,B136)=1,VLOOKUP(B136,$A$8:$N$135,12,FALSE),"")))</x:f>
      </x:c>
      <x:c r="M136" s="11" t="str">
        <x:f>IF(A136="","",IF(B136="",0,IF(COUNTIFS($A$8:$A$135,B136)=1,IF(ISNUMBER(VLOOKUP(B136,$A$8:$N$135,13,FALSE)),VLOOKUP(B136,$A$8:$N$135,13,FALSE)+1,""),"")))</x:f>
      </x:c>
      <x:c r="N136" s="9" t="str">
        <x:f>IF(A136="","",IF(COUNTIFS('Layout'!$A$8:$A$207,A136)&lt;&gt;1,"Duplicate role",IF(AND(B136&lt;&gt;"",COUNTIFS($A$8:$A$135,B136)&lt;&gt;1),"Parent must appear above child",IF(COUNTIFS('Definitions'!$A$8:$A$207,G136)&lt;&gt;1,"Unknown / duplicate definition",IF(AND(B136="",OR(C136="",D136&lt;&gt;"",AND(F136&lt;&gt;"Build",F136&lt;&gt;"Spares"))),"Set root definition and purpose",IF(AND(B136&lt;&gt;"",COUNTIFS('Recipes'!$A$8:$A$207,D136)&lt;&gt;1),"Choose a unique recipe line",IF(AND(B136&lt;&gt;"",OR(C136&lt;&gt;"",F136&lt;&gt;"")),"Clear child root-only inputs",IF(AND(B136&lt;&gt;"",COUNTIFS($A$8:$A$135,B136)=1,COUNTIFS('Recipes'!$A$8:$A$207,D136)=1),IF(VLOOKUP(D136,'Recipes'!$A$8:$F$207,2,FALSE)&lt;&gt;VLOOKUP(B136,$A$8:$N$135,7,FALSE),"Recipe parent mismatch",IF(COUNTIFS($B$8:$B$207,B136,$D$8:$D$207,D136)&lt;&gt;1,"Duplicate child recipe",IF(OR(NOT(ISNUMBER(J136)),J136&lt;0,MOD(J136,1)&lt;&gt;0),"Set nonnegative whole qty",IF(COUNTIFS('Recipes'!$B$8:$B$207,G136)&lt;&gt;COUNTIFS($B$8:$B$207,A136,$D$8:$D$207,"&lt;&gt;",$A$8:$A$207,"&lt;&gt;"),"Missing / extra recipe children","OK")))),IF(OR(NOT(ISNUMBER(J136)),J136&lt;0,MOD(J136,1)&lt;&gt;0),"Set nonnegative whole qty",IF(COUNTIFS('Recipes'!$B$8:$B$207,G136)&lt;&gt;COUNTIFS($B$8:$B$207,A136,$D$8:$D$207,"&lt;&gt;",$A$8:$A$207,"&lt;&gt;"),"Missing / extra recipe children","OK"))))))))))</x:f>
      </x:c>
    </x:row>
    <x:row r="137" ht="22" customHeight="1">
      <x:c r="A137" s="10"/>
      <x:c r="B137" s="10"/>
      <x:c r="C137" s="10"/>
      <x:c r="D137" s="10"/>
      <x:c r="E137" s="12"/>
      <x:c r="F137" s="10"/>
      <x:c r="G137" s="9" t="str">
        <x:f>IF(A137="","",IF(B137="",C137,IF(COUNTIFS('Recipes'!$A$8:$A$207,D137)=1,VLOOKUP(D137,'Recipes'!$A$8:$F$207,3,FALSE),"")))</x:f>
      </x:c>
      <x:c r="H137" s="9" t="str">
        <x:f>IF(A137="","",IF(COUNTIFS('Definitions'!$A$8:$A$207,G137)=1,REPT("    ",IF(ISNUMBER(M137),M137,0))&amp;VLOOKUP(G137,'Definitions'!$A$8:$J$207,2,FALSE),"Unknown definition"))</x:f>
      </x:c>
      <x:c r="I137" s="11" t="str">
        <x:f>IF(A137="","",IF(B137="",1,IF(COUNTIFS('Recipes'!$A$8:$A$207,D137)=1,VLOOKUP(D137,'Recipes'!$A$8:$F$207,4,FALSE),"")))</x:f>
      </x:c>
      <x:c r="J137" s="11" t="str">
        <x:f>IF(A137="","",IF(ISBLANK(E137),I137,E137))</x:f>
      </x:c>
      <x:c r="K137" s="11" t="str">
        <x:f>IF(A137="","",IF(NOT(ISNUMBER(J137)),"",IF(B137="",J137,IF(COUNTIFS($A$8:$A$136,B137)=1,IF(ISNUMBER(VLOOKUP(B137,$A$8:$N$136,11,FALSE)),J137*VLOOKUP(B137,$A$8:$N$136,11,FALSE),""),""))))</x:f>
      </x:c>
      <x:c r="L137" s="9" t="str">
        <x:f>IF(A137="","",IF(B137="",F137,IF(COUNTIFS($A$8:$A$136,B137)=1,VLOOKUP(B137,$A$8:$N$136,12,FALSE),"")))</x:f>
      </x:c>
      <x:c r="M137" s="11" t="str">
        <x:f>IF(A137="","",IF(B137="",0,IF(COUNTIFS($A$8:$A$136,B137)=1,IF(ISNUMBER(VLOOKUP(B137,$A$8:$N$136,13,FALSE)),VLOOKUP(B137,$A$8:$N$136,13,FALSE)+1,""),"")))</x:f>
      </x:c>
      <x:c r="N137" s="9" t="str">
        <x:f>IF(A137="","",IF(COUNTIFS('Layout'!$A$8:$A$207,A137)&lt;&gt;1,"Duplicate role",IF(AND(B137&lt;&gt;"",COUNTIFS($A$8:$A$136,B137)&lt;&gt;1),"Parent must appear above child",IF(COUNTIFS('Definitions'!$A$8:$A$207,G137)&lt;&gt;1,"Unknown / duplicate definition",IF(AND(B137="",OR(C137="",D137&lt;&gt;"",AND(F137&lt;&gt;"Build",F137&lt;&gt;"Spares"))),"Set root definition and purpose",IF(AND(B137&lt;&gt;"",COUNTIFS('Recipes'!$A$8:$A$207,D137)&lt;&gt;1),"Choose a unique recipe line",IF(AND(B137&lt;&gt;"",OR(C137&lt;&gt;"",F137&lt;&gt;"")),"Clear child root-only inputs",IF(AND(B137&lt;&gt;"",COUNTIFS($A$8:$A$136,B137)=1,COUNTIFS('Recipes'!$A$8:$A$207,D137)=1),IF(VLOOKUP(D137,'Recipes'!$A$8:$F$207,2,FALSE)&lt;&gt;VLOOKUP(B137,$A$8:$N$136,7,FALSE),"Recipe parent mismatch",IF(COUNTIFS($B$8:$B$207,B137,$D$8:$D$207,D137)&lt;&gt;1,"Duplicate child recipe",IF(OR(NOT(ISNUMBER(J137)),J137&lt;0,MOD(J137,1)&lt;&gt;0),"Set nonnegative whole qty",IF(COUNTIFS('Recipes'!$B$8:$B$207,G137)&lt;&gt;COUNTIFS($B$8:$B$207,A137,$D$8:$D$207,"&lt;&gt;",$A$8:$A$207,"&lt;&gt;"),"Missing / extra recipe children","OK")))),IF(OR(NOT(ISNUMBER(J137)),J137&lt;0,MOD(J137,1)&lt;&gt;0),"Set nonnegative whole qty",IF(COUNTIFS('Recipes'!$B$8:$B$207,G137)&lt;&gt;COUNTIFS($B$8:$B$207,A137,$D$8:$D$207,"&lt;&gt;",$A$8:$A$207,"&lt;&gt;"),"Missing / extra recipe children","OK"))))))))))</x:f>
      </x:c>
    </x:row>
    <x:row r="138" ht="22" customHeight="1">
      <x:c r="A138" s="10"/>
      <x:c r="B138" s="10"/>
      <x:c r="C138" s="10"/>
      <x:c r="D138" s="10"/>
      <x:c r="E138" s="12"/>
      <x:c r="F138" s="10"/>
      <x:c r="G138" s="9" t="str">
        <x:f>IF(A138="","",IF(B138="",C138,IF(COUNTIFS('Recipes'!$A$8:$A$207,D138)=1,VLOOKUP(D138,'Recipes'!$A$8:$F$207,3,FALSE),"")))</x:f>
      </x:c>
      <x:c r="H138" s="9" t="str">
        <x:f>IF(A138="","",IF(COUNTIFS('Definitions'!$A$8:$A$207,G138)=1,REPT("    ",IF(ISNUMBER(M138),M138,0))&amp;VLOOKUP(G138,'Definitions'!$A$8:$J$207,2,FALSE),"Unknown definition"))</x:f>
      </x:c>
      <x:c r="I138" s="11" t="str">
        <x:f>IF(A138="","",IF(B138="",1,IF(COUNTIFS('Recipes'!$A$8:$A$207,D138)=1,VLOOKUP(D138,'Recipes'!$A$8:$F$207,4,FALSE),"")))</x:f>
      </x:c>
      <x:c r="J138" s="11" t="str">
        <x:f>IF(A138="","",IF(ISBLANK(E138),I138,E138))</x:f>
      </x:c>
      <x:c r="K138" s="11" t="str">
        <x:f>IF(A138="","",IF(NOT(ISNUMBER(J138)),"",IF(B138="",J138,IF(COUNTIFS($A$8:$A$137,B138)=1,IF(ISNUMBER(VLOOKUP(B138,$A$8:$N$137,11,FALSE)),J138*VLOOKUP(B138,$A$8:$N$137,11,FALSE),""),""))))</x:f>
      </x:c>
      <x:c r="L138" s="9" t="str">
        <x:f>IF(A138="","",IF(B138="",F138,IF(COUNTIFS($A$8:$A$137,B138)=1,VLOOKUP(B138,$A$8:$N$137,12,FALSE),"")))</x:f>
      </x:c>
      <x:c r="M138" s="11" t="str">
        <x:f>IF(A138="","",IF(B138="",0,IF(COUNTIFS($A$8:$A$137,B138)=1,IF(ISNUMBER(VLOOKUP(B138,$A$8:$N$137,13,FALSE)),VLOOKUP(B138,$A$8:$N$137,13,FALSE)+1,""),"")))</x:f>
      </x:c>
      <x:c r="N138" s="9" t="str">
        <x:f>IF(A138="","",IF(COUNTIFS('Layout'!$A$8:$A$207,A138)&lt;&gt;1,"Duplicate role",IF(AND(B138&lt;&gt;"",COUNTIFS($A$8:$A$137,B138)&lt;&gt;1),"Parent must appear above child",IF(COUNTIFS('Definitions'!$A$8:$A$207,G138)&lt;&gt;1,"Unknown / duplicate definition",IF(AND(B138="",OR(C138="",D138&lt;&gt;"",AND(F138&lt;&gt;"Build",F138&lt;&gt;"Spares"))),"Set root definition and purpose",IF(AND(B138&lt;&gt;"",COUNTIFS('Recipes'!$A$8:$A$207,D138)&lt;&gt;1),"Choose a unique recipe line",IF(AND(B138&lt;&gt;"",OR(C138&lt;&gt;"",F138&lt;&gt;"")),"Clear child root-only inputs",IF(AND(B138&lt;&gt;"",COUNTIFS($A$8:$A$137,B138)=1,COUNTIFS('Recipes'!$A$8:$A$207,D138)=1),IF(VLOOKUP(D138,'Recipes'!$A$8:$F$207,2,FALSE)&lt;&gt;VLOOKUP(B138,$A$8:$N$137,7,FALSE),"Recipe parent mismatch",IF(COUNTIFS($B$8:$B$207,B138,$D$8:$D$207,D138)&lt;&gt;1,"Duplicate child recipe",IF(OR(NOT(ISNUMBER(J138)),J138&lt;0,MOD(J138,1)&lt;&gt;0),"Set nonnegative whole qty",IF(COUNTIFS('Recipes'!$B$8:$B$207,G138)&lt;&gt;COUNTIFS($B$8:$B$207,A138,$D$8:$D$207,"&lt;&gt;",$A$8:$A$207,"&lt;&gt;"),"Missing / extra recipe children","OK")))),IF(OR(NOT(ISNUMBER(J138)),J138&lt;0,MOD(J138,1)&lt;&gt;0),"Set nonnegative whole qty",IF(COUNTIFS('Recipes'!$B$8:$B$207,G138)&lt;&gt;COUNTIFS($B$8:$B$207,A138,$D$8:$D$207,"&lt;&gt;",$A$8:$A$207,"&lt;&gt;"),"Missing / extra recipe children","OK"))))))))))</x:f>
      </x:c>
    </x:row>
    <x:row r="139" ht="22" customHeight="1">
      <x:c r="A139" s="10"/>
      <x:c r="B139" s="10"/>
      <x:c r="C139" s="10"/>
      <x:c r="D139" s="10"/>
      <x:c r="E139" s="12"/>
      <x:c r="F139" s="10"/>
      <x:c r="G139" s="9" t="str">
        <x:f>IF(A139="","",IF(B139="",C139,IF(COUNTIFS('Recipes'!$A$8:$A$207,D139)=1,VLOOKUP(D139,'Recipes'!$A$8:$F$207,3,FALSE),"")))</x:f>
      </x:c>
      <x:c r="H139" s="9" t="str">
        <x:f>IF(A139="","",IF(COUNTIFS('Definitions'!$A$8:$A$207,G139)=1,REPT("    ",IF(ISNUMBER(M139),M139,0))&amp;VLOOKUP(G139,'Definitions'!$A$8:$J$207,2,FALSE),"Unknown definition"))</x:f>
      </x:c>
      <x:c r="I139" s="11" t="str">
        <x:f>IF(A139="","",IF(B139="",1,IF(COUNTIFS('Recipes'!$A$8:$A$207,D139)=1,VLOOKUP(D139,'Recipes'!$A$8:$F$207,4,FALSE),"")))</x:f>
      </x:c>
      <x:c r="J139" s="11" t="str">
        <x:f>IF(A139="","",IF(ISBLANK(E139),I139,E139))</x:f>
      </x:c>
      <x:c r="K139" s="11" t="str">
        <x:f>IF(A139="","",IF(NOT(ISNUMBER(J139)),"",IF(B139="",J139,IF(COUNTIFS($A$8:$A$138,B139)=1,IF(ISNUMBER(VLOOKUP(B139,$A$8:$N$138,11,FALSE)),J139*VLOOKUP(B139,$A$8:$N$138,11,FALSE),""),""))))</x:f>
      </x:c>
      <x:c r="L139" s="9" t="str">
        <x:f>IF(A139="","",IF(B139="",F139,IF(COUNTIFS($A$8:$A$138,B139)=1,VLOOKUP(B139,$A$8:$N$138,12,FALSE),"")))</x:f>
      </x:c>
      <x:c r="M139" s="11" t="str">
        <x:f>IF(A139="","",IF(B139="",0,IF(COUNTIFS($A$8:$A$138,B139)=1,IF(ISNUMBER(VLOOKUP(B139,$A$8:$N$138,13,FALSE)),VLOOKUP(B139,$A$8:$N$138,13,FALSE)+1,""),"")))</x:f>
      </x:c>
      <x:c r="N139" s="9" t="str">
        <x:f>IF(A139="","",IF(COUNTIFS('Layout'!$A$8:$A$207,A139)&lt;&gt;1,"Duplicate role",IF(AND(B139&lt;&gt;"",COUNTIFS($A$8:$A$138,B139)&lt;&gt;1),"Parent must appear above child",IF(COUNTIFS('Definitions'!$A$8:$A$207,G139)&lt;&gt;1,"Unknown / duplicate definition",IF(AND(B139="",OR(C139="",D139&lt;&gt;"",AND(F139&lt;&gt;"Build",F139&lt;&gt;"Spares"))),"Set root definition and purpose",IF(AND(B139&lt;&gt;"",COUNTIFS('Recipes'!$A$8:$A$207,D139)&lt;&gt;1),"Choose a unique recipe line",IF(AND(B139&lt;&gt;"",OR(C139&lt;&gt;"",F139&lt;&gt;"")),"Clear child root-only inputs",IF(AND(B139&lt;&gt;"",COUNTIFS($A$8:$A$138,B139)=1,COUNTIFS('Recipes'!$A$8:$A$207,D139)=1),IF(VLOOKUP(D139,'Recipes'!$A$8:$F$207,2,FALSE)&lt;&gt;VLOOKUP(B139,$A$8:$N$138,7,FALSE),"Recipe parent mismatch",IF(COUNTIFS($B$8:$B$207,B139,$D$8:$D$207,D139)&lt;&gt;1,"Duplicate child recipe",IF(OR(NOT(ISNUMBER(J139)),J139&lt;0,MOD(J139,1)&lt;&gt;0),"Set nonnegative whole qty",IF(COUNTIFS('Recipes'!$B$8:$B$207,G139)&lt;&gt;COUNTIFS($B$8:$B$207,A139,$D$8:$D$207,"&lt;&gt;",$A$8:$A$207,"&lt;&gt;"),"Missing / extra recipe children","OK")))),IF(OR(NOT(ISNUMBER(J139)),J139&lt;0,MOD(J139,1)&lt;&gt;0),"Set nonnegative whole qty",IF(COUNTIFS('Recipes'!$B$8:$B$207,G139)&lt;&gt;COUNTIFS($B$8:$B$207,A139,$D$8:$D$207,"&lt;&gt;",$A$8:$A$207,"&lt;&gt;"),"Missing / extra recipe children","OK"))))))))))</x:f>
      </x:c>
    </x:row>
    <x:row r="140" ht="22" customHeight="1">
      <x:c r="A140" s="10"/>
      <x:c r="B140" s="10"/>
      <x:c r="C140" s="10"/>
      <x:c r="D140" s="10"/>
      <x:c r="E140" s="12"/>
      <x:c r="F140" s="10"/>
      <x:c r="G140" s="9" t="str">
        <x:f>IF(A140="","",IF(B140="",C140,IF(COUNTIFS('Recipes'!$A$8:$A$207,D140)=1,VLOOKUP(D140,'Recipes'!$A$8:$F$207,3,FALSE),"")))</x:f>
      </x:c>
      <x:c r="H140" s="9" t="str">
        <x:f>IF(A140="","",IF(COUNTIFS('Definitions'!$A$8:$A$207,G140)=1,REPT("    ",IF(ISNUMBER(M140),M140,0))&amp;VLOOKUP(G140,'Definitions'!$A$8:$J$207,2,FALSE),"Unknown definition"))</x:f>
      </x:c>
      <x:c r="I140" s="11" t="str">
        <x:f>IF(A140="","",IF(B140="",1,IF(COUNTIFS('Recipes'!$A$8:$A$207,D140)=1,VLOOKUP(D140,'Recipes'!$A$8:$F$207,4,FALSE),"")))</x:f>
      </x:c>
      <x:c r="J140" s="11" t="str">
        <x:f>IF(A140="","",IF(ISBLANK(E140),I140,E140))</x:f>
      </x:c>
      <x:c r="K140" s="11" t="str">
        <x:f>IF(A140="","",IF(NOT(ISNUMBER(J140)),"",IF(B140="",J140,IF(COUNTIFS($A$8:$A$139,B140)=1,IF(ISNUMBER(VLOOKUP(B140,$A$8:$N$139,11,FALSE)),J140*VLOOKUP(B140,$A$8:$N$139,11,FALSE),""),""))))</x:f>
      </x:c>
      <x:c r="L140" s="9" t="str">
        <x:f>IF(A140="","",IF(B140="",F140,IF(COUNTIFS($A$8:$A$139,B140)=1,VLOOKUP(B140,$A$8:$N$139,12,FALSE),"")))</x:f>
      </x:c>
      <x:c r="M140" s="11" t="str">
        <x:f>IF(A140="","",IF(B140="",0,IF(COUNTIFS($A$8:$A$139,B140)=1,IF(ISNUMBER(VLOOKUP(B140,$A$8:$N$139,13,FALSE)),VLOOKUP(B140,$A$8:$N$139,13,FALSE)+1,""),"")))</x:f>
      </x:c>
      <x:c r="N140" s="9" t="str">
        <x:f>IF(A140="","",IF(COUNTIFS('Layout'!$A$8:$A$207,A140)&lt;&gt;1,"Duplicate role",IF(AND(B140&lt;&gt;"",COUNTIFS($A$8:$A$139,B140)&lt;&gt;1),"Parent must appear above child",IF(COUNTIFS('Definitions'!$A$8:$A$207,G140)&lt;&gt;1,"Unknown / duplicate definition",IF(AND(B140="",OR(C140="",D140&lt;&gt;"",AND(F140&lt;&gt;"Build",F140&lt;&gt;"Spares"))),"Set root definition and purpose",IF(AND(B140&lt;&gt;"",COUNTIFS('Recipes'!$A$8:$A$207,D140)&lt;&gt;1),"Choose a unique recipe line",IF(AND(B140&lt;&gt;"",OR(C140&lt;&gt;"",F140&lt;&gt;"")),"Clear child root-only inputs",IF(AND(B140&lt;&gt;"",COUNTIFS($A$8:$A$139,B140)=1,COUNTIFS('Recipes'!$A$8:$A$207,D140)=1),IF(VLOOKUP(D140,'Recipes'!$A$8:$F$207,2,FALSE)&lt;&gt;VLOOKUP(B140,$A$8:$N$139,7,FALSE),"Recipe parent mismatch",IF(COUNTIFS($B$8:$B$207,B140,$D$8:$D$207,D140)&lt;&gt;1,"Duplicate child recipe",IF(OR(NOT(ISNUMBER(J140)),J140&lt;0,MOD(J140,1)&lt;&gt;0),"Set nonnegative whole qty",IF(COUNTIFS('Recipes'!$B$8:$B$207,G140)&lt;&gt;COUNTIFS($B$8:$B$207,A140,$D$8:$D$207,"&lt;&gt;",$A$8:$A$207,"&lt;&gt;"),"Missing / extra recipe children","OK")))),IF(OR(NOT(ISNUMBER(J140)),J140&lt;0,MOD(J140,1)&lt;&gt;0),"Set nonnegative whole qty",IF(COUNTIFS('Recipes'!$B$8:$B$207,G140)&lt;&gt;COUNTIFS($B$8:$B$207,A140,$D$8:$D$207,"&lt;&gt;",$A$8:$A$207,"&lt;&gt;"),"Missing / extra recipe children","OK"))))))))))</x:f>
      </x:c>
    </x:row>
    <x:row r="141" ht="22" customHeight="1">
      <x:c r="A141" s="10"/>
      <x:c r="B141" s="10"/>
      <x:c r="C141" s="10"/>
      <x:c r="D141" s="10"/>
      <x:c r="E141" s="12"/>
      <x:c r="F141" s="10"/>
      <x:c r="G141" s="9" t="str">
        <x:f>IF(A141="","",IF(B141="",C141,IF(COUNTIFS('Recipes'!$A$8:$A$207,D141)=1,VLOOKUP(D141,'Recipes'!$A$8:$F$207,3,FALSE),"")))</x:f>
      </x:c>
      <x:c r="H141" s="9" t="str">
        <x:f>IF(A141="","",IF(COUNTIFS('Definitions'!$A$8:$A$207,G141)=1,REPT("    ",IF(ISNUMBER(M141),M141,0))&amp;VLOOKUP(G141,'Definitions'!$A$8:$J$207,2,FALSE),"Unknown definition"))</x:f>
      </x:c>
      <x:c r="I141" s="11" t="str">
        <x:f>IF(A141="","",IF(B141="",1,IF(COUNTIFS('Recipes'!$A$8:$A$207,D141)=1,VLOOKUP(D141,'Recipes'!$A$8:$F$207,4,FALSE),"")))</x:f>
      </x:c>
      <x:c r="J141" s="11" t="str">
        <x:f>IF(A141="","",IF(ISBLANK(E141),I141,E141))</x:f>
      </x:c>
      <x:c r="K141" s="11" t="str">
        <x:f>IF(A141="","",IF(NOT(ISNUMBER(J141)),"",IF(B141="",J141,IF(COUNTIFS($A$8:$A$140,B141)=1,IF(ISNUMBER(VLOOKUP(B141,$A$8:$N$140,11,FALSE)),J141*VLOOKUP(B141,$A$8:$N$140,11,FALSE),""),""))))</x:f>
      </x:c>
      <x:c r="L141" s="9" t="str">
        <x:f>IF(A141="","",IF(B141="",F141,IF(COUNTIFS($A$8:$A$140,B141)=1,VLOOKUP(B141,$A$8:$N$140,12,FALSE),"")))</x:f>
      </x:c>
      <x:c r="M141" s="11" t="str">
        <x:f>IF(A141="","",IF(B141="",0,IF(COUNTIFS($A$8:$A$140,B141)=1,IF(ISNUMBER(VLOOKUP(B141,$A$8:$N$140,13,FALSE)),VLOOKUP(B141,$A$8:$N$140,13,FALSE)+1,""),"")))</x:f>
      </x:c>
      <x:c r="N141" s="9" t="str">
        <x:f>IF(A141="","",IF(COUNTIFS('Layout'!$A$8:$A$207,A141)&lt;&gt;1,"Duplicate role",IF(AND(B141&lt;&gt;"",COUNTIFS($A$8:$A$140,B141)&lt;&gt;1),"Parent must appear above child",IF(COUNTIFS('Definitions'!$A$8:$A$207,G141)&lt;&gt;1,"Unknown / duplicate definition",IF(AND(B141="",OR(C141="",D141&lt;&gt;"",AND(F141&lt;&gt;"Build",F141&lt;&gt;"Spares"))),"Set root definition and purpose",IF(AND(B141&lt;&gt;"",COUNTIFS('Recipes'!$A$8:$A$207,D141)&lt;&gt;1),"Choose a unique recipe line",IF(AND(B141&lt;&gt;"",OR(C141&lt;&gt;"",F141&lt;&gt;"")),"Clear child root-only inputs",IF(AND(B141&lt;&gt;"",COUNTIFS($A$8:$A$140,B141)=1,COUNTIFS('Recipes'!$A$8:$A$207,D141)=1),IF(VLOOKUP(D141,'Recipes'!$A$8:$F$207,2,FALSE)&lt;&gt;VLOOKUP(B141,$A$8:$N$140,7,FALSE),"Recipe parent mismatch",IF(COUNTIFS($B$8:$B$207,B141,$D$8:$D$207,D141)&lt;&gt;1,"Duplicate child recipe",IF(OR(NOT(ISNUMBER(J141)),J141&lt;0,MOD(J141,1)&lt;&gt;0),"Set nonnegative whole qty",IF(COUNTIFS('Recipes'!$B$8:$B$207,G141)&lt;&gt;COUNTIFS($B$8:$B$207,A141,$D$8:$D$207,"&lt;&gt;",$A$8:$A$207,"&lt;&gt;"),"Missing / extra recipe children","OK")))),IF(OR(NOT(ISNUMBER(J141)),J141&lt;0,MOD(J141,1)&lt;&gt;0),"Set nonnegative whole qty",IF(COUNTIFS('Recipes'!$B$8:$B$207,G141)&lt;&gt;COUNTIFS($B$8:$B$207,A141,$D$8:$D$207,"&lt;&gt;",$A$8:$A$207,"&lt;&gt;"),"Missing / extra recipe children","OK"))))))))))</x:f>
      </x:c>
    </x:row>
    <x:row r="142" ht="22" customHeight="1">
      <x:c r="A142" s="10"/>
      <x:c r="B142" s="10"/>
      <x:c r="C142" s="10"/>
      <x:c r="D142" s="10"/>
      <x:c r="E142" s="12"/>
      <x:c r="F142" s="10"/>
      <x:c r="G142" s="9" t="str">
        <x:f>IF(A142="","",IF(B142="",C142,IF(COUNTIFS('Recipes'!$A$8:$A$207,D142)=1,VLOOKUP(D142,'Recipes'!$A$8:$F$207,3,FALSE),"")))</x:f>
      </x:c>
      <x:c r="H142" s="9" t="str">
        <x:f>IF(A142="","",IF(COUNTIFS('Definitions'!$A$8:$A$207,G142)=1,REPT("    ",IF(ISNUMBER(M142),M142,0))&amp;VLOOKUP(G142,'Definitions'!$A$8:$J$207,2,FALSE),"Unknown definition"))</x:f>
      </x:c>
      <x:c r="I142" s="11" t="str">
        <x:f>IF(A142="","",IF(B142="",1,IF(COUNTIFS('Recipes'!$A$8:$A$207,D142)=1,VLOOKUP(D142,'Recipes'!$A$8:$F$207,4,FALSE),"")))</x:f>
      </x:c>
      <x:c r="J142" s="11" t="str">
        <x:f>IF(A142="","",IF(ISBLANK(E142),I142,E142))</x:f>
      </x:c>
      <x:c r="K142" s="11" t="str">
        <x:f>IF(A142="","",IF(NOT(ISNUMBER(J142)),"",IF(B142="",J142,IF(COUNTIFS($A$8:$A$141,B142)=1,IF(ISNUMBER(VLOOKUP(B142,$A$8:$N$141,11,FALSE)),J142*VLOOKUP(B142,$A$8:$N$141,11,FALSE),""),""))))</x:f>
      </x:c>
      <x:c r="L142" s="9" t="str">
        <x:f>IF(A142="","",IF(B142="",F142,IF(COUNTIFS($A$8:$A$141,B142)=1,VLOOKUP(B142,$A$8:$N$141,12,FALSE),"")))</x:f>
      </x:c>
      <x:c r="M142" s="11" t="str">
        <x:f>IF(A142="","",IF(B142="",0,IF(COUNTIFS($A$8:$A$141,B142)=1,IF(ISNUMBER(VLOOKUP(B142,$A$8:$N$141,13,FALSE)),VLOOKUP(B142,$A$8:$N$141,13,FALSE)+1,""),"")))</x:f>
      </x:c>
      <x:c r="N142" s="9" t="str">
        <x:f>IF(A142="","",IF(COUNTIFS('Layout'!$A$8:$A$207,A142)&lt;&gt;1,"Duplicate role",IF(AND(B142&lt;&gt;"",COUNTIFS($A$8:$A$141,B142)&lt;&gt;1),"Parent must appear above child",IF(COUNTIFS('Definitions'!$A$8:$A$207,G142)&lt;&gt;1,"Unknown / duplicate definition",IF(AND(B142="",OR(C142="",D142&lt;&gt;"",AND(F142&lt;&gt;"Build",F142&lt;&gt;"Spares"))),"Set root definition and purpose",IF(AND(B142&lt;&gt;"",COUNTIFS('Recipes'!$A$8:$A$207,D142)&lt;&gt;1),"Choose a unique recipe line",IF(AND(B142&lt;&gt;"",OR(C142&lt;&gt;"",F142&lt;&gt;"")),"Clear child root-only inputs",IF(AND(B142&lt;&gt;"",COUNTIFS($A$8:$A$141,B142)=1,COUNTIFS('Recipes'!$A$8:$A$207,D142)=1),IF(VLOOKUP(D142,'Recipes'!$A$8:$F$207,2,FALSE)&lt;&gt;VLOOKUP(B142,$A$8:$N$141,7,FALSE),"Recipe parent mismatch",IF(COUNTIFS($B$8:$B$207,B142,$D$8:$D$207,D142)&lt;&gt;1,"Duplicate child recipe",IF(OR(NOT(ISNUMBER(J142)),J142&lt;0,MOD(J142,1)&lt;&gt;0),"Set nonnegative whole qty",IF(COUNTIFS('Recipes'!$B$8:$B$207,G142)&lt;&gt;COUNTIFS($B$8:$B$207,A142,$D$8:$D$207,"&lt;&gt;",$A$8:$A$207,"&lt;&gt;"),"Missing / extra recipe children","OK")))),IF(OR(NOT(ISNUMBER(J142)),J142&lt;0,MOD(J142,1)&lt;&gt;0),"Set nonnegative whole qty",IF(COUNTIFS('Recipes'!$B$8:$B$207,G142)&lt;&gt;COUNTIFS($B$8:$B$207,A142,$D$8:$D$207,"&lt;&gt;",$A$8:$A$207,"&lt;&gt;"),"Missing / extra recipe children","OK"))))))))))</x:f>
      </x:c>
    </x:row>
    <x:row r="143" ht="22" customHeight="1">
      <x:c r="A143" s="10"/>
      <x:c r="B143" s="10"/>
      <x:c r="C143" s="10"/>
      <x:c r="D143" s="10"/>
      <x:c r="E143" s="12"/>
      <x:c r="F143" s="10"/>
      <x:c r="G143" s="9" t="str">
        <x:f>IF(A143="","",IF(B143="",C143,IF(COUNTIFS('Recipes'!$A$8:$A$207,D143)=1,VLOOKUP(D143,'Recipes'!$A$8:$F$207,3,FALSE),"")))</x:f>
      </x:c>
      <x:c r="H143" s="9" t="str">
        <x:f>IF(A143="","",IF(COUNTIFS('Definitions'!$A$8:$A$207,G143)=1,REPT("    ",IF(ISNUMBER(M143),M143,0))&amp;VLOOKUP(G143,'Definitions'!$A$8:$J$207,2,FALSE),"Unknown definition"))</x:f>
      </x:c>
      <x:c r="I143" s="11" t="str">
        <x:f>IF(A143="","",IF(B143="",1,IF(COUNTIFS('Recipes'!$A$8:$A$207,D143)=1,VLOOKUP(D143,'Recipes'!$A$8:$F$207,4,FALSE),"")))</x:f>
      </x:c>
      <x:c r="J143" s="11" t="str">
        <x:f>IF(A143="","",IF(ISBLANK(E143),I143,E143))</x:f>
      </x:c>
      <x:c r="K143" s="11" t="str">
        <x:f>IF(A143="","",IF(NOT(ISNUMBER(J143)),"",IF(B143="",J143,IF(COUNTIFS($A$8:$A$142,B143)=1,IF(ISNUMBER(VLOOKUP(B143,$A$8:$N$142,11,FALSE)),J143*VLOOKUP(B143,$A$8:$N$142,11,FALSE),""),""))))</x:f>
      </x:c>
      <x:c r="L143" s="9" t="str">
        <x:f>IF(A143="","",IF(B143="",F143,IF(COUNTIFS($A$8:$A$142,B143)=1,VLOOKUP(B143,$A$8:$N$142,12,FALSE),"")))</x:f>
      </x:c>
      <x:c r="M143" s="11" t="str">
        <x:f>IF(A143="","",IF(B143="",0,IF(COUNTIFS($A$8:$A$142,B143)=1,IF(ISNUMBER(VLOOKUP(B143,$A$8:$N$142,13,FALSE)),VLOOKUP(B143,$A$8:$N$142,13,FALSE)+1,""),"")))</x:f>
      </x:c>
      <x:c r="N143" s="9" t="str">
        <x:f>IF(A143="","",IF(COUNTIFS('Layout'!$A$8:$A$207,A143)&lt;&gt;1,"Duplicate role",IF(AND(B143&lt;&gt;"",COUNTIFS($A$8:$A$142,B143)&lt;&gt;1),"Parent must appear above child",IF(COUNTIFS('Definitions'!$A$8:$A$207,G143)&lt;&gt;1,"Unknown / duplicate definition",IF(AND(B143="",OR(C143="",D143&lt;&gt;"",AND(F143&lt;&gt;"Build",F143&lt;&gt;"Spares"))),"Set root definition and purpose",IF(AND(B143&lt;&gt;"",COUNTIFS('Recipes'!$A$8:$A$207,D143)&lt;&gt;1),"Choose a unique recipe line",IF(AND(B143&lt;&gt;"",OR(C143&lt;&gt;"",F143&lt;&gt;"")),"Clear child root-only inputs",IF(AND(B143&lt;&gt;"",COUNTIFS($A$8:$A$142,B143)=1,COUNTIFS('Recipes'!$A$8:$A$207,D143)=1),IF(VLOOKUP(D143,'Recipes'!$A$8:$F$207,2,FALSE)&lt;&gt;VLOOKUP(B143,$A$8:$N$142,7,FALSE),"Recipe parent mismatch",IF(COUNTIFS($B$8:$B$207,B143,$D$8:$D$207,D143)&lt;&gt;1,"Duplicate child recipe",IF(OR(NOT(ISNUMBER(J143)),J143&lt;0,MOD(J143,1)&lt;&gt;0),"Set nonnegative whole qty",IF(COUNTIFS('Recipes'!$B$8:$B$207,G143)&lt;&gt;COUNTIFS($B$8:$B$207,A143,$D$8:$D$207,"&lt;&gt;",$A$8:$A$207,"&lt;&gt;"),"Missing / extra recipe children","OK")))),IF(OR(NOT(ISNUMBER(J143)),J143&lt;0,MOD(J143,1)&lt;&gt;0),"Set nonnegative whole qty",IF(COUNTIFS('Recipes'!$B$8:$B$207,G143)&lt;&gt;COUNTIFS($B$8:$B$207,A143,$D$8:$D$207,"&lt;&gt;",$A$8:$A$207,"&lt;&gt;"),"Missing / extra recipe children","OK"))))))))))</x:f>
      </x:c>
    </x:row>
    <x:row r="144" ht="22" customHeight="1">
      <x:c r="A144" s="10"/>
      <x:c r="B144" s="10"/>
      <x:c r="C144" s="10"/>
      <x:c r="D144" s="10"/>
      <x:c r="E144" s="12"/>
      <x:c r="F144" s="10"/>
      <x:c r="G144" s="9" t="str">
        <x:f>IF(A144="","",IF(B144="",C144,IF(COUNTIFS('Recipes'!$A$8:$A$207,D144)=1,VLOOKUP(D144,'Recipes'!$A$8:$F$207,3,FALSE),"")))</x:f>
      </x:c>
      <x:c r="H144" s="9" t="str">
        <x:f>IF(A144="","",IF(COUNTIFS('Definitions'!$A$8:$A$207,G144)=1,REPT("    ",IF(ISNUMBER(M144),M144,0))&amp;VLOOKUP(G144,'Definitions'!$A$8:$J$207,2,FALSE),"Unknown definition"))</x:f>
      </x:c>
      <x:c r="I144" s="11" t="str">
        <x:f>IF(A144="","",IF(B144="",1,IF(COUNTIFS('Recipes'!$A$8:$A$207,D144)=1,VLOOKUP(D144,'Recipes'!$A$8:$F$207,4,FALSE),"")))</x:f>
      </x:c>
      <x:c r="J144" s="11" t="str">
        <x:f>IF(A144="","",IF(ISBLANK(E144),I144,E144))</x:f>
      </x:c>
      <x:c r="K144" s="11" t="str">
        <x:f>IF(A144="","",IF(NOT(ISNUMBER(J144)),"",IF(B144="",J144,IF(COUNTIFS($A$8:$A$143,B144)=1,IF(ISNUMBER(VLOOKUP(B144,$A$8:$N$143,11,FALSE)),J144*VLOOKUP(B144,$A$8:$N$143,11,FALSE),""),""))))</x:f>
      </x:c>
      <x:c r="L144" s="9" t="str">
        <x:f>IF(A144="","",IF(B144="",F144,IF(COUNTIFS($A$8:$A$143,B144)=1,VLOOKUP(B144,$A$8:$N$143,12,FALSE),"")))</x:f>
      </x:c>
      <x:c r="M144" s="11" t="str">
        <x:f>IF(A144="","",IF(B144="",0,IF(COUNTIFS($A$8:$A$143,B144)=1,IF(ISNUMBER(VLOOKUP(B144,$A$8:$N$143,13,FALSE)),VLOOKUP(B144,$A$8:$N$143,13,FALSE)+1,""),"")))</x:f>
      </x:c>
      <x:c r="N144" s="9" t="str">
        <x:f>IF(A144="","",IF(COUNTIFS('Layout'!$A$8:$A$207,A144)&lt;&gt;1,"Duplicate role",IF(AND(B144&lt;&gt;"",COUNTIFS($A$8:$A$143,B144)&lt;&gt;1),"Parent must appear above child",IF(COUNTIFS('Definitions'!$A$8:$A$207,G144)&lt;&gt;1,"Unknown / duplicate definition",IF(AND(B144="",OR(C144="",D144&lt;&gt;"",AND(F144&lt;&gt;"Build",F144&lt;&gt;"Spares"))),"Set root definition and purpose",IF(AND(B144&lt;&gt;"",COUNTIFS('Recipes'!$A$8:$A$207,D144)&lt;&gt;1),"Choose a unique recipe line",IF(AND(B144&lt;&gt;"",OR(C144&lt;&gt;"",F144&lt;&gt;"")),"Clear child root-only inputs",IF(AND(B144&lt;&gt;"",COUNTIFS($A$8:$A$143,B144)=1,COUNTIFS('Recipes'!$A$8:$A$207,D144)=1),IF(VLOOKUP(D144,'Recipes'!$A$8:$F$207,2,FALSE)&lt;&gt;VLOOKUP(B144,$A$8:$N$143,7,FALSE),"Recipe parent mismatch",IF(COUNTIFS($B$8:$B$207,B144,$D$8:$D$207,D144)&lt;&gt;1,"Duplicate child recipe",IF(OR(NOT(ISNUMBER(J144)),J144&lt;0,MOD(J144,1)&lt;&gt;0),"Set nonnegative whole qty",IF(COUNTIFS('Recipes'!$B$8:$B$207,G144)&lt;&gt;COUNTIFS($B$8:$B$207,A144,$D$8:$D$207,"&lt;&gt;",$A$8:$A$207,"&lt;&gt;"),"Missing / extra recipe children","OK")))),IF(OR(NOT(ISNUMBER(J144)),J144&lt;0,MOD(J144,1)&lt;&gt;0),"Set nonnegative whole qty",IF(COUNTIFS('Recipes'!$B$8:$B$207,G144)&lt;&gt;COUNTIFS($B$8:$B$207,A144,$D$8:$D$207,"&lt;&gt;",$A$8:$A$207,"&lt;&gt;"),"Missing / extra recipe children","OK"))))))))))</x:f>
      </x:c>
    </x:row>
    <x:row r="145" ht="22" customHeight="1">
      <x:c r="A145" s="10"/>
      <x:c r="B145" s="10"/>
      <x:c r="C145" s="10"/>
      <x:c r="D145" s="10"/>
      <x:c r="E145" s="12"/>
      <x:c r="F145" s="10"/>
      <x:c r="G145" s="9" t="str">
        <x:f>IF(A145="","",IF(B145="",C145,IF(COUNTIFS('Recipes'!$A$8:$A$207,D145)=1,VLOOKUP(D145,'Recipes'!$A$8:$F$207,3,FALSE),"")))</x:f>
      </x:c>
      <x:c r="H145" s="9" t="str">
        <x:f>IF(A145="","",IF(COUNTIFS('Definitions'!$A$8:$A$207,G145)=1,REPT("    ",IF(ISNUMBER(M145),M145,0))&amp;VLOOKUP(G145,'Definitions'!$A$8:$J$207,2,FALSE),"Unknown definition"))</x:f>
      </x:c>
      <x:c r="I145" s="11" t="str">
        <x:f>IF(A145="","",IF(B145="",1,IF(COUNTIFS('Recipes'!$A$8:$A$207,D145)=1,VLOOKUP(D145,'Recipes'!$A$8:$F$207,4,FALSE),"")))</x:f>
      </x:c>
      <x:c r="J145" s="11" t="str">
        <x:f>IF(A145="","",IF(ISBLANK(E145),I145,E145))</x:f>
      </x:c>
      <x:c r="K145" s="11" t="str">
        <x:f>IF(A145="","",IF(NOT(ISNUMBER(J145)),"",IF(B145="",J145,IF(COUNTIFS($A$8:$A$144,B145)=1,IF(ISNUMBER(VLOOKUP(B145,$A$8:$N$144,11,FALSE)),J145*VLOOKUP(B145,$A$8:$N$144,11,FALSE),""),""))))</x:f>
      </x:c>
      <x:c r="L145" s="9" t="str">
        <x:f>IF(A145="","",IF(B145="",F145,IF(COUNTIFS($A$8:$A$144,B145)=1,VLOOKUP(B145,$A$8:$N$144,12,FALSE),"")))</x:f>
      </x:c>
      <x:c r="M145" s="11" t="str">
        <x:f>IF(A145="","",IF(B145="",0,IF(COUNTIFS($A$8:$A$144,B145)=1,IF(ISNUMBER(VLOOKUP(B145,$A$8:$N$144,13,FALSE)),VLOOKUP(B145,$A$8:$N$144,13,FALSE)+1,""),"")))</x:f>
      </x:c>
      <x:c r="N145" s="9" t="str">
        <x:f>IF(A145="","",IF(COUNTIFS('Layout'!$A$8:$A$207,A145)&lt;&gt;1,"Duplicate role",IF(AND(B145&lt;&gt;"",COUNTIFS($A$8:$A$144,B145)&lt;&gt;1),"Parent must appear above child",IF(COUNTIFS('Definitions'!$A$8:$A$207,G145)&lt;&gt;1,"Unknown / duplicate definition",IF(AND(B145="",OR(C145="",D145&lt;&gt;"",AND(F145&lt;&gt;"Build",F145&lt;&gt;"Spares"))),"Set root definition and purpose",IF(AND(B145&lt;&gt;"",COUNTIFS('Recipes'!$A$8:$A$207,D145)&lt;&gt;1),"Choose a unique recipe line",IF(AND(B145&lt;&gt;"",OR(C145&lt;&gt;"",F145&lt;&gt;"")),"Clear child root-only inputs",IF(AND(B145&lt;&gt;"",COUNTIFS($A$8:$A$144,B145)=1,COUNTIFS('Recipes'!$A$8:$A$207,D145)=1),IF(VLOOKUP(D145,'Recipes'!$A$8:$F$207,2,FALSE)&lt;&gt;VLOOKUP(B145,$A$8:$N$144,7,FALSE),"Recipe parent mismatch",IF(COUNTIFS($B$8:$B$207,B145,$D$8:$D$207,D145)&lt;&gt;1,"Duplicate child recipe",IF(OR(NOT(ISNUMBER(J145)),J145&lt;0,MOD(J145,1)&lt;&gt;0),"Set nonnegative whole qty",IF(COUNTIFS('Recipes'!$B$8:$B$207,G145)&lt;&gt;COUNTIFS($B$8:$B$207,A145,$D$8:$D$207,"&lt;&gt;",$A$8:$A$207,"&lt;&gt;"),"Missing / extra recipe children","OK")))),IF(OR(NOT(ISNUMBER(J145)),J145&lt;0,MOD(J145,1)&lt;&gt;0),"Set nonnegative whole qty",IF(COUNTIFS('Recipes'!$B$8:$B$207,G145)&lt;&gt;COUNTIFS($B$8:$B$207,A145,$D$8:$D$207,"&lt;&gt;",$A$8:$A$207,"&lt;&gt;"),"Missing / extra recipe children","OK"))))))))))</x:f>
      </x:c>
    </x:row>
    <x:row r="146" ht="22" customHeight="1">
      <x:c r="A146" s="10"/>
      <x:c r="B146" s="10"/>
      <x:c r="C146" s="10"/>
      <x:c r="D146" s="10"/>
      <x:c r="E146" s="12"/>
      <x:c r="F146" s="10"/>
      <x:c r="G146" s="9" t="str">
        <x:f>IF(A146="","",IF(B146="",C146,IF(COUNTIFS('Recipes'!$A$8:$A$207,D146)=1,VLOOKUP(D146,'Recipes'!$A$8:$F$207,3,FALSE),"")))</x:f>
      </x:c>
      <x:c r="H146" s="9" t="str">
        <x:f>IF(A146="","",IF(COUNTIFS('Definitions'!$A$8:$A$207,G146)=1,REPT("    ",IF(ISNUMBER(M146),M146,0))&amp;VLOOKUP(G146,'Definitions'!$A$8:$J$207,2,FALSE),"Unknown definition"))</x:f>
      </x:c>
      <x:c r="I146" s="11" t="str">
        <x:f>IF(A146="","",IF(B146="",1,IF(COUNTIFS('Recipes'!$A$8:$A$207,D146)=1,VLOOKUP(D146,'Recipes'!$A$8:$F$207,4,FALSE),"")))</x:f>
      </x:c>
      <x:c r="J146" s="11" t="str">
        <x:f>IF(A146="","",IF(ISBLANK(E146),I146,E146))</x:f>
      </x:c>
      <x:c r="K146" s="11" t="str">
        <x:f>IF(A146="","",IF(NOT(ISNUMBER(J146)),"",IF(B146="",J146,IF(COUNTIFS($A$8:$A$145,B146)=1,IF(ISNUMBER(VLOOKUP(B146,$A$8:$N$145,11,FALSE)),J146*VLOOKUP(B146,$A$8:$N$145,11,FALSE),""),""))))</x:f>
      </x:c>
      <x:c r="L146" s="9" t="str">
        <x:f>IF(A146="","",IF(B146="",F146,IF(COUNTIFS($A$8:$A$145,B146)=1,VLOOKUP(B146,$A$8:$N$145,12,FALSE),"")))</x:f>
      </x:c>
      <x:c r="M146" s="11" t="str">
        <x:f>IF(A146="","",IF(B146="",0,IF(COUNTIFS($A$8:$A$145,B146)=1,IF(ISNUMBER(VLOOKUP(B146,$A$8:$N$145,13,FALSE)),VLOOKUP(B146,$A$8:$N$145,13,FALSE)+1,""),"")))</x:f>
      </x:c>
      <x:c r="N146" s="9" t="str">
        <x:f>IF(A146="","",IF(COUNTIFS('Layout'!$A$8:$A$207,A146)&lt;&gt;1,"Duplicate role",IF(AND(B146&lt;&gt;"",COUNTIFS($A$8:$A$145,B146)&lt;&gt;1),"Parent must appear above child",IF(COUNTIFS('Definitions'!$A$8:$A$207,G146)&lt;&gt;1,"Unknown / duplicate definition",IF(AND(B146="",OR(C146="",D146&lt;&gt;"",AND(F146&lt;&gt;"Build",F146&lt;&gt;"Spares"))),"Set root definition and purpose",IF(AND(B146&lt;&gt;"",COUNTIFS('Recipes'!$A$8:$A$207,D146)&lt;&gt;1),"Choose a unique recipe line",IF(AND(B146&lt;&gt;"",OR(C146&lt;&gt;"",F146&lt;&gt;"")),"Clear child root-only inputs",IF(AND(B146&lt;&gt;"",COUNTIFS($A$8:$A$145,B146)=1,COUNTIFS('Recipes'!$A$8:$A$207,D146)=1),IF(VLOOKUP(D146,'Recipes'!$A$8:$F$207,2,FALSE)&lt;&gt;VLOOKUP(B146,$A$8:$N$145,7,FALSE),"Recipe parent mismatch",IF(COUNTIFS($B$8:$B$207,B146,$D$8:$D$207,D146)&lt;&gt;1,"Duplicate child recipe",IF(OR(NOT(ISNUMBER(J146)),J146&lt;0,MOD(J146,1)&lt;&gt;0),"Set nonnegative whole qty",IF(COUNTIFS('Recipes'!$B$8:$B$207,G146)&lt;&gt;COUNTIFS($B$8:$B$207,A146,$D$8:$D$207,"&lt;&gt;",$A$8:$A$207,"&lt;&gt;"),"Missing / extra recipe children","OK")))),IF(OR(NOT(ISNUMBER(J146)),J146&lt;0,MOD(J146,1)&lt;&gt;0),"Set nonnegative whole qty",IF(COUNTIFS('Recipes'!$B$8:$B$207,G146)&lt;&gt;COUNTIFS($B$8:$B$207,A146,$D$8:$D$207,"&lt;&gt;",$A$8:$A$207,"&lt;&gt;"),"Missing / extra recipe children","OK"))))))))))</x:f>
      </x:c>
    </x:row>
    <x:row r="147" ht="22" customHeight="1">
      <x:c r="A147" s="10"/>
      <x:c r="B147" s="10"/>
      <x:c r="C147" s="10"/>
      <x:c r="D147" s="10"/>
      <x:c r="E147" s="12"/>
      <x:c r="F147" s="10"/>
      <x:c r="G147" s="9" t="str">
        <x:f>IF(A147="","",IF(B147="",C147,IF(COUNTIFS('Recipes'!$A$8:$A$207,D147)=1,VLOOKUP(D147,'Recipes'!$A$8:$F$207,3,FALSE),"")))</x:f>
      </x:c>
      <x:c r="H147" s="9" t="str">
        <x:f>IF(A147="","",IF(COUNTIFS('Definitions'!$A$8:$A$207,G147)=1,REPT("    ",IF(ISNUMBER(M147),M147,0))&amp;VLOOKUP(G147,'Definitions'!$A$8:$J$207,2,FALSE),"Unknown definition"))</x:f>
      </x:c>
      <x:c r="I147" s="11" t="str">
        <x:f>IF(A147="","",IF(B147="",1,IF(COUNTIFS('Recipes'!$A$8:$A$207,D147)=1,VLOOKUP(D147,'Recipes'!$A$8:$F$207,4,FALSE),"")))</x:f>
      </x:c>
      <x:c r="J147" s="11" t="str">
        <x:f>IF(A147="","",IF(ISBLANK(E147),I147,E147))</x:f>
      </x:c>
      <x:c r="K147" s="11" t="str">
        <x:f>IF(A147="","",IF(NOT(ISNUMBER(J147)),"",IF(B147="",J147,IF(COUNTIFS($A$8:$A$146,B147)=1,IF(ISNUMBER(VLOOKUP(B147,$A$8:$N$146,11,FALSE)),J147*VLOOKUP(B147,$A$8:$N$146,11,FALSE),""),""))))</x:f>
      </x:c>
      <x:c r="L147" s="9" t="str">
        <x:f>IF(A147="","",IF(B147="",F147,IF(COUNTIFS($A$8:$A$146,B147)=1,VLOOKUP(B147,$A$8:$N$146,12,FALSE),"")))</x:f>
      </x:c>
      <x:c r="M147" s="11" t="str">
        <x:f>IF(A147="","",IF(B147="",0,IF(COUNTIFS($A$8:$A$146,B147)=1,IF(ISNUMBER(VLOOKUP(B147,$A$8:$N$146,13,FALSE)),VLOOKUP(B147,$A$8:$N$146,13,FALSE)+1,""),"")))</x:f>
      </x:c>
      <x:c r="N147" s="9" t="str">
        <x:f>IF(A147="","",IF(COUNTIFS('Layout'!$A$8:$A$207,A147)&lt;&gt;1,"Duplicate role",IF(AND(B147&lt;&gt;"",COUNTIFS($A$8:$A$146,B147)&lt;&gt;1),"Parent must appear above child",IF(COUNTIFS('Definitions'!$A$8:$A$207,G147)&lt;&gt;1,"Unknown / duplicate definition",IF(AND(B147="",OR(C147="",D147&lt;&gt;"",AND(F147&lt;&gt;"Build",F147&lt;&gt;"Spares"))),"Set root definition and purpose",IF(AND(B147&lt;&gt;"",COUNTIFS('Recipes'!$A$8:$A$207,D147)&lt;&gt;1),"Choose a unique recipe line",IF(AND(B147&lt;&gt;"",OR(C147&lt;&gt;"",F147&lt;&gt;"")),"Clear child root-only inputs",IF(AND(B147&lt;&gt;"",COUNTIFS($A$8:$A$146,B147)=1,COUNTIFS('Recipes'!$A$8:$A$207,D147)=1),IF(VLOOKUP(D147,'Recipes'!$A$8:$F$207,2,FALSE)&lt;&gt;VLOOKUP(B147,$A$8:$N$146,7,FALSE),"Recipe parent mismatch",IF(COUNTIFS($B$8:$B$207,B147,$D$8:$D$207,D147)&lt;&gt;1,"Duplicate child recipe",IF(OR(NOT(ISNUMBER(J147)),J147&lt;0,MOD(J147,1)&lt;&gt;0),"Set nonnegative whole qty",IF(COUNTIFS('Recipes'!$B$8:$B$207,G147)&lt;&gt;COUNTIFS($B$8:$B$207,A147,$D$8:$D$207,"&lt;&gt;",$A$8:$A$207,"&lt;&gt;"),"Missing / extra recipe children","OK")))),IF(OR(NOT(ISNUMBER(J147)),J147&lt;0,MOD(J147,1)&lt;&gt;0),"Set nonnegative whole qty",IF(COUNTIFS('Recipes'!$B$8:$B$207,G147)&lt;&gt;COUNTIFS($B$8:$B$207,A147,$D$8:$D$207,"&lt;&gt;",$A$8:$A$207,"&lt;&gt;"),"Missing / extra recipe children","OK"))))))))))</x:f>
      </x:c>
    </x:row>
    <x:row r="148" ht="22" customHeight="1">
      <x:c r="A148" s="10"/>
      <x:c r="B148" s="10"/>
      <x:c r="C148" s="10"/>
      <x:c r="D148" s="10"/>
      <x:c r="E148" s="12"/>
      <x:c r="F148" s="10"/>
      <x:c r="G148" s="9" t="str">
        <x:f>IF(A148="","",IF(B148="",C148,IF(COUNTIFS('Recipes'!$A$8:$A$207,D148)=1,VLOOKUP(D148,'Recipes'!$A$8:$F$207,3,FALSE),"")))</x:f>
      </x:c>
      <x:c r="H148" s="9" t="str">
        <x:f>IF(A148="","",IF(COUNTIFS('Definitions'!$A$8:$A$207,G148)=1,REPT("    ",IF(ISNUMBER(M148),M148,0))&amp;VLOOKUP(G148,'Definitions'!$A$8:$J$207,2,FALSE),"Unknown definition"))</x:f>
      </x:c>
      <x:c r="I148" s="11" t="str">
        <x:f>IF(A148="","",IF(B148="",1,IF(COUNTIFS('Recipes'!$A$8:$A$207,D148)=1,VLOOKUP(D148,'Recipes'!$A$8:$F$207,4,FALSE),"")))</x:f>
      </x:c>
      <x:c r="J148" s="11" t="str">
        <x:f>IF(A148="","",IF(ISBLANK(E148),I148,E148))</x:f>
      </x:c>
      <x:c r="K148" s="11" t="str">
        <x:f>IF(A148="","",IF(NOT(ISNUMBER(J148)),"",IF(B148="",J148,IF(COUNTIFS($A$8:$A$147,B148)=1,IF(ISNUMBER(VLOOKUP(B148,$A$8:$N$147,11,FALSE)),J148*VLOOKUP(B148,$A$8:$N$147,11,FALSE),""),""))))</x:f>
      </x:c>
      <x:c r="L148" s="9" t="str">
        <x:f>IF(A148="","",IF(B148="",F148,IF(COUNTIFS($A$8:$A$147,B148)=1,VLOOKUP(B148,$A$8:$N$147,12,FALSE),"")))</x:f>
      </x:c>
      <x:c r="M148" s="11" t="str">
        <x:f>IF(A148="","",IF(B148="",0,IF(COUNTIFS($A$8:$A$147,B148)=1,IF(ISNUMBER(VLOOKUP(B148,$A$8:$N$147,13,FALSE)),VLOOKUP(B148,$A$8:$N$147,13,FALSE)+1,""),"")))</x:f>
      </x:c>
      <x:c r="N148" s="9" t="str">
        <x:f>IF(A148="","",IF(COUNTIFS('Layout'!$A$8:$A$207,A148)&lt;&gt;1,"Duplicate role",IF(AND(B148&lt;&gt;"",COUNTIFS($A$8:$A$147,B148)&lt;&gt;1),"Parent must appear above child",IF(COUNTIFS('Definitions'!$A$8:$A$207,G148)&lt;&gt;1,"Unknown / duplicate definition",IF(AND(B148="",OR(C148="",D148&lt;&gt;"",AND(F148&lt;&gt;"Build",F148&lt;&gt;"Spares"))),"Set root definition and purpose",IF(AND(B148&lt;&gt;"",COUNTIFS('Recipes'!$A$8:$A$207,D148)&lt;&gt;1),"Choose a unique recipe line",IF(AND(B148&lt;&gt;"",OR(C148&lt;&gt;"",F148&lt;&gt;"")),"Clear child root-only inputs",IF(AND(B148&lt;&gt;"",COUNTIFS($A$8:$A$147,B148)=1,COUNTIFS('Recipes'!$A$8:$A$207,D148)=1),IF(VLOOKUP(D148,'Recipes'!$A$8:$F$207,2,FALSE)&lt;&gt;VLOOKUP(B148,$A$8:$N$147,7,FALSE),"Recipe parent mismatch",IF(COUNTIFS($B$8:$B$207,B148,$D$8:$D$207,D148)&lt;&gt;1,"Duplicate child recipe",IF(OR(NOT(ISNUMBER(J148)),J148&lt;0,MOD(J148,1)&lt;&gt;0),"Set nonnegative whole qty",IF(COUNTIFS('Recipes'!$B$8:$B$207,G148)&lt;&gt;COUNTIFS($B$8:$B$207,A148,$D$8:$D$207,"&lt;&gt;",$A$8:$A$207,"&lt;&gt;"),"Missing / extra recipe children","OK")))),IF(OR(NOT(ISNUMBER(J148)),J148&lt;0,MOD(J148,1)&lt;&gt;0),"Set nonnegative whole qty",IF(COUNTIFS('Recipes'!$B$8:$B$207,G148)&lt;&gt;COUNTIFS($B$8:$B$207,A148,$D$8:$D$207,"&lt;&gt;",$A$8:$A$207,"&lt;&gt;"),"Missing / extra recipe children","OK"))))))))))</x:f>
      </x:c>
    </x:row>
    <x:row r="149" ht="22" customHeight="1">
      <x:c r="A149" s="10"/>
      <x:c r="B149" s="10"/>
      <x:c r="C149" s="10"/>
      <x:c r="D149" s="10"/>
      <x:c r="E149" s="12"/>
      <x:c r="F149" s="10"/>
      <x:c r="G149" s="9" t="str">
        <x:f>IF(A149="","",IF(B149="",C149,IF(COUNTIFS('Recipes'!$A$8:$A$207,D149)=1,VLOOKUP(D149,'Recipes'!$A$8:$F$207,3,FALSE),"")))</x:f>
      </x:c>
      <x:c r="H149" s="9" t="str">
        <x:f>IF(A149="","",IF(COUNTIFS('Definitions'!$A$8:$A$207,G149)=1,REPT("    ",IF(ISNUMBER(M149),M149,0))&amp;VLOOKUP(G149,'Definitions'!$A$8:$J$207,2,FALSE),"Unknown definition"))</x:f>
      </x:c>
      <x:c r="I149" s="11" t="str">
        <x:f>IF(A149="","",IF(B149="",1,IF(COUNTIFS('Recipes'!$A$8:$A$207,D149)=1,VLOOKUP(D149,'Recipes'!$A$8:$F$207,4,FALSE),"")))</x:f>
      </x:c>
      <x:c r="J149" s="11" t="str">
        <x:f>IF(A149="","",IF(ISBLANK(E149),I149,E149))</x:f>
      </x:c>
      <x:c r="K149" s="11" t="str">
        <x:f>IF(A149="","",IF(NOT(ISNUMBER(J149)),"",IF(B149="",J149,IF(COUNTIFS($A$8:$A$148,B149)=1,IF(ISNUMBER(VLOOKUP(B149,$A$8:$N$148,11,FALSE)),J149*VLOOKUP(B149,$A$8:$N$148,11,FALSE),""),""))))</x:f>
      </x:c>
      <x:c r="L149" s="9" t="str">
        <x:f>IF(A149="","",IF(B149="",F149,IF(COUNTIFS($A$8:$A$148,B149)=1,VLOOKUP(B149,$A$8:$N$148,12,FALSE),"")))</x:f>
      </x:c>
      <x:c r="M149" s="11" t="str">
        <x:f>IF(A149="","",IF(B149="",0,IF(COUNTIFS($A$8:$A$148,B149)=1,IF(ISNUMBER(VLOOKUP(B149,$A$8:$N$148,13,FALSE)),VLOOKUP(B149,$A$8:$N$148,13,FALSE)+1,""),"")))</x:f>
      </x:c>
      <x:c r="N149" s="9" t="str">
        <x:f>IF(A149="","",IF(COUNTIFS('Layout'!$A$8:$A$207,A149)&lt;&gt;1,"Duplicate role",IF(AND(B149&lt;&gt;"",COUNTIFS($A$8:$A$148,B149)&lt;&gt;1),"Parent must appear above child",IF(COUNTIFS('Definitions'!$A$8:$A$207,G149)&lt;&gt;1,"Unknown / duplicate definition",IF(AND(B149="",OR(C149="",D149&lt;&gt;"",AND(F149&lt;&gt;"Build",F149&lt;&gt;"Spares"))),"Set root definition and purpose",IF(AND(B149&lt;&gt;"",COUNTIFS('Recipes'!$A$8:$A$207,D149)&lt;&gt;1),"Choose a unique recipe line",IF(AND(B149&lt;&gt;"",OR(C149&lt;&gt;"",F149&lt;&gt;"")),"Clear child root-only inputs",IF(AND(B149&lt;&gt;"",COUNTIFS($A$8:$A$148,B149)=1,COUNTIFS('Recipes'!$A$8:$A$207,D149)=1),IF(VLOOKUP(D149,'Recipes'!$A$8:$F$207,2,FALSE)&lt;&gt;VLOOKUP(B149,$A$8:$N$148,7,FALSE),"Recipe parent mismatch",IF(COUNTIFS($B$8:$B$207,B149,$D$8:$D$207,D149)&lt;&gt;1,"Duplicate child recipe",IF(OR(NOT(ISNUMBER(J149)),J149&lt;0,MOD(J149,1)&lt;&gt;0),"Set nonnegative whole qty",IF(COUNTIFS('Recipes'!$B$8:$B$207,G149)&lt;&gt;COUNTIFS($B$8:$B$207,A149,$D$8:$D$207,"&lt;&gt;",$A$8:$A$207,"&lt;&gt;"),"Missing / extra recipe children","OK")))),IF(OR(NOT(ISNUMBER(J149)),J149&lt;0,MOD(J149,1)&lt;&gt;0),"Set nonnegative whole qty",IF(COUNTIFS('Recipes'!$B$8:$B$207,G149)&lt;&gt;COUNTIFS($B$8:$B$207,A149,$D$8:$D$207,"&lt;&gt;",$A$8:$A$207,"&lt;&gt;"),"Missing / extra recipe children","OK"))))))))))</x:f>
      </x:c>
    </x:row>
    <x:row r="150" ht="22" customHeight="1">
      <x:c r="A150" s="10"/>
      <x:c r="B150" s="10"/>
      <x:c r="C150" s="10"/>
      <x:c r="D150" s="10"/>
      <x:c r="E150" s="12"/>
      <x:c r="F150" s="10"/>
      <x:c r="G150" s="9" t="str">
        <x:f>IF(A150="","",IF(B150="",C150,IF(COUNTIFS('Recipes'!$A$8:$A$207,D150)=1,VLOOKUP(D150,'Recipes'!$A$8:$F$207,3,FALSE),"")))</x:f>
      </x:c>
      <x:c r="H150" s="9" t="str">
        <x:f>IF(A150="","",IF(COUNTIFS('Definitions'!$A$8:$A$207,G150)=1,REPT("    ",IF(ISNUMBER(M150),M150,0))&amp;VLOOKUP(G150,'Definitions'!$A$8:$J$207,2,FALSE),"Unknown definition"))</x:f>
      </x:c>
      <x:c r="I150" s="11" t="str">
        <x:f>IF(A150="","",IF(B150="",1,IF(COUNTIFS('Recipes'!$A$8:$A$207,D150)=1,VLOOKUP(D150,'Recipes'!$A$8:$F$207,4,FALSE),"")))</x:f>
      </x:c>
      <x:c r="J150" s="11" t="str">
        <x:f>IF(A150="","",IF(ISBLANK(E150),I150,E150))</x:f>
      </x:c>
      <x:c r="K150" s="11" t="str">
        <x:f>IF(A150="","",IF(NOT(ISNUMBER(J150)),"",IF(B150="",J150,IF(COUNTIFS($A$8:$A$149,B150)=1,IF(ISNUMBER(VLOOKUP(B150,$A$8:$N$149,11,FALSE)),J150*VLOOKUP(B150,$A$8:$N$149,11,FALSE),""),""))))</x:f>
      </x:c>
      <x:c r="L150" s="9" t="str">
        <x:f>IF(A150="","",IF(B150="",F150,IF(COUNTIFS($A$8:$A$149,B150)=1,VLOOKUP(B150,$A$8:$N$149,12,FALSE),"")))</x:f>
      </x:c>
      <x:c r="M150" s="11" t="str">
        <x:f>IF(A150="","",IF(B150="",0,IF(COUNTIFS($A$8:$A$149,B150)=1,IF(ISNUMBER(VLOOKUP(B150,$A$8:$N$149,13,FALSE)),VLOOKUP(B150,$A$8:$N$149,13,FALSE)+1,""),"")))</x:f>
      </x:c>
      <x:c r="N150" s="9" t="str">
        <x:f>IF(A150="","",IF(COUNTIFS('Layout'!$A$8:$A$207,A150)&lt;&gt;1,"Duplicate role",IF(AND(B150&lt;&gt;"",COUNTIFS($A$8:$A$149,B150)&lt;&gt;1),"Parent must appear above child",IF(COUNTIFS('Definitions'!$A$8:$A$207,G150)&lt;&gt;1,"Unknown / duplicate definition",IF(AND(B150="",OR(C150="",D150&lt;&gt;"",AND(F150&lt;&gt;"Build",F150&lt;&gt;"Spares"))),"Set root definition and purpose",IF(AND(B150&lt;&gt;"",COUNTIFS('Recipes'!$A$8:$A$207,D150)&lt;&gt;1),"Choose a unique recipe line",IF(AND(B150&lt;&gt;"",OR(C150&lt;&gt;"",F150&lt;&gt;"")),"Clear child root-only inputs",IF(AND(B150&lt;&gt;"",COUNTIFS($A$8:$A$149,B150)=1,COUNTIFS('Recipes'!$A$8:$A$207,D150)=1),IF(VLOOKUP(D150,'Recipes'!$A$8:$F$207,2,FALSE)&lt;&gt;VLOOKUP(B150,$A$8:$N$149,7,FALSE),"Recipe parent mismatch",IF(COUNTIFS($B$8:$B$207,B150,$D$8:$D$207,D150)&lt;&gt;1,"Duplicate child recipe",IF(OR(NOT(ISNUMBER(J150)),J150&lt;0,MOD(J150,1)&lt;&gt;0),"Set nonnegative whole qty",IF(COUNTIFS('Recipes'!$B$8:$B$207,G150)&lt;&gt;COUNTIFS($B$8:$B$207,A150,$D$8:$D$207,"&lt;&gt;",$A$8:$A$207,"&lt;&gt;"),"Missing / extra recipe children","OK")))),IF(OR(NOT(ISNUMBER(J150)),J150&lt;0,MOD(J150,1)&lt;&gt;0),"Set nonnegative whole qty",IF(COUNTIFS('Recipes'!$B$8:$B$207,G150)&lt;&gt;COUNTIFS($B$8:$B$207,A150,$D$8:$D$207,"&lt;&gt;",$A$8:$A$207,"&lt;&gt;"),"Missing / extra recipe children","OK"))))))))))</x:f>
      </x:c>
    </x:row>
    <x:row r="151" ht="22" customHeight="1">
      <x:c r="A151" s="10"/>
      <x:c r="B151" s="10"/>
      <x:c r="C151" s="10"/>
      <x:c r="D151" s="10"/>
      <x:c r="E151" s="12"/>
      <x:c r="F151" s="10"/>
      <x:c r="G151" s="9" t="str">
        <x:f>IF(A151="","",IF(B151="",C151,IF(COUNTIFS('Recipes'!$A$8:$A$207,D151)=1,VLOOKUP(D151,'Recipes'!$A$8:$F$207,3,FALSE),"")))</x:f>
      </x:c>
      <x:c r="H151" s="9" t="str">
        <x:f>IF(A151="","",IF(COUNTIFS('Definitions'!$A$8:$A$207,G151)=1,REPT("    ",IF(ISNUMBER(M151),M151,0))&amp;VLOOKUP(G151,'Definitions'!$A$8:$J$207,2,FALSE),"Unknown definition"))</x:f>
      </x:c>
      <x:c r="I151" s="11" t="str">
        <x:f>IF(A151="","",IF(B151="",1,IF(COUNTIFS('Recipes'!$A$8:$A$207,D151)=1,VLOOKUP(D151,'Recipes'!$A$8:$F$207,4,FALSE),"")))</x:f>
      </x:c>
      <x:c r="J151" s="11" t="str">
        <x:f>IF(A151="","",IF(ISBLANK(E151),I151,E151))</x:f>
      </x:c>
      <x:c r="K151" s="11" t="str">
        <x:f>IF(A151="","",IF(NOT(ISNUMBER(J151)),"",IF(B151="",J151,IF(COUNTIFS($A$8:$A$150,B151)=1,IF(ISNUMBER(VLOOKUP(B151,$A$8:$N$150,11,FALSE)),J151*VLOOKUP(B151,$A$8:$N$150,11,FALSE),""),""))))</x:f>
      </x:c>
      <x:c r="L151" s="9" t="str">
        <x:f>IF(A151="","",IF(B151="",F151,IF(COUNTIFS($A$8:$A$150,B151)=1,VLOOKUP(B151,$A$8:$N$150,12,FALSE),"")))</x:f>
      </x:c>
      <x:c r="M151" s="11" t="str">
        <x:f>IF(A151="","",IF(B151="",0,IF(COUNTIFS($A$8:$A$150,B151)=1,IF(ISNUMBER(VLOOKUP(B151,$A$8:$N$150,13,FALSE)),VLOOKUP(B151,$A$8:$N$150,13,FALSE)+1,""),"")))</x:f>
      </x:c>
      <x:c r="N151" s="9" t="str">
        <x:f>IF(A151="","",IF(COUNTIFS('Layout'!$A$8:$A$207,A151)&lt;&gt;1,"Duplicate role",IF(AND(B151&lt;&gt;"",COUNTIFS($A$8:$A$150,B151)&lt;&gt;1),"Parent must appear above child",IF(COUNTIFS('Definitions'!$A$8:$A$207,G151)&lt;&gt;1,"Unknown / duplicate definition",IF(AND(B151="",OR(C151="",D151&lt;&gt;"",AND(F151&lt;&gt;"Build",F151&lt;&gt;"Spares"))),"Set root definition and purpose",IF(AND(B151&lt;&gt;"",COUNTIFS('Recipes'!$A$8:$A$207,D151)&lt;&gt;1),"Choose a unique recipe line",IF(AND(B151&lt;&gt;"",OR(C151&lt;&gt;"",F151&lt;&gt;"")),"Clear child root-only inputs",IF(AND(B151&lt;&gt;"",COUNTIFS($A$8:$A$150,B151)=1,COUNTIFS('Recipes'!$A$8:$A$207,D151)=1),IF(VLOOKUP(D151,'Recipes'!$A$8:$F$207,2,FALSE)&lt;&gt;VLOOKUP(B151,$A$8:$N$150,7,FALSE),"Recipe parent mismatch",IF(COUNTIFS($B$8:$B$207,B151,$D$8:$D$207,D151)&lt;&gt;1,"Duplicate child recipe",IF(OR(NOT(ISNUMBER(J151)),J151&lt;0,MOD(J151,1)&lt;&gt;0),"Set nonnegative whole qty",IF(COUNTIFS('Recipes'!$B$8:$B$207,G151)&lt;&gt;COUNTIFS($B$8:$B$207,A151,$D$8:$D$207,"&lt;&gt;",$A$8:$A$207,"&lt;&gt;"),"Missing / extra recipe children","OK")))),IF(OR(NOT(ISNUMBER(J151)),J151&lt;0,MOD(J151,1)&lt;&gt;0),"Set nonnegative whole qty",IF(COUNTIFS('Recipes'!$B$8:$B$207,G151)&lt;&gt;COUNTIFS($B$8:$B$207,A151,$D$8:$D$207,"&lt;&gt;",$A$8:$A$207,"&lt;&gt;"),"Missing / extra recipe children","OK"))))))))))</x:f>
      </x:c>
    </x:row>
    <x:row r="152" ht="22" customHeight="1">
      <x:c r="A152" s="10"/>
      <x:c r="B152" s="10"/>
      <x:c r="C152" s="10"/>
      <x:c r="D152" s="10"/>
      <x:c r="E152" s="12"/>
      <x:c r="F152" s="10"/>
      <x:c r="G152" s="9" t="str">
        <x:f>IF(A152="","",IF(B152="",C152,IF(COUNTIFS('Recipes'!$A$8:$A$207,D152)=1,VLOOKUP(D152,'Recipes'!$A$8:$F$207,3,FALSE),"")))</x:f>
      </x:c>
      <x:c r="H152" s="9" t="str">
        <x:f>IF(A152="","",IF(COUNTIFS('Definitions'!$A$8:$A$207,G152)=1,REPT("    ",IF(ISNUMBER(M152),M152,0))&amp;VLOOKUP(G152,'Definitions'!$A$8:$J$207,2,FALSE),"Unknown definition"))</x:f>
      </x:c>
      <x:c r="I152" s="11" t="str">
        <x:f>IF(A152="","",IF(B152="",1,IF(COUNTIFS('Recipes'!$A$8:$A$207,D152)=1,VLOOKUP(D152,'Recipes'!$A$8:$F$207,4,FALSE),"")))</x:f>
      </x:c>
      <x:c r="J152" s="11" t="str">
        <x:f>IF(A152="","",IF(ISBLANK(E152),I152,E152))</x:f>
      </x:c>
      <x:c r="K152" s="11" t="str">
        <x:f>IF(A152="","",IF(NOT(ISNUMBER(J152)),"",IF(B152="",J152,IF(COUNTIFS($A$8:$A$151,B152)=1,IF(ISNUMBER(VLOOKUP(B152,$A$8:$N$151,11,FALSE)),J152*VLOOKUP(B152,$A$8:$N$151,11,FALSE),""),""))))</x:f>
      </x:c>
      <x:c r="L152" s="9" t="str">
        <x:f>IF(A152="","",IF(B152="",F152,IF(COUNTIFS($A$8:$A$151,B152)=1,VLOOKUP(B152,$A$8:$N$151,12,FALSE),"")))</x:f>
      </x:c>
      <x:c r="M152" s="11" t="str">
        <x:f>IF(A152="","",IF(B152="",0,IF(COUNTIFS($A$8:$A$151,B152)=1,IF(ISNUMBER(VLOOKUP(B152,$A$8:$N$151,13,FALSE)),VLOOKUP(B152,$A$8:$N$151,13,FALSE)+1,""),"")))</x:f>
      </x:c>
      <x:c r="N152" s="9" t="str">
        <x:f>IF(A152="","",IF(COUNTIFS('Layout'!$A$8:$A$207,A152)&lt;&gt;1,"Duplicate role",IF(AND(B152&lt;&gt;"",COUNTIFS($A$8:$A$151,B152)&lt;&gt;1),"Parent must appear above child",IF(COUNTIFS('Definitions'!$A$8:$A$207,G152)&lt;&gt;1,"Unknown / duplicate definition",IF(AND(B152="",OR(C152="",D152&lt;&gt;"",AND(F152&lt;&gt;"Build",F152&lt;&gt;"Spares"))),"Set root definition and purpose",IF(AND(B152&lt;&gt;"",COUNTIFS('Recipes'!$A$8:$A$207,D152)&lt;&gt;1),"Choose a unique recipe line",IF(AND(B152&lt;&gt;"",OR(C152&lt;&gt;"",F152&lt;&gt;"")),"Clear child root-only inputs",IF(AND(B152&lt;&gt;"",COUNTIFS($A$8:$A$151,B152)=1,COUNTIFS('Recipes'!$A$8:$A$207,D152)=1),IF(VLOOKUP(D152,'Recipes'!$A$8:$F$207,2,FALSE)&lt;&gt;VLOOKUP(B152,$A$8:$N$151,7,FALSE),"Recipe parent mismatch",IF(COUNTIFS($B$8:$B$207,B152,$D$8:$D$207,D152)&lt;&gt;1,"Duplicate child recipe",IF(OR(NOT(ISNUMBER(J152)),J152&lt;0,MOD(J152,1)&lt;&gt;0),"Set nonnegative whole qty",IF(COUNTIFS('Recipes'!$B$8:$B$207,G152)&lt;&gt;COUNTIFS($B$8:$B$207,A152,$D$8:$D$207,"&lt;&gt;",$A$8:$A$207,"&lt;&gt;"),"Missing / extra recipe children","OK")))),IF(OR(NOT(ISNUMBER(J152)),J152&lt;0,MOD(J152,1)&lt;&gt;0),"Set nonnegative whole qty",IF(COUNTIFS('Recipes'!$B$8:$B$207,G152)&lt;&gt;COUNTIFS($B$8:$B$207,A152,$D$8:$D$207,"&lt;&gt;",$A$8:$A$207,"&lt;&gt;"),"Missing / extra recipe children","OK"))))))))))</x:f>
      </x:c>
    </x:row>
    <x:row r="153" ht="22" customHeight="1">
      <x:c r="A153" s="10"/>
      <x:c r="B153" s="10"/>
      <x:c r="C153" s="10"/>
      <x:c r="D153" s="10"/>
      <x:c r="E153" s="12"/>
      <x:c r="F153" s="10"/>
      <x:c r="G153" s="9" t="str">
        <x:f>IF(A153="","",IF(B153="",C153,IF(COUNTIFS('Recipes'!$A$8:$A$207,D153)=1,VLOOKUP(D153,'Recipes'!$A$8:$F$207,3,FALSE),"")))</x:f>
      </x:c>
      <x:c r="H153" s="9" t="str">
        <x:f>IF(A153="","",IF(COUNTIFS('Definitions'!$A$8:$A$207,G153)=1,REPT("    ",IF(ISNUMBER(M153),M153,0))&amp;VLOOKUP(G153,'Definitions'!$A$8:$J$207,2,FALSE),"Unknown definition"))</x:f>
      </x:c>
      <x:c r="I153" s="11" t="str">
        <x:f>IF(A153="","",IF(B153="",1,IF(COUNTIFS('Recipes'!$A$8:$A$207,D153)=1,VLOOKUP(D153,'Recipes'!$A$8:$F$207,4,FALSE),"")))</x:f>
      </x:c>
      <x:c r="J153" s="11" t="str">
        <x:f>IF(A153="","",IF(ISBLANK(E153),I153,E153))</x:f>
      </x:c>
      <x:c r="K153" s="11" t="str">
        <x:f>IF(A153="","",IF(NOT(ISNUMBER(J153)),"",IF(B153="",J153,IF(COUNTIFS($A$8:$A$152,B153)=1,IF(ISNUMBER(VLOOKUP(B153,$A$8:$N$152,11,FALSE)),J153*VLOOKUP(B153,$A$8:$N$152,11,FALSE),""),""))))</x:f>
      </x:c>
      <x:c r="L153" s="9" t="str">
        <x:f>IF(A153="","",IF(B153="",F153,IF(COUNTIFS($A$8:$A$152,B153)=1,VLOOKUP(B153,$A$8:$N$152,12,FALSE),"")))</x:f>
      </x:c>
      <x:c r="M153" s="11" t="str">
        <x:f>IF(A153="","",IF(B153="",0,IF(COUNTIFS($A$8:$A$152,B153)=1,IF(ISNUMBER(VLOOKUP(B153,$A$8:$N$152,13,FALSE)),VLOOKUP(B153,$A$8:$N$152,13,FALSE)+1,""),"")))</x:f>
      </x:c>
      <x:c r="N153" s="9" t="str">
        <x:f>IF(A153="","",IF(COUNTIFS('Layout'!$A$8:$A$207,A153)&lt;&gt;1,"Duplicate role",IF(AND(B153&lt;&gt;"",COUNTIFS($A$8:$A$152,B153)&lt;&gt;1),"Parent must appear above child",IF(COUNTIFS('Definitions'!$A$8:$A$207,G153)&lt;&gt;1,"Unknown / duplicate definition",IF(AND(B153="",OR(C153="",D153&lt;&gt;"",AND(F153&lt;&gt;"Build",F153&lt;&gt;"Spares"))),"Set root definition and purpose",IF(AND(B153&lt;&gt;"",COUNTIFS('Recipes'!$A$8:$A$207,D153)&lt;&gt;1),"Choose a unique recipe line",IF(AND(B153&lt;&gt;"",OR(C153&lt;&gt;"",F153&lt;&gt;"")),"Clear child root-only inputs",IF(AND(B153&lt;&gt;"",COUNTIFS($A$8:$A$152,B153)=1,COUNTIFS('Recipes'!$A$8:$A$207,D153)=1),IF(VLOOKUP(D153,'Recipes'!$A$8:$F$207,2,FALSE)&lt;&gt;VLOOKUP(B153,$A$8:$N$152,7,FALSE),"Recipe parent mismatch",IF(COUNTIFS($B$8:$B$207,B153,$D$8:$D$207,D153)&lt;&gt;1,"Duplicate child recipe",IF(OR(NOT(ISNUMBER(J153)),J153&lt;0,MOD(J153,1)&lt;&gt;0),"Set nonnegative whole qty",IF(COUNTIFS('Recipes'!$B$8:$B$207,G153)&lt;&gt;COUNTIFS($B$8:$B$207,A153,$D$8:$D$207,"&lt;&gt;",$A$8:$A$207,"&lt;&gt;"),"Missing / extra recipe children","OK")))),IF(OR(NOT(ISNUMBER(J153)),J153&lt;0,MOD(J153,1)&lt;&gt;0),"Set nonnegative whole qty",IF(COUNTIFS('Recipes'!$B$8:$B$207,G153)&lt;&gt;COUNTIFS($B$8:$B$207,A153,$D$8:$D$207,"&lt;&gt;",$A$8:$A$207,"&lt;&gt;"),"Missing / extra recipe children","OK"))))))))))</x:f>
      </x:c>
    </x:row>
    <x:row r="154" ht="22" customHeight="1">
      <x:c r="A154" s="10"/>
      <x:c r="B154" s="10"/>
      <x:c r="C154" s="10"/>
      <x:c r="D154" s="10"/>
      <x:c r="E154" s="12"/>
      <x:c r="F154" s="10"/>
      <x:c r="G154" s="9" t="str">
        <x:f>IF(A154="","",IF(B154="",C154,IF(COUNTIFS('Recipes'!$A$8:$A$207,D154)=1,VLOOKUP(D154,'Recipes'!$A$8:$F$207,3,FALSE),"")))</x:f>
      </x:c>
      <x:c r="H154" s="9" t="str">
        <x:f>IF(A154="","",IF(COUNTIFS('Definitions'!$A$8:$A$207,G154)=1,REPT("    ",IF(ISNUMBER(M154),M154,0))&amp;VLOOKUP(G154,'Definitions'!$A$8:$J$207,2,FALSE),"Unknown definition"))</x:f>
      </x:c>
      <x:c r="I154" s="11" t="str">
        <x:f>IF(A154="","",IF(B154="",1,IF(COUNTIFS('Recipes'!$A$8:$A$207,D154)=1,VLOOKUP(D154,'Recipes'!$A$8:$F$207,4,FALSE),"")))</x:f>
      </x:c>
      <x:c r="J154" s="11" t="str">
        <x:f>IF(A154="","",IF(ISBLANK(E154),I154,E154))</x:f>
      </x:c>
      <x:c r="K154" s="11" t="str">
        <x:f>IF(A154="","",IF(NOT(ISNUMBER(J154)),"",IF(B154="",J154,IF(COUNTIFS($A$8:$A$153,B154)=1,IF(ISNUMBER(VLOOKUP(B154,$A$8:$N$153,11,FALSE)),J154*VLOOKUP(B154,$A$8:$N$153,11,FALSE),""),""))))</x:f>
      </x:c>
      <x:c r="L154" s="9" t="str">
        <x:f>IF(A154="","",IF(B154="",F154,IF(COUNTIFS($A$8:$A$153,B154)=1,VLOOKUP(B154,$A$8:$N$153,12,FALSE),"")))</x:f>
      </x:c>
      <x:c r="M154" s="11" t="str">
        <x:f>IF(A154="","",IF(B154="",0,IF(COUNTIFS($A$8:$A$153,B154)=1,IF(ISNUMBER(VLOOKUP(B154,$A$8:$N$153,13,FALSE)),VLOOKUP(B154,$A$8:$N$153,13,FALSE)+1,""),"")))</x:f>
      </x:c>
      <x:c r="N154" s="9" t="str">
        <x:f>IF(A154="","",IF(COUNTIFS('Layout'!$A$8:$A$207,A154)&lt;&gt;1,"Duplicate role",IF(AND(B154&lt;&gt;"",COUNTIFS($A$8:$A$153,B154)&lt;&gt;1),"Parent must appear above child",IF(COUNTIFS('Definitions'!$A$8:$A$207,G154)&lt;&gt;1,"Unknown / duplicate definition",IF(AND(B154="",OR(C154="",D154&lt;&gt;"",AND(F154&lt;&gt;"Build",F154&lt;&gt;"Spares"))),"Set root definition and purpose",IF(AND(B154&lt;&gt;"",COUNTIFS('Recipes'!$A$8:$A$207,D154)&lt;&gt;1),"Choose a unique recipe line",IF(AND(B154&lt;&gt;"",OR(C154&lt;&gt;"",F154&lt;&gt;"")),"Clear child root-only inputs",IF(AND(B154&lt;&gt;"",COUNTIFS($A$8:$A$153,B154)=1,COUNTIFS('Recipes'!$A$8:$A$207,D154)=1),IF(VLOOKUP(D154,'Recipes'!$A$8:$F$207,2,FALSE)&lt;&gt;VLOOKUP(B154,$A$8:$N$153,7,FALSE),"Recipe parent mismatch",IF(COUNTIFS($B$8:$B$207,B154,$D$8:$D$207,D154)&lt;&gt;1,"Duplicate child recipe",IF(OR(NOT(ISNUMBER(J154)),J154&lt;0,MOD(J154,1)&lt;&gt;0),"Set nonnegative whole qty",IF(COUNTIFS('Recipes'!$B$8:$B$207,G154)&lt;&gt;COUNTIFS($B$8:$B$207,A154,$D$8:$D$207,"&lt;&gt;",$A$8:$A$207,"&lt;&gt;"),"Missing / extra recipe children","OK")))),IF(OR(NOT(ISNUMBER(J154)),J154&lt;0,MOD(J154,1)&lt;&gt;0),"Set nonnegative whole qty",IF(COUNTIFS('Recipes'!$B$8:$B$207,G154)&lt;&gt;COUNTIFS($B$8:$B$207,A154,$D$8:$D$207,"&lt;&gt;",$A$8:$A$207,"&lt;&gt;"),"Missing / extra recipe children","OK"))))))))))</x:f>
      </x:c>
    </x:row>
    <x:row r="155" ht="22" customHeight="1">
      <x:c r="A155" s="10"/>
      <x:c r="B155" s="10"/>
      <x:c r="C155" s="10"/>
      <x:c r="D155" s="10"/>
      <x:c r="E155" s="12"/>
      <x:c r="F155" s="10"/>
      <x:c r="G155" s="9" t="str">
        <x:f>IF(A155="","",IF(B155="",C155,IF(COUNTIFS('Recipes'!$A$8:$A$207,D155)=1,VLOOKUP(D155,'Recipes'!$A$8:$F$207,3,FALSE),"")))</x:f>
      </x:c>
      <x:c r="H155" s="9" t="str">
        <x:f>IF(A155="","",IF(COUNTIFS('Definitions'!$A$8:$A$207,G155)=1,REPT("    ",IF(ISNUMBER(M155),M155,0))&amp;VLOOKUP(G155,'Definitions'!$A$8:$J$207,2,FALSE),"Unknown definition"))</x:f>
      </x:c>
      <x:c r="I155" s="11" t="str">
        <x:f>IF(A155="","",IF(B155="",1,IF(COUNTIFS('Recipes'!$A$8:$A$207,D155)=1,VLOOKUP(D155,'Recipes'!$A$8:$F$207,4,FALSE),"")))</x:f>
      </x:c>
      <x:c r="J155" s="11" t="str">
        <x:f>IF(A155="","",IF(ISBLANK(E155),I155,E155))</x:f>
      </x:c>
      <x:c r="K155" s="11" t="str">
        <x:f>IF(A155="","",IF(NOT(ISNUMBER(J155)),"",IF(B155="",J155,IF(COUNTIFS($A$8:$A$154,B155)=1,IF(ISNUMBER(VLOOKUP(B155,$A$8:$N$154,11,FALSE)),J155*VLOOKUP(B155,$A$8:$N$154,11,FALSE),""),""))))</x:f>
      </x:c>
      <x:c r="L155" s="9" t="str">
        <x:f>IF(A155="","",IF(B155="",F155,IF(COUNTIFS($A$8:$A$154,B155)=1,VLOOKUP(B155,$A$8:$N$154,12,FALSE),"")))</x:f>
      </x:c>
      <x:c r="M155" s="11" t="str">
        <x:f>IF(A155="","",IF(B155="",0,IF(COUNTIFS($A$8:$A$154,B155)=1,IF(ISNUMBER(VLOOKUP(B155,$A$8:$N$154,13,FALSE)),VLOOKUP(B155,$A$8:$N$154,13,FALSE)+1,""),"")))</x:f>
      </x:c>
      <x:c r="N155" s="9" t="str">
        <x:f>IF(A155="","",IF(COUNTIFS('Layout'!$A$8:$A$207,A155)&lt;&gt;1,"Duplicate role",IF(AND(B155&lt;&gt;"",COUNTIFS($A$8:$A$154,B155)&lt;&gt;1),"Parent must appear above child",IF(COUNTIFS('Definitions'!$A$8:$A$207,G155)&lt;&gt;1,"Unknown / duplicate definition",IF(AND(B155="",OR(C155="",D155&lt;&gt;"",AND(F155&lt;&gt;"Build",F155&lt;&gt;"Spares"))),"Set root definition and purpose",IF(AND(B155&lt;&gt;"",COUNTIFS('Recipes'!$A$8:$A$207,D155)&lt;&gt;1),"Choose a unique recipe line",IF(AND(B155&lt;&gt;"",OR(C155&lt;&gt;"",F155&lt;&gt;"")),"Clear child root-only inputs",IF(AND(B155&lt;&gt;"",COUNTIFS($A$8:$A$154,B155)=1,COUNTIFS('Recipes'!$A$8:$A$207,D155)=1),IF(VLOOKUP(D155,'Recipes'!$A$8:$F$207,2,FALSE)&lt;&gt;VLOOKUP(B155,$A$8:$N$154,7,FALSE),"Recipe parent mismatch",IF(COUNTIFS($B$8:$B$207,B155,$D$8:$D$207,D155)&lt;&gt;1,"Duplicate child recipe",IF(OR(NOT(ISNUMBER(J155)),J155&lt;0,MOD(J155,1)&lt;&gt;0),"Set nonnegative whole qty",IF(COUNTIFS('Recipes'!$B$8:$B$207,G155)&lt;&gt;COUNTIFS($B$8:$B$207,A155,$D$8:$D$207,"&lt;&gt;",$A$8:$A$207,"&lt;&gt;"),"Missing / extra recipe children","OK")))),IF(OR(NOT(ISNUMBER(J155)),J155&lt;0,MOD(J155,1)&lt;&gt;0),"Set nonnegative whole qty",IF(COUNTIFS('Recipes'!$B$8:$B$207,G155)&lt;&gt;COUNTIFS($B$8:$B$207,A155,$D$8:$D$207,"&lt;&gt;",$A$8:$A$207,"&lt;&gt;"),"Missing / extra recipe children","OK"))))))))))</x:f>
      </x:c>
    </x:row>
    <x:row r="156" ht="22" customHeight="1">
      <x:c r="A156" s="10"/>
      <x:c r="B156" s="10"/>
      <x:c r="C156" s="10"/>
      <x:c r="D156" s="10"/>
      <x:c r="E156" s="12"/>
      <x:c r="F156" s="10"/>
      <x:c r="G156" s="9" t="str">
        <x:f>IF(A156="","",IF(B156="",C156,IF(COUNTIFS('Recipes'!$A$8:$A$207,D156)=1,VLOOKUP(D156,'Recipes'!$A$8:$F$207,3,FALSE),"")))</x:f>
      </x:c>
      <x:c r="H156" s="9" t="str">
        <x:f>IF(A156="","",IF(COUNTIFS('Definitions'!$A$8:$A$207,G156)=1,REPT("    ",IF(ISNUMBER(M156),M156,0))&amp;VLOOKUP(G156,'Definitions'!$A$8:$J$207,2,FALSE),"Unknown definition"))</x:f>
      </x:c>
      <x:c r="I156" s="11" t="str">
        <x:f>IF(A156="","",IF(B156="",1,IF(COUNTIFS('Recipes'!$A$8:$A$207,D156)=1,VLOOKUP(D156,'Recipes'!$A$8:$F$207,4,FALSE),"")))</x:f>
      </x:c>
      <x:c r="J156" s="11" t="str">
        <x:f>IF(A156="","",IF(ISBLANK(E156),I156,E156))</x:f>
      </x:c>
      <x:c r="K156" s="11" t="str">
        <x:f>IF(A156="","",IF(NOT(ISNUMBER(J156)),"",IF(B156="",J156,IF(COUNTIFS($A$8:$A$155,B156)=1,IF(ISNUMBER(VLOOKUP(B156,$A$8:$N$155,11,FALSE)),J156*VLOOKUP(B156,$A$8:$N$155,11,FALSE),""),""))))</x:f>
      </x:c>
      <x:c r="L156" s="9" t="str">
        <x:f>IF(A156="","",IF(B156="",F156,IF(COUNTIFS($A$8:$A$155,B156)=1,VLOOKUP(B156,$A$8:$N$155,12,FALSE),"")))</x:f>
      </x:c>
      <x:c r="M156" s="11" t="str">
        <x:f>IF(A156="","",IF(B156="",0,IF(COUNTIFS($A$8:$A$155,B156)=1,IF(ISNUMBER(VLOOKUP(B156,$A$8:$N$155,13,FALSE)),VLOOKUP(B156,$A$8:$N$155,13,FALSE)+1,""),"")))</x:f>
      </x:c>
      <x:c r="N156" s="9" t="str">
        <x:f>IF(A156="","",IF(COUNTIFS('Layout'!$A$8:$A$207,A156)&lt;&gt;1,"Duplicate role",IF(AND(B156&lt;&gt;"",COUNTIFS($A$8:$A$155,B156)&lt;&gt;1),"Parent must appear above child",IF(COUNTIFS('Definitions'!$A$8:$A$207,G156)&lt;&gt;1,"Unknown / duplicate definition",IF(AND(B156="",OR(C156="",D156&lt;&gt;"",AND(F156&lt;&gt;"Build",F156&lt;&gt;"Spares"))),"Set root definition and purpose",IF(AND(B156&lt;&gt;"",COUNTIFS('Recipes'!$A$8:$A$207,D156)&lt;&gt;1),"Choose a unique recipe line",IF(AND(B156&lt;&gt;"",OR(C156&lt;&gt;"",F156&lt;&gt;"")),"Clear child root-only inputs",IF(AND(B156&lt;&gt;"",COUNTIFS($A$8:$A$155,B156)=1,COUNTIFS('Recipes'!$A$8:$A$207,D156)=1),IF(VLOOKUP(D156,'Recipes'!$A$8:$F$207,2,FALSE)&lt;&gt;VLOOKUP(B156,$A$8:$N$155,7,FALSE),"Recipe parent mismatch",IF(COUNTIFS($B$8:$B$207,B156,$D$8:$D$207,D156)&lt;&gt;1,"Duplicate child recipe",IF(OR(NOT(ISNUMBER(J156)),J156&lt;0,MOD(J156,1)&lt;&gt;0),"Set nonnegative whole qty",IF(COUNTIFS('Recipes'!$B$8:$B$207,G156)&lt;&gt;COUNTIFS($B$8:$B$207,A156,$D$8:$D$207,"&lt;&gt;",$A$8:$A$207,"&lt;&gt;"),"Missing / extra recipe children","OK")))),IF(OR(NOT(ISNUMBER(J156)),J156&lt;0,MOD(J156,1)&lt;&gt;0),"Set nonnegative whole qty",IF(COUNTIFS('Recipes'!$B$8:$B$207,G156)&lt;&gt;COUNTIFS($B$8:$B$207,A156,$D$8:$D$207,"&lt;&gt;",$A$8:$A$207,"&lt;&gt;"),"Missing / extra recipe children","OK"))))))))))</x:f>
      </x:c>
    </x:row>
    <x:row r="157" ht="22" customHeight="1">
      <x:c r="A157" s="10"/>
      <x:c r="B157" s="10"/>
      <x:c r="C157" s="10"/>
      <x:c r="D157" s="10"/>
      <x:c r="E157" s="12"/>
      <x:c r="F157" s="10"/>
      <x:c r="G157" s="9" t="str">
        <x:f>IF(A157="","",IF(B157="",C157,IF(COUNTIFS('Recipes'!$A$8:$A$207,D157)=1,VLOOKUP(D157,'Recipes'!$A$8:$F$207,3,FALSE),"")))</x:f>
      </x:c>
      <x:c r="H157" s="9" t="str">
        <x:f>IF(A157="","",IF(COUNTIFS('Definitions'!$A$8:$A$207,G157)=1,REPT("    ",IF(ISNUMBER(M157),M157,0))&amp;VLOOKUP(G157,'Definitions'!$A$8:$J$207,2,FALSE),"Unknown definition"))</x:f>
      </x:c>
      <x:c r="I157" s="11" t="str">
        <x:f>IF(A157="","",IF(B157="",1,IF(COUNTIFS('Recipes'!$A$8:$A$207,D157)=1,VLOOKUP(D157,'Recipes'!$A$8:$F$207,4,FALSE),"")))</x:f>
      </x:c>
      <x:c r="J157" s="11" t="str">
        <x:f>IF(A157="","",IF(ISBLANK(E157),I157,E157))</x:f>
      </x:c>
      <x:c r="K157" s="11" t="str">
        <x:f>IF(A157="","",IF(NOT(ISNUMBER(J157)),"",IF(B157="",J157,IF(COUNTIFS($A$8:$A$156,B157)=1,IF(ISNUMBER(VLOOKUP(B157,$A$8:$N$156,11,FALSE)),J157*VLOOKUP(B157,$A$8:$N$156,11,FALSE),""),""))))</x:f>
      </x:c>
      <x:c r="L157" s="9" t="str">
        <x:f>IF(A157="","",IF(B157="",F157,IF(COUNTIFS($A$8:$A$156,B157)=1,VLOOKUP(B157,$A$8:$N$156,12,FALSE),"")))</x:f>
      </x:c>
      <x:c r="M157" s="11" t="str">
        <x:f>IF(A157="","",IF(B157="",0,IF(COUNTIFS($A$8:$A$156,B157)=1,IF(ISNUMBER(VLOOKUP(B157,$A$8:$N$156,13,FALSE)),VLOOKUP(B157,$A$8:$N$156,13,FALSE)+1,""),"")))</x:f>
      </x:c>
      <x:c r="N157" s="9" t="str">
        <x:f>IF(A157="","",IF(COUNTIFS('Layout'!$A$8:$A$207,A157)&lt;&gt;1,"Duplicate role",IF(AND(B157&lt;&gt;"",COUNTIFS($A$8:$A$156,B157)&lt;&gt;1),"Parent must appear above child",IF(COUNTIFS('Definitions'!$A$8:$A$207,G157)&lt;&gt;1,"Unknown / duplicate definition",IF(AND(B157="",OR(C157="",D157&lt;&gt;"",AND(F157&lt;&gt;"Build",F157&lt;&gt;"Spares"))),"Set root definition and purpose",IF(AND(B157&lt;&gt;"",COUNTIFS('Recipes'!$A$8:$A$207,D157)&lt;&gt;1),"Choose a unique recipe line",IF(AND(B157&lt;&gt;"",OR(C157&lt;&gt;"",F157&lt;&gt;"")),"Clear child root-only inputs",IF(AND(B157&lt;&gt;"",COUNTIFS($A$8:$A$156,B157)=1,COUNTIFS('Recipes'!$A$8:$A$207,D157)=1),IF(VLOOKUP(D157,'Recipes'!$A$8:$F$207,2,FALSE)&lt;&gt;VLOOKUP(B157,$A$8:$N$156,7,FALSE),"Recipe parent mismatch",IF(COUNTIFS($B$8:$B$207,B157,$D$8:$D$207,D157)&lt;&gt;1,"Duplicate child recipe",IF(OR(NOT(ISNUMBER(J157)),J157&lt;0,MOD(J157,1)&lt;&gt;0),"Set nonnegative whole qty",IF(COUNTIFS('Recipes'!$B$8:$B$207,G157)&lt;&gt;COUNTIFS($B$8:$B$207,A157,$D$8:$D$207,"&lt;&gt;",$A$8:$A$207,"&lt;&gt;"),"Missing / extra recipe children","OK")))),IF(OR(NOT(ISNUMBER(J157)),J157&lt;0,MOD(J157,1)&lt;&gt;0),"Set nonnegative whole qty",IF(COUNTIFS('Recipes'!$B$8:$B$207,G157)&lt;&gt;COUNTIFS($B$8:$B$207,A157,$D$8:$D$207,"&lt;&gt;",$A$8:$A$207,"&lt;&gt;"),"Missing / extra recipe children","OK"))))))))))</x:f>
      </x:c>
    </x:row>
    <x:row r="158" ht="22" customHeight="1">
      <x:c r="A158" s="10"/>
      <x:c r="B158" s="10"/>
      <x:c r="C158" s="10"/>
      <x:c r="D158" s="10"/>
      <x:c r="E158" s="12"/>
      <x:c r="F158" s="10"/>
      <x:c r="G158" s="9" t="str">
        <x:f>IF(A158="","",IF(B158="",C158,IF(COUNTIFS('Recipes'!$A$8:$A$207,D158)=1,VLOOKUP(D158,'Recipes'!$A$8:$F$207,3,FALSE),"")))</x:f>
      </x:c>
      <x:c r="H158" s="9" t="str">
        <x:f>IF(A158="","",IF(COUNTIFS('Definitions'!$A$8:$A$207,G158)=1,REPT("    ",IF(ISNUMBER(M158),M158,0))&amp;VLOOKUP(G158,'Definitions'!$A$8:$J$207,2,FALSE),"Unknown definition"))</x:f>
      </x:c>
      <x:c r="I158" s="11" t="str">
        <x:f>IF(A158="","",IF(B158="",1,IF(COUNTIFS('Recipes'!$A$8:$A$207,D158)=1,VLOOKUP(D158,'Recipes'!$A$8:$F$207,4,FALSE),"")))</x:f>
      </x:c>
      <x:c r="J158" s="11" t="str">
        <x:f>IF(A158="","",IF(ISBLANK(E158),I158,E158))</x:f>
      </x:c>
      <x:c r="K158" s="11" t="str">
        <x:f>IF(A158="","",IF(NOT(ISNUMBER(J158)),"",IF(B158="",J158,IF(COUNTIFS($A$8:$A$157,B158)=1,IF(ISNUMBER(VLOOKUP(B158,$A$8:$N$157,11,FALSE)),J158*VLOOKUP(B158,$A$8:$N$157,11,FALSE),""),""))))</x:f>
      </x:c>
      <x:c r="L158" s="9" t="str">
        <x:f>IF(A158="","",IF(B158="",F158,IF(COUNTIFS($A$8:$A$157,B158)=1,VLOOKUP(B158,$A$8:$N$157,12,FALSE),"")))</x:f>
      </x:c>
      <x:c r="M158" s="11" t="str">
        <x:f>IF(A158="","",IF(B158="",0,IF(COUNTIFS($A$8:$A$157,B158)=1,IF(ISNUMBER(VLOOKUP(B158,$A$8:$N$157,13,FALSE)),VLOOKUP(B158,$A$8:$N$157,13,FALSE)+1,""),"")))</x:f>
      </x:c>
      <x:c r="N158" s="9" t="str">
        <x:f>IF(A158="","",IF(COUNTIFS('Layout'!$A$8:$A$207,A158)&lt;&gt;1,"Duplicate role",IF(AND(B158&lt;&gt;"",COUNTIFS($A$8:$A$157,B158)&lt;&gt;1),"Parent must appear above child",IF(COUNTIFS('Definitions'!$A$8:$A$207,G158)&lt;&gt;1,"Unknown / duplicate definition",IF(AND(B158="",OR(C158="",D158&lt;&gt;"",AND(F158&lt;&gt;"Build",F158&lt;&gt;"Spares"))),"Set root definition and purpose",IF(AND(B158&lt;&gt;"",COUNTIFS('Recipes'!$A$8:$A$207,D158)&lt;&gt;1),"Choose a unique recipe line",IF(AND(B158&lt;&gt;"",OR(C158&lt;&gt;"",F158&lt;&gt;"")),"Clear child root-only inputs",IF(AND(B158&lt;&gt;"",COUNTIFS($A$8:$A$157,B158)=1,COUNTIFS('Recipes'!$A$8:$A$207,D158)=1),IF(VLOOKUP(D158,'Recipes'!$A$8:$F$207,2,FALSE)&lt;&gt;VLOOKUP(B158,$A$8:$N$157,7,FALSE),"Recipe parent mismatch",IF(COUNTIFS($B$8:$B$207,B158,$D$8:$D$207,D158)&lt;&gt;1,"Duplicate child recipe",IF(OR(NOT(ISNUMBER(J158)),J158&lt;0,MOD(J158,1)&lt;&gt;0),"Set nonnegative whole qty",IF(COUNTIFS('Recipes'!$B$8:$B$207,G158)&lt;&gt;COUNTIFS($B$8:$B$207,A158,$D$8:$D$207,"&lt;&gt;",$A$8:$A$207,"&lt;&gt;"),"Missing / extra recipe children","OK")))),IF(OR(NOT(ISNUMBER(J158)),J158&lt;0,MOD(J158,1)&lt;&gt;0),"Set nonnegative whole qty",IF(COUNTIFS('Recipes'!$B$8:$B$207,G158)&lt;&gt;COUNTIFS($B$8:$B$207,A158,$D$8:$D$207,"&lt;&gt;",$A$8:$A$207,"&lt;&gt;"),"Missing / extra recipe children","OK"))))))))))</x:f>
      </x:c>
    </x:row>
    <x:row r="159" ht="22" customHeight="1">
      <x:c r="A159" s="10"/>
      <x:c r="B159" s="10"/>
      <x:c r="C159" s="10"/>
      <x:c r="D159" s="10"/>
      <x:c r="E159" s="12"/>
      <x:c r="F159" s="10"/>
      <x:c r="G159" s="9" t="str">
        <x:f>IF(A159="","",IF(B159="",C159,IF(COUNTIFS('Recipes'!$A$8:$A$207,D159)=1,VLOOKUP(D159,'Recipes'!$A$8:$F$207,3,FALSE),"")))</x:f>
      </x:c>
      <x:c r="H159" s="9" t="str">
        <x:f>IF(A159="","",IF(COUNTIFS('Definitions'!$A$8:$A$207,G159)=1,REPT("    ",IF(ISNUMBER(M159),M159,0))&amp;VLOOKUP(G159,'Definitions'!$A$8:$J$207,2,FALSE),"Unknown definition"))</x:f>
      </x:c>
      <x:c r="I159" s="11" t="str">
        <x:f>IF(A159="","",IF(B159="",1,IF(COUNTIFS('Recipes'!$A$8:$A$207,D159)=1,VLOOKUP(D159,'Recipes'!$A$8:$F$207,4,FALSE),"")))</x:f>
      </x:c>
      <x:c r="J159" s="11" t="str">
        <x:f>IF(A159="","",IF(ISBLANK(E159),I159,E159))</x:f>
      </x:c>
      <x:c r="K159" s="11" t="str">
        <x:f>IF(A159="","",IF(NOT(ISNUMBER(J159)),"",IF(B159="",J159,IF(COUNTIFS($A$8:$A$158,B159)=1,IF(ISNUMBER(VLOOKUP(B159,$A$8:$N$158,11,FALSE)),J159*VLOOKUP(B159,$A$8:$N$158,11,FALSE),""),""))))</x:f>
      </x:c>
      <x:c r="L159" s="9" t="str">
        <x:f>IF(A159="","",IF(B159="",F159,IF(COUNTIFS($A$8:$A$158,B159)=1,VLOOKUP(B159,$A$8:$N$158,12,FALSE),"")))</x:f>
      </x:c>
      <x:c r="M159" s="11" t="str">
        <x:f>IF(A159="","",IF(B159="",0,IF(COUNTIFS($A$8:$A$158,B159)=1,IF(ISNUMBER(VLOOKUP(B159,$A$8:$N$158,13,FALSE)),VLOOKUP(B159,$A$8:$N$158,13,FALSE)+1,""),"")))</x:f>
      </x:c>
      <x:c r="N159" s="9" t="str">
        <x:f>IF(A159="","",IF(COUNTIFS('Layout'!$A$8:$A$207,A159)&lt;&gt;1,"Duplicate role",IF(AND(B159&lt;&gt;"",COUNTIFS($A$8:$A$158,B159)&lt;&gt;1),"Parent must appear above child",IF(COUNTIFS('Definitions'!$A$8:$A$207,G159)&lt;&gt;1,"Unknown / duplicate definition",IF(AND(B159="",OR(C159="",D159&lt;&gt;"",AND(F159&lt;&gt;"Build",F159&lt;&gt;"Spares"))),"Set root definition and purpose",IF(AND(B159&lt;&gt;"",COUNTIFS('Recipes'!$A$8:$A$207,D159)&lt;&gt;1),"Choose a unique recipe line",IF(AND(B159&lt;&gt;"",OR(C159&lt;&gt;"",F159&lt;&gt;"")),"Clear child root-only inputs",IF(AND(B159&lt;&gt;"",COUNTIFS($A$8:$A$158,B159)=1,COUNTIFS('Recipes'!$A$8:$A$207,D159)=1),IF(VLOOKUP(D159,'Recipes'!$A$8:$F$207,2,FALSE)&lt;&gt;VLOOKUP(B159,$A$8:$N$158,7,FALSE),"Recipe parent mismatch",IF(COUNTIFS($B$8:$B$207,B159,$D$8:$D$207,D159)&lt;&gt;1,"Duplicate child recipe",IF(OR(NOT(ISNUMBER(J159)),J159&lt;0,MOD(J159,1)&lt;&gt;0),"Set nonnegative whole qty",IF(COUNTIFS('Recipes'!$B$8:$B$207,G159)&lt;&gt;COUNTIFS($B$8:$B$207,A159,$D$8:$D$207,"&lt;&gt;",$A$8:$A$207,"&lt;&gt;"),"Missing / extra recipe children","OK")))),IF(OR(NOT(ISNUMBER(J159)),J159&lt;0,MOD(J159,1)&lt;&gt;0),"Set nonnegative whole qty",IF(COUNTIFS('Recipes'!$B$8:$B$207,G159)&lt;&gt;COUNTIFS($B$8:$B$207,A159,$D$8:$D$207,"&lt;&gt;",$A$8:$A$207,"&lt;&gt;"),"Missing / extra recipe children","OK"))))))))))</x:f>
      </x:c>
    </x:row>
    <x:row r="160" ht="22" customHeight="1">
      <x:c r="A160" s="10"/>
      <x:c r="B160" s="10"/>
      <x:c r="C160" s="10"/>
      <x:c r="D160" s="10"/>
      <x:c r="E160" s="12"/>
      <x:c r="F160" s="10"/>
      <x:c r="G160" s="9" t="str">
        <x:f>IF(A160="","",IF(B160="",C160,IF(COUNTIFS('Recipes'!$A$8:$A$207,D160)=1,VLOOKUP(D160,'Recipes'!$A$8:$F$207,3,FALSE),"")))</x:f>
      </x:c>
      <x:c r="H160" s="9" t="str">
        <x:f>IF(A160="","",IF(COUNTIFS('Definitions'!$A$8:$A$207,G160)=1,REPT("    ",IF(ISNUMBER(M160),M160,0))&amp;VLOOKUP(G160,'Definitions'!$A$8:$J$207,2,FALSE),"Unknown definition"))</x:f>
      </x:c>
      <x:c r="I160" s="11" t="str">
        <x:f>IF(A160="","",IF(B160="",1,IF(COUNTIFS('Recipes'!$A$8:$A$207,D160)=1,VLOOKUP(D160,'Recipes'!$A$8:$F$207,4,FALSE),"")))</x:f>
      </x:c>
      <x:c r="J160" s="11" t="str">
        <x:f>IF(A160="","",IF(ISBLANK(E160),I160,E160))</x:f>
      </x:c>
      <x:c r="K160" s="11" t="str">
        <x:f>IF(A160="","",IF(NOT(ISNUMBER(J160)),"",IF(B160="",J160,IF(COUNTIFS($A$8:$A$159,B160)=1,IF(ISNUMBER(VLOOKUP(B160,$A$8:$N$159,11,FALSE)),J160*VLOOKUP(B160,$A$8:$N$159,11,FALSE),""),""))))</x:f>
      </x:c>
      <x:c r="L160" s="9" t="str">
        <x:f>IF(A160="","",IF(B160="",F160,IF(COUNTIFS($A$8:$A$159,B160)=1,VLOOKUP(B160,$A$8:$N$159,12,FALSE),"")))</x:f>
      </x:c>
      <x:c r="M160" s="11" t="str">
        <x:f>IF(A160="","",IF(B160="",0,IF(COUNTIFS($A$8:$A$159,B160)=1,IF(ISNUMBER(VLOOKUP(B160,$A$8:$N$159,13,FALSE)),VLOOKUP(B160,$A$8:$N$159,13,FALSE)+1,""),"")))</x:f>
      </x:c>
      <x:c r="N160" s="9" t="str">
        <x:f>IF(A160="","",IF(COUNTIFS('Layout'!$A$8:$A$207,A160)&lt;&gt;1,"Duplicate role",IF(AND(B160&lt;&gt;"",COUNTIFS($A$8:$A$159,B160)&lt;&gt;1),"Parent must appear above child",IF(COUNTIFS('Definitions'!$A$8:$A$207,G160)&lt;&gt;1,"Unknown / duplicate definition",IF(AND(B160="",OR(C160="",D160&lt;&gt;"",AND(F160&lt;&gt;"Build",F160&lt;&gt;"Spares"))),"Set root definition and purpose",IF(AND(B160&lt;&gt;"",COUNTIFS('Recipes'!$A$8:$A$207,D160)&lt;&gt;1),"Choose a unique recipe line",IF(AND(B160&lt;&gt;"",OR(C160&lt;&gt;"",F160&lt;&gt;"")),"Clear child root-only inputs",IF(AND(B160&lt;&gt;"",COUNTIFS($A$8:$A$159,B160)=1,COUNTIFS('Recipes'!$A$8:$A$207,D160)=1),IF(VLOOKUP(D160,'Recipes'!$A$8:$F$207,2,FALSE)&lt;&gt;VLOOKUP(B160,$A$8:$N$159,7,FALSE),"Recipe parent mismatch",IF(COUNTIFS($B$8:$B$207,B160,$D$8:$D$207,D160)&lt;&gt;1,"Duplicate child recipe",IF(OR(NOT(ISNUMBER(J160)),J160&lt;0,MOD(J160,1)&lt;&gt;0),"Set nonnegative whole qty",IF(COUNTIFS('Recipes'!$B$8:$B$207,G160)&lt;&gt;COUNTIFS($B$8:$B$207,A160,$D$8:$D$207,"&lt;&gt;",$A$8:$A$207,"&lt;&gt;"),"Missing / extra recipe children","OK")))),IF(OR(NOT(ISNUMBER(J160)),J160&lt;0,MOD(J160,1)&lt;&gt;0),"Set nonnegative whole qty",IF(COUNTIFS('Recipes'!$B$8:$B$207,G160)&lt;&gt;COUNTIFS($B$8:$B$207,A160,$D$8:$D$207,"&lt;&gt;",$A$8:$A$207,"&lt;&gt;"),"Missing / extra recipe children","OK"))))))))))</x:f>
      </x:c>
    </x:row>
    <x:row r="161" ht="22" customHeight="1">
      <x:c r="A161" s="10"/>
      <x:c r="B161" s="10"/>
      <x:c r="C161" s="10"/>
      <x:c r="D161" s="10"/>
      <x:c r="E161" s="12"/>
      <x:c r="F161" s="10"/>
      <x:c r="G161" s="9" t="str">
        <x:f>IF(A161="","",IF(B161="",C161,IF(COUNTIFS('Recipes'!$A$8:$A$207,D161)=1,VLOOKUP(D161,'Recipes'!$A$8:$F$207,3,FALSE),"")))</x:f>
      </x:c>
      <x:c r="H161" s="9" t="str">
        <x:f>IF(A161="","",IF(COUNTIFS('Definitions'!$A$8:$A$207,G161)=1,REPT("    ",IF(ISNUMBER(M161),M161,0))&amp;VLOOKUP(G161,'Definitions'!$A$8:$J$207,2,FALSE),"Unknown definition"))</x:f>
      </x:c>
      <x:c r="I161" s="11" t="str">
        <x:f>IF(A161="","",IF(B161="",1,IF(COUNTIFS('Recipes'!$A$8:$A$207,D161)=1,VLOOKUP(D161,'Recipes'!$A$8:$F$207,4,FALSE),"")))</x:f>
      </x:c>
      <x:c r="J161" s="11" t="str">
        <x:f>IF(A161="","",IF(ISBLANK(E161),I161,E161))</x:f>
      </x:c>
      <x:c r="K161" s="11" t="str">
        <x:f>IF(A161="","",IF(NOT(ISNUMBER(J161)),"",IF(B161="",J161,IF(COUNTIFS($A$8:$A$160,B161)=1,IF(ISNUMBER(VLOOKUP(B161,$A$8:$N$160,11,FALSE)),J161*VLOOKUP(B161,$A$8:$N$160,11,FALSE),""),""))))</x:f>
      </x:c>
      <x:c r="L161" s="9" t="str">
        <x:f>IF(A161="","",IF(B161="",F161,IF(COUNTIFS($A$8:$A$160,B161)=1,VLOOKUP(B161,$A$8:$N$160,12,FALSE),"")))</x:f>
      </x:c>
      <x:c r="M161" s="11" t="str">
        <x:f>IF(A161="","",IF(B161="",0,IF(COUNTIFS($A$8:$A$160,B161)=1,IF(ISNUMBER(VLOOKUP(B161,$A$8:$N$160,13,FALSE)),VLOOKUP(B161,$A$8:$N$160,13,FALSE)+1,""),"")))</x:f>
      </x:c>
      <x:c r="N161" s="9" t="str">
        <x:f>IF(A161="","",IF(COUNTIFS('Layout'!$A$8:$A$207,A161)&lt;&gt;1,"Duplicate role",IF(AND(B161&lt;&gt;"",COUNTIFS($A$8:$A$160,B161)&lt;&gt;1),"Parent must appear above child",IF(COUNTIFS('Definitions'!$A$8:$A$207,G161)&lt;&gt;1,"Unknown / duplicate definition",IF(AND(B161="",OR(C161="",D161&lt;&gt;"",AND(F161&lt;&gt;"Build",F161&lt;&gt;"Spares"))),"Set root definition and purpose",IF(AND(B161&lt;&gt;"",COUNTIFS('Recipes'!$A$8:$A$207,D161)&lt;&gt;1),"Choose a unique recipe line",IF(AND(B161&lt;&gt;"",OR(C161&lt;&gt;"",F161&lt;&gt;"")),"Clear child root-only inputs",IF(AND(B161&lt;&gt;"",COUNTIFS($A$8:$A$160,B161)=1,COUNTIFS('Recipes'!$A$8:$A$207,D161)=1),IF(VLOOKUP(D161,'Recipes'!$A$8:$F$207,2,FALSE)&lt;&gt;VLOOKUP(B161,$A$8:$N$160,7,FALSE),"Recipe parent mismatch",IF(COUNTIFS($B$8:$B$207,B161,$D$8:$D$207,D161)&lt;&gt;1,"Duplicate child recipe",IF(OR(NOT(ISNUMBER(J161)),J161&lt;0,MOD(J161,1)&lt;&gt;0),"Set nonnegative whole qty",IF(COUNTIFS('Recipes'!$B$8:$B$207,G161)&lt;&gt;COUNTIFS($B$8:$B$207,A161,$D$8:$D$207,"&lt;&gt;",$A$8:$A$207,"&lt;&gt;"),"Missing / extra recipe children","OK")))),IF(OR(NOT(ISNUMBER(J161)),J161&lt;0,MOD(J161,1)&lt;&gt;0),"Set nonnegative whole qty",IF(COUNTIFS('Recipes'!$B$8:$B$207,G161)&lt;&gt;COUNTIFS($B$8:$B$207,A161,$D$8:$D$207,"&lt;&gt;",$A$8:$A$207,"&lt;&gt;"),"Missing / extra recipe children","OK"))))))))))</x:f>
      </x:c>
    </x:row>
    <x:row r="162" ht="22" customHeight="1">
      <x:c r="A162" s="10"/>
      <x:c r="B162" s="10"/>
      <x:c r="C162" s="10"/>
      <x:c r="D162" s="10"/>
      <x:c r="E162" s="12"/>
      <x:c r="F162" s="10"/>
      <x:c r="G162" s="9" t="str">
        <x:f>IF(A162="","",IF(B162="",C162,IF(COUNTIFS('Recipes'!$A$8:$A$207,D162)=1,VLOOKUP(D162,'Recipes'!$A$8:$F$207,3,FALSE),"")))</x:f>
      </x:c>
      <x:c r="H162" s="9" t="str">
        <x:f>IF(A162="","",IF(COUNTIFS('Definitions'!$A$8:$A$207,G162)=1,REPT("    ",IF(ISNUMBER(M162),M162,0))&amp;VLOOKUP(G162,'Definitions'!$A$8:$J$207,2,FALSE),"Unknown definition"))</x:f>
      </x:c>
      <x:c r="I162" s="11" t="str">
        <x:f>IF(A162="","",IF(B162="",1,IF(COUNTIFS('Recipes'!$A$8:$A$207,D162)=1,VLOOKUP(D162,'Recipes'!$A$8:$F$207,4,FALSE),"")))</x:f>
      </x:c>
      <x:c r="J162" s="11" t="str">
        <x:f>IF(A162="","",IF(ISBLANK(E162),I162,E162))</x:f>
      </x:c>
      <x:c r="K162" s="11" t="str">
        <x:f>IF(A162="","",IF(NOT(ISNUMBER(J162)),"",IF(B162="",J162,IF(COUNTIFS($A$8:$A$161,B162)=1,IF(ISNUMBER(VLOOKUP(B162,$A$8:$N$161,11,FALSE)),J162*VLOOKUP(B162,$A$8:$N$161,11,FALSE),""),""))))</x:f>
      </x:c>
      <x:c r="L162" s="9" t="str">
        <x:f>IF(A162="","",IF(B162="",F162,IF(COUNTIFS($A$8:$A$161,B162)=1,VLOOKUP(B162,$A$8:$N$161,12,FALSE),"")))</x:f>
      </x:c>
      <x:c r="M162" s="11" t="str">
        <x:f>IF(A162="","",IF(B162="",0,IF(COUNTIFS($A$8:$A$161,B162)=1,IF(ISNUMBER(VLOOKUP(B162,$A$8:$N$161,13,FALSE)),VLOOKUP(B162,$A$8:$N$161,13,FALSE)+1,""),"")))</x:f>
      </x:c>
      <x:c r="N162" s="9" t="str">
        <x:f>IF(A162="","",IF(COUNTIFS('Layout'!$A$8:$A$207,A162)&lt;&gt;1,"Duplicate role",IF(AND(B162&lt;&gt;"",COUNTIFS($A$8:$A$161,B162)&lt;&gt;1),"Parent must appear above child",IF(COUNTIFS('Definitions'!$A$8:$A$207,G162)&lt;&gt;1,"Unknown / duplicate definition",IF(AND(B162="",OR(C162="",D162&lt;&gt;"",AND(F162&lt;&gt;"Build",F162&lt;&gt;"Spares"))),"Set root definition and purpose",IF(AND(B162&lt;&gt;"",COUNTIFS('Recipes'!$A$8:$A$207,D162)&lt;&gt;1),"Choose a unique recipe line",IF(AND(B162&lt;&gt;"",OR(C162&lt;&gt;"",F162&lt;&gt;"")),"Clear child root-only inputs",IF(AND(B162&lt;&gt;"",COUNTIFS($A$8:$A$161,B162)=1,COUNTIFS('Recipes'!$A$8:$A$207,D162)=1),IF(VLOOKUP(D162,'Recipes'!$A$8:$F$207,2,FALSE)&lt;&gt;VLOOKUP(B162,$A$8:$N$161,7,FALSE),"Recipe parent mismatch",IF(COUNTIFS($B$8:$B$207,B162,$D$8:$D$207,D162)&lt;&gt;1,"Duplicate child recipe",IF(OR(NOT(ISNUMBER(J162)),J162&lt;0,MOD(J162,1)&lt;&gt;0),"Set nonnegative whole qty",IF(COUNTIFS('Recipes'!$B$8:$B$207,G162)&lt;&gt;COUNTIFS($B$8:$B$207,A162,$D$8:$D$207,"&lt;&gt;",$A$8:$A$207,"&lt;&gt;"),"Missing / extra recipe children","OK")))),IF(OR(NOT(ISNUMBER(J162)),J162&lt;0,MOD(J162,1)&lt;&gt;0),"Set nonnegative whole qty",IF(COUNTIFS('Recipes'!$B$8:$B$207,G162)&lt;&gt;COUNTIFS($B$8:$B$207,A162,$D$8:$D$207,"&lt;&gt;",$A$8:$A$207,"&lt;&gt;"),"Missing / extra recipe children","OK"))))))))))</x:f>
      </x:c>
    </x:row>
    <x:row r="163" ht="22" customHeight="1">
      <x:c r="A163" s="10"/>
      <x:c r="B163" s="10"/>
      <x:c r="C163" s="10"/>
      <x:c r="D163" s="10"/>
      <x:c r="E163" s="12"/>
      <x:c r="F163" s="10"/>
      <x:c r="G163" s="9" t="str">
        <x:f>IF(A163="","",IF(B163="",C163,IF(COUNTIFS('Recipes'!$A$8:$A$207,D163)=1,VLOOKUP(D163,'Recipes'!$A$8:$F$207,3,FALSE),"")))</x:f>
      </x:c>
      <x:c r="H163" s="9" t="str">
        <x:f>IF(A163="","",IF(COUNTIFS('Definitions'!$A$8:$A$207,G163)=1,REPT("    ",IF(ISNUMBER(M163),M163,0))&amp;VLOOKUP(G163,'Definitions'!$A$8:$J$207,2,FALSE),"Unknown definition"))</x:f>
      </x:c>
      <x:c r="I163" s="11" t="str">
        <x:f>IF(A163="","",IF(B163="",1,IF(COUNTIFS('Recipes'!$A$8:$A$207,D163)=1,VLOOKUP(D163,'Recipes'!$A$8:$F$207,4,FALSE),"")))</x:f>
      </x:c>
      <x:c r="J163" s="11" t="str">
        <x:f>IF(A163="","",IF(ISBLANK(E163),I163,E163))</x:f>
      </x:c>
      <x:c r="K163" s="11" t="str">
        <x:f>IF(A163="","",IF(NOT(ISNUMBER(J163)),"",IF(B163="",J163,IF(COUNTIFS($A$8:$A$162,B163)=1,IF(ISNUMBER(VLOOKUP(B163,$A$8:$N$162,11,FALSE)),J163*VLOOKUP(B163,$A$8:$N$162,11,FALSE),""),""))))</x:f>
      </x:c>
      <x:c r="L163" s="9" t="str">
        <x:f>IF(A163="","",IF(B163="",F163,IF(COUNTIFS($A$8:$A$162,B163)=1,VLOOKUP(B163,$A$8:$N$162,12,FALSE),"")))</x:f>
      </x:c>
      <x:c r="M163" s="11" t="str">
        <x:f>IF(A163="","",IF(B163="",0,IF(COUNTIFS($A$8:$A$162,B163)=1,IF(ISNUMBER(VLOOKUP(B163,$A$8:$N$162,13,FALSE)),VLOOKUP(B163,$A$8:$N$162,13,FALSE)+1,""),"")))</x:f>
      </x:c>
      <x:c r="N163" s="9" t="str">
        <x:f>IF(A163="","",IF(COUNTIFS('Layout'!$A$8:$A$207,A163)&lt;&gt;1,"Duplicate role",IF(AND(B163&lt;&gt;"",COUNTIFS($A$8:$A$162,B163)&lt;&gt;1),"Parent must appear above child",IF(COUNTIFS('Definitions'!$A$8:$A$207,G163)&lt;&gt;1,"Unknown / duplicate definition",IF(AND(B163="",OR(C163="",D163&lt;&gt;"",AND(F163&lt;&gt;"Build",F163&lt;&gt;"Spares"))),"Set root definition and purpose",IF(AND(B163&lt;&gt;"",COUNTIFS('Recipes'!$A$8:$A$207,D163)&lt;&gt;1),"Choose a unique recipe line",IF(AND(B163&lt;&gt;"",OR(C163&lt;&gt;"",F163&lt;&gt;"")),"Clear child root-only inputs",IF(AND(B163&lt;&gt;"",COUNTIFS($A$8:$A$162,B163)=1,COUNTIFS('Recipes'!$A$8:$A$207,D163)=1),IF(VLOOKUP(D163,'Recipes'!$A$8:$F$207,2,FALSE)&lt;&gt;VLOOKUP(B163,$A$8:$N$162,7,FALSE),"Recipe parent mismatch",IF(COUNTIFS($B$8:$B$207,B163,$D$8:$D$207,D163)&lt;&gt;1,"Duplicate child recipe",IF(OR(NOT(ISNUMBER(J163)),J163&lt;0,MOD(J163,1)&lt;&gt;0),"Set nonnegative whole qty",IF(COUNTIFS('Recipes'!$B$8:$B$207,G163)&lt;&gt;COUNTIFS($B$8:$B$207,A163,$D$8:$D$207,"&lt;&gt;",$A$8:$A$207,"&lt;&gt;"),"Missing / extra recipe children","OK")))),IF(OR(NOT(ISNUMBER(J163)),J163&lt;0,MOD(J163,1)&lt;&gt;0),"Set nonnegative whole qty",IF(COUNTIFS('Recipes'!$B$8:$B$207,G163)&lt;&gt;COUNTIFS($B$8:$B$207,A163,$D$8:$D$207,"&lt;&gt;",$A$8:$A$207,"&lt;&gt;"),"Missing / extra recipe children","OK"))))))))))</x:f>
      </x:c>
    </x:row>
    <x:row r="164" ht="22" customHeight="1">
      <x:c r="A164" s="10"/>
      <x:c r="B164" s="10"/>
      <x:c r="C164" s="10"/>
      <x:c r="D164" s="10"/>
      <x:c r="E164" s="12"/>
      <x:c r="F164" s="10"/>
      <x:c r="G164" s="9" t="str">
        <x:f>IF(A164="","",IF(B164="",C164,IF(COUNTIFS('Recipes'!$A$8:$A$207,D164)=1,VLOOKUP(D164,'Recipes'!$A$8:$F$207,3,FALSE),"")))</x:f>
      </x:c>
      <x:c r="H164" s="9" t="str">
        <x:f>IF(A164="","",IF(COUNTIFS('Definitions'!$A$8:$A$207,G164)=1,REPT("    ",IF(ISNUMBER(M164),M164,0))&amp;VLOOKUP(G164,'Definitions'!$A$8:$J$207,2,FALSE),"Unknown definition"))</x:f>
      </x:c>
      <x:c r="I164" s="11" t="str">
        <x:f>IF(A164="","",IF(B164="",1,IF(COUNTIFS('Recipes'!$A$8:$A$207,D164)=1,VLOOKUP(D164,'Recipes'!$A$8:$F$207,4,FALSE),"")))</x:f>
      </x:c>
      <x:c r="J164" s="11" t="str">
        <x:f>IF(A164="","",IF(ISBLANK(E164),I164,E164))</x:f>
      </x:c>
      <x:c r="K164" s="11" t="str">
        <x:f>IF(A164="","",IF(NOT(ISNUMBER(J164)),"",IF(B164="",J164,IF(COUNTIFS($A$8:$A$163,B164)=1,IF(ISNUMBER(VLOOKUP(B164,$A$8:$N$163,11,FALSE)),J164*VLOOKUP(B164,$A$8:$N$163,11,FALSE),""),""))))</x:f>
      </x:c>
      <x:c r="L164" s="9" t="str">
        <x:f>IF(A164="","",IF(B164="",F164,IF(COUNTIFS($A$8:$A$163,B164)=1,VLOOKUP(B164,$A$8:$N$163,12,FALSE),"")))</x:f>
      </x:c>
      <x:c r="M164" s="11" t="str">
        <x:f>IF(A164="","",IF(B164="",0,IF(COUNTIFS($A$8:$A$163,B164)=1,IF(ISNUMBER(VLOOKUP(B164,$A$8:$N$163,13,FALSE)),VLOOKUP(B164,$A$8:$N$163,13,FALSE)+1,""),"")))</x:f>
      </x:c>
      <x:c r="N164" s="9" t="str">
        <x:f>IF(A164="","",IF(COUNTIFS('Layout'!$A$8:$A$207,A164)&lt;&gt;1,"Duplicate role",IF(AND(B164&lt;&gt;"",COUNTIFS($A$8:$A$163,B164)&lt;&gt;1),"Parent must appear above child",IF(COUNTIFS('Definitions'!$A$8:$A$207,G164)&lt;&gt;1,"Unknown / duplicate definition",IF(AND(B164="",OR(C164="",D164&lt;&gt;"",AND(F164&lt;&gt;"Build",F164&lt;&gt;"Spares"))),"Set root definition and purpose",IF(AND(B164&lt;&gt;"",COUNTIFS('Recipes'!$A$8:$A$207,D164)&lt;&gt;1),"Choose a unique recipe line",IF(AND(B164&lt;&gt;"",OR(C164&lt;&gt;"",F164&lt;&gt;"")),"Clear child root-only inputs",IF(AND(B164&lt;&gt;"",COUNTIFS($A$8:$A$163,B164)=1,COUNTIFS('Recipes'!$A$8:$A$207,D164)=1),IF(VLOOKUP(D164,'Recipes'!$A$8:$F$207,2,FALSE)&lt;&gt;VLOOKUP(B164,$A$8:$N$163,7,FALSE),"Recipe parent mismatch",IF(COUNTIFS($B$8:$B$207,B164,$D$8:$D$207,D164)&lt;&gt;1,"Duplicate child recipe",IF(OR(NOT(ISNUMBER(J164)),J164&lt;0,MOD(J164,1)&lt;&gt;0),"Set nonnegative whole qty",IF(COUNTIFS('Recipes'!$B$8:$B$207,G164)&lt;&gt;COUNTIFS($B$8:$B$207,A164,$D$8:$D$207,"&lt;&gt;",$A$8:$A$207,"&lt;&gt;"),"Missing / extra recipe children","OK")))),IF(OR(NOT(ISNUMBER(J164)),J164&lt;0,MOD(J164,1)&lt;&gt;0),"Set nonnegative whole qty",IF(COUNTIFS('Recipes'!$B$8:$B$207,G164)&lt;&gt;COUNTIFS($B$8:$B$207,A164,$D$8:$D$207,"&lt;&gt;",$A$8:$A$207,"&lt;&gt;"),"Missing / extra recipe children","OK"))))))))))</x:f>
      </x:c>
    </x:row>
    <x:row r="165" ht="22" customHeight="1">
      <x:c r="A165" s="10"/>
      <x:c r="B165" s="10"/>
      <x:c r="C165" s="10"/>
      <x:c r="D165" s="10"/>
      <x:c r="E165" s="12"/>
      <x:c r="F165" s="10"/>
      <x:c r="G165" s="9" t="str">
        <x:f>IF(A165="","",IF(B165="",C165,IF(COUNTIFS('Recipes'!$A$8:$A$207,D165)=1,VLOOKUP(D165,'Recipes'!$A$8:$F$207,3,FALSE),"")))</x:f>
      </x:c>
      <x:c r="H165" s="9" t="str">
        <x:f>IF(A165="","",IF(COUNTIFS('Definitions'!$A$8:$A$207,G165)=1,REPT("    ",IF(ISNUMBER(M165),M165,0))&amp;VLOOKUP(G165,'Definitions'!$A$8:$J$207,2,FALSE),"Unknown definition"))</x:f>
      </x:c>
      <x:c r="I165" s="11" t="str">
        <x:f>IF(A165="","",IF(B165="",1,IF(COUNTIFS('Recipes'!$A$8:$A$207,D165)=1,VLOOKUP(D165,'Recipes'!$A$8:$F$207,4,FALSE),"")))</x:f>
      </x:c>
      <x:c r="J165" s="11" t="str">
        <x:f>IF(A165="","",IF(ISBLANK(E165),I165,E165))</x:f>
      </x:c>
      <x:c r="K165" s="11" t="str">
        <x:f>IF(A165="","",IF(NOT(ISNUMBER(J165)),"",IF(B165="",J165,IF(COUNTIFS($A$8:$A$164,B165)=1,IF(ISNUMBER(VLOOKUP(B165,$A$8:$N$164,11,FALSE)),J165*VLOOKUP(B165,$A$8:$N$164,11,FALSE),""),""))))</x:f>
      </x:c>
      <x:c r="L165" s="9" t="str">
        <x:f>IF(A165="","",IF(B165="",F165,IF(COUNTIFS($A$8:$A$164,B165)=1,VLOOKUP(B165,$A$8:$N$164,12,FALSE),"")))</x:f>
      </x:c>
      <x:c r="M165" s="11" t="str">
        <x:f>IF(A165="","",IF(B165="",0,IF(COUNTIFS($A$8:$A$164,B165)=1,IF(ISNUMBER(VLOOKUP(B165,$A$8:$N$164,13,FALSE)),VLOOKUP(B165,$A$8:$N$164,13,FALSE)+1,""),"")))</x:f>
      </x:c>
      <x:c r="N165" s="9" t="str">
        <x:f>IF(A165="","",IF(COUNTIFS('Layout'!$A$8:$A$207,A165)&lt;&gt;1,"Duplicate role",IF(AND(B165&lt;&gt;"",COUNTIFS($A$8:$A$164,B165)&lt;&gt;1),"Parent must appear above child",IF(COUNTIFS('Definitions'!$A$8:$A$207,G165)&lt;&gt;1,"Unknown / duplicate definition",IF(AND(B165="",OR(C165="",D165&lt;&gt;"",AND(F165&lt;&gt;"Build",F165&lt;&gt;"Spares"))),"Set root definition and purpose",IF(AND(B165&lt;&gt;"",COUNTIFS('Recipes'!$A$8:$A$207,D165)&lt;&gt;1),"Choose a unique recipe line",IF(AND(B165&lt;&gt;"",OR(C165&lt;&gt;"",F165&lt;&gt;"")),"Clear child root-only inputs",IF(AND(B165&lt;&gt;"",COUNTIFS($A$8:$A$164,B165)=1,COUNTIFS('Recipes'!$A$8:$A$207,D165)=1),IF(VLOOKUP(D165,'Recipes'!$A$8:$F$207,2,FALSE)&lt;&gt;VLOOKUP(B165,$A$8:$N$164,7,FALSE),"Recipe parent mismatch",IF(COUNTIFS($B$8:$B$207,B165,$D$8:$D$207,D165)&lt;&gt;1,"Duplicate child recipe",IF(OR(NOT(ISNUMBER(J165)),J165&lt;0,MOD(J165,1)&lt;&gt;0),"Set nonnegative whole qty",IF(COUNTIFS('Recipes'!$B$8:$B$207,G165)&lt;&gt;COUNTIFS($B$8:$B$207,A165,$D$8:$D$207,"&lt;&gt;",$A$8:$A$207,"&lt;&gt;"),"Missing / extra recipe children","OK")))),IF(OR(NOT(ISNUMBER(J165)),J165&lt;0,MOD(J165,1)&lt;&gt;0),"Set nonnegative whole qty",IF(COUNTIFS('Recipes'!$B$8:$B$207,G165)&lt;&gt;COUNTIFS($B$8:$B$207,A165,$D$8:$D$207,"&lt;&gt;",$A$8:$A$207,"&lt;&gt;"),"Missing / extra recipe children","OK"))))))))))</x:f>
      </x:c>
    </x:row>
    <x:row r="166" ht="22" customHeight="1">
      <x:c r="A166" s="10"/>
      <x:c r="B166" s="10"/>
      <x:c r="C166" s="10"/>
      <x:c r="D166" s="10"/>
      <x:c r="E166" s="12"/>
      <x:c r="F166" s="10"/>
      <x:c r="G166" s="9" t="str">
        <x:f>IF(A166="","",IF(B166="",C166,IF(COUNTIFS('Recipes'!$A$8:$A$207,D166)=1,VLOOKUP(D166,'Recipes'!$A$8:$F$207,3,FALSE),"")))</x:f>
      </x:c>
      <x:c r="H166" s="9" t="str">
        <x:f>IF(A166="","",IF(COUNTIFS('Definitions'!$A$8:$A$207,G166)=1,REPT("    ",IF(ISNUMBER(M166),M166,0))&amp;VLOOKUP(G166,'Definitions'!$A$8:$J$207,2,FALSE),"Unknown definition"))</x:f>
      </x:c>
      <x:c r="I166" s="11" t="str">
        <x:f>IF(A166="","",IF(B166="",1,IF(COUNTIFS('Recipes'!$A$8:$A$207,D166)=1,VLOOKUP(D166,'Recipes'!$A$8:$F$207,4,FALSE),"")))</x:f>
      </x:c>
      <x:c r="J166" s="11" t="str">
        <x:f>IF(A166="","",IF(ISBLANK(E166),I166,E166))</x:f>
      </x:c>
      <x:c r="K166" s="11" t="str">
        <x:f>IF(A166="","",IF(NOT(ISNUMBER(J166)),"",IF(B166="",J166,IF(COUNTIFS($A$8:$A$165,B166)=1,IF(ISNUMBER(VLOOKUP(B166,$A$8:$N$165,11,FALSE)),J166*VLOOKUP(B166,$A$8:$N$165,11,FALSE),""),""))))</x:f>
      </x:c>
      <x:c r="L166" s="9" t="str">
        <x:f>IF(A166="","",IF(B166="",F166,IF(COUNTIFS($A$8:$A$165,B166)=1,VLOOKUP(B166,$A$8:$N$165,12,FALSE),"")))</x:f>
      </x:c>
      <x:c r="M166" s="11" t="str">
        <x:f>IF(A166="","",IF(B166="",0,IF(COUNTIFS($A$8:$A$165,B166)=1,IF(ISNUMBER(VLOOKUP(B166,$A$8:$N$165,13,FALSE)),VLOOKUP(B166,$A$8:$N$165,13,FALSE)+1,""),"")))</x:f>
      </x:c>
      <x:c r="N166" s="9" t="str">
        <x:f>IF(A166="","",IF(COUNTIFS('Layout'!$A$8:$A$207,A166)&lt;&gt;1,"Duplicate role",IF(AND(B166&lt;&gt;"",COUNTIFS($A$8:$A$165,B166)&lt;&gt;1),"Parent must appear above child",IF(COUNTIFS('Definitions'!$A$8:$A$207,G166)&lt;&gt;1,"Unknown / duplicate definition",IF(AND(B166="",OR(C166="",D166&lt;&gt;"",AND(F166&lt;&gt;"Build",F166&lt;&gt;"Spares"))),"Set root definition and purpose",IF(AND(B166&lt;&gt;"",COUNTIFS('Recipes'!$A$8:$A$207,D166)&lt;&gt;1),"Choose a unique recipe line",IF(AND(B166&lt;&gt;"",OR(C166&lt;&gt;"",F166&lt;&gt;"")),"Clear child root-only inputs",IF(AND(B166&lt;&gt;"",COUNTIFS($A$8:$A$165,B166)=1,COUNTIFS('Recipes'!$A$8:$A$207,D166)=1),IF(VLOOKUP(D166,'Recipes'!$A$8:$F$207,2,FALSE)&lt;&gt;VLOOKUP(B166,$A$8:$N$165,7,FALSE),"Recipe parent mismatch",IF(COUNTIFS($B$8:$B$207,B166,$D$8:$D$207,D166)&lt;&gt;1,"Duplicate child recipe",IF(OR(NOT(ISNUMBER(J166)),J166&lt;0,MOD(J166,1)&lt;&gt;0),"Set nonnegative whole qty",IF(COUNTIFS('Recipes'!$B$8:$B$207,G166)&lt;&gt;COUNTIFS($B$8:$B$207,A166,$D$8:$D$207,"&lt;&gt;",$A$8:$A$207,"&lt;&gt;"),"Missing / extra recipe children","OK")))),IF(OR(NOT(ISNUMBER(J166)),J166&lt;0,MOD(J166,1)&lt;&gt;0),"Set nonnegative whole qty",IF(COUNTIFS('Recipes'!$B$8:$B$207,G166)&lt;&gt;COUNTIFS($B$8:$B$207,A166,$D$8:$D$207,"&lt;&gt;",$A$8:$A$207,"&lt;&gt;"),"Missing / extra recipe children","OK"))))))))))</x:f>
      </x:c>
    </x:row>
    <x:row r="167" ht="22" customHeight="1">
      <x:c r="A167" s="10"/>
      <x:c r="B167" s="10"/>
      <x:c r="C167" s="10"/>
      <x:c r="D167" s="10"/>
      <x:c r="E167" s="12"/>
      <x:c r="F167" s="10"/>
      <x:c r="G167" s="9" t="str">
        <x:f>IF(A167="","",IF(B167="",C167,IF(COUNTIFS('Recipes'!$A$8:$A$207,D167)=1,VLOOKUP(D167,'Recipes'!$A$8:$F$207,3,FALSE),"")))</x:f>
      </x:c>
      <x:c r="H167" s="9" t="str">
        <x:f>IF(A167="","",IF(COUNTIFS('Definitions'!$A$8:$A$207,G167)=1,REPT("    ",IF(ISNUMBER(M167),M167,0))&amp;VLOOKUP(G167,'Definitions'!$A$8:$J$207,2,FALSE),"Unknown definition"))</x:f>
      </x:c>
      <x:c r="I167" s="11" t="str">
        <x:f>IF(A167="","",IF(B167="",1,IF(COUNTIFS('Recipes'!$A$8:$A$207,D167)=1,VLOOKUP(D167,'Recipes'!$A$8:$F$207,4,FALSE),"")))</x:f>
      </x:c>
      <x:c r="J167" s="11" t="str">
        <x:f>IF(A167="","",IF(ISBLANK(E167),I167,E167))</x:f>
      </x:c>
      <x:c r="K167" s="11" t="str">
        <x:f>IF(A167="","",IF(NOT(ISNUMBER(J167)),"",IF(B167="",J167,IF(COUNTIFS($A$8:$A$166,B167)=1,IF(ISNUMBER(VLOOKUP(B167,$A$8:$N$166,11,FALSE)),J167*VLOOKUP(B167,$A$8:$N$166,11,FALSE),""),""))))</x:f>
      </x:c>
      <x:c r="L167" s="9" t="str">
        <x:f>IF(A167="","",IF(B167="",F167,IF(COUNTIFS($A$8:$A$166,B167)=1,VLOOKUP(B167,$A$8:$N$166,12,FALSE),"")))</x:f>
      </x:c>
      <x:c r="M167" s="11" t="str">
        <x:f>IF(A167="","",IF(B167="",0,IF(COUNTIFS($A$8:$A$166,B167)=1,IF(ISNUMBER(VLOOKUP(B167,$A$8:$N$166,13,FALSE)),VLOOKUP(B167,$A$8:$N$166,13,FALSE)+1,""),"")))</x:f>
      </x:c>
      <x:c r="N167" s="9" t="str">
        <x:f>IF(A167="","",IF(COUNTIFS('Layout'!$A$8:$A$207,A167)&lt;&gt;1,"Duplicate role",IF(AND(B167&lt;&gt;"",COUNTIFS($A$8:$A$166,B167)&lt;&gt;1),"Parent must appear above child",IF(COUNTIFS('Definitions'!$A$8:$A$207,G167)&lt;&gt;1,"Unknown / duplicate definition",IF(AND(B167="",OR(C167="",D167&lt;&gt;"",AND(F167&lt;&gt;"Build",F167&lt;&gt;"Spares"))),"Set root definition and purpose",IF(AND(B167&lt;&gt;"",COUNTIFS('Recipes'!$A$8:$A$207,D167)&lt;&gt;1),"Choose a unique recipe line",IF(AND(B167&lt;&gt;"",OR(C167&lt;&gt;"",F167&lt;&gt;"")),"Clear child root-only inputs",IF(AND(B167&lt;&gt;"",COUNTIFS($A$8:$A$166,B167)=1,COUNTIFS('Recipes'!$A$8:$A$207,D167)=1),IF(VLOOKUP(D167,'Recipes'!$A$8:$F$207,2,FALSE)&lt;&gt;VLOOKUP(B167,$A$8:$N$166,7,FALSE),"Recipe parent mismatch",IF(COUNTIFS($B$8:$B$207,B167,$D$8:$D$207,D167)&lt;&gt;1,"Duplicate child recipe",IF(OR(NOT(ISNUMBER(J167)),J167&lt;0,MOD(J167,1)&lt;&gt;0),"Set nonnegative whole qty",IF(COUNTIFS('Recipes'!$B$8:$B$207,G167)&lt;&gt;COUNTIFS($B$8:$B$207,A167,$D$8:$D$207,"&lt;&gt;",$A$8:$A$207,"&lt;&gt;"),"Missing / extra recipe children","OK")))),IF(OR(NOT(ISNUMBER(J167)),J167&lt;0,MOD(J167,1)&lt;&gt;0),"Set nonnegative whole qty",IF(COUNTIFS('Recipes'!$B$8:$B$207,G167)&lt;&gt;COUNTIFS($B$8:$B$207,A167,$D$8:$D$207,"&lt;&gt;",$A$8:$A$207,"&lt;&gt;"),"Missing / extra recipe children","OK"))))))))))</x:f>
      </x:c>
    </x:row>
    <x:row r="168" ht="22" customHeight="1">
      <x:c r="A168" s="10"/>
      <x:c r="B168" s="10"/>
      <x:c r="C168" s="10"/>
      <x:c r="D168" s="10"/>
      <x:c r="E168" s="12"/>
      <x:c r="F168" s="10"/>
      <x:c r="G168" s="9" t="str">
        <x:f>IF(A168="","",IF(B168="",C168,IF(COUNTIFS('Recipes'!$A$8:$A$207,D168)=1,VLOOKUP(D168,'Recipes'!$A$8:$F$207,3,FALSE),"")))</x:f>
      </x:c>
      <x:c r="H168" s="9" t="str">
        <x:f>IF(A168="","",IF(COUNTIFS('Definitions'!$A$8:$A$207,G168)=1,REPT("    ",IF(ISNUMBER(M168),M168,0))&amp;VLOOKUP(G168,'Definitions'!$A$8:$J$207,2,FALSE),"Unknown definition"))</x:f>
      </x:c>
      <x:c r="I168" s="11" t="str">
        <x:f>IF(A168="","",IF(B168="",1,IF(COUNTIFS('Recipes'!$A$8:$A$207,D168)=1,VLOOKUP(D168,'Recipes'!$A$8:$F$207,4,FALSE),"")))</x:f>
      </x:c>
      <x:c r="J168" s="11" t="str">
        <x:f>IF(A168="","",IF(ISBLANK(E168),I168,E168))</x:f>
      </x:c>
      <x:c r="K168" s="11" t="str">
        <x:f>IF(A168="","",IF(NOT(ISNUMBER(J168)),"",IF(B168="",J168,IF(COUNTIFS($A$8:$A$167,B168)=1,IF(ISNUMBER(VLOOKUP(B168,$A$8:$N$167,11,FALSE)),J168*VLOOKUP(B168,$A$8:$N$167,11,FALSE),""),""))))</x:f>
      </x:c>
      <x:c r="L168" s="9" t="str">
        <x:f>IF(A168="","",IF(B168="",F168,IF(COUNTIFS($A$8:$A$167,B168)=1,VLOOKUP(B168,$A$8:$N$167,12,FALSE),"")))</x:f>
      </x:c>
      <x:c r="M168" s="11" t="str">
        <x:f>IF(A168="","",IF(B168="",0,IF(COUNTIFS($A$8:$A$167,B168)=1,IF(ISNUMBER(VLOOKUP(B168,$A$8:$N$167,13,FALSE)),VLOOKUP(B168,$A$8:$N$167,13,FALSE)+1,""),"")))</x:f>
      </x:c>
      <x:c r="N168" s="9" t="str">
        <x:f>IF(A168="","",IF(COUNTIFS('Layout'!$A$8:$A$207,A168)&lt;&gt;1,"Duplicate role",IF(AND(B168&lt;&gt;"",COUNTIFS($A$8:$A$167,B168)&lt;&gt;1),"Parent must appear above child",IF(COUNTIFS('Definitions'!$A$8:$A$207,G168)&lt;&gt;1,"Unknown / duplicate definition",IF(AND(B168="",OR(C168="",D168&lt;&gt;"",AND(F168&lt;&gt;"Build",F168&lt;&gt;"Spares"))),"Set root definition and purpose",IF(AND(B168&lt;&gt;"",COUNTIFS('Recipes'!$A$8:$A$207,D168)&lt;&gt;1),"Choose a unique recipe line",IF(AND(B168&lt;&gt;"",OR(C168&lt;&gt;"",F168&lt;&gt;"")),"Clear child root-only inputs",IF(AND(B168&lt;&gt;"",COUNTIFS($A$8:$A$167,B168)=1,COUNTIFS('Recipes'!$A$8:$A$207,D168)=1),IF(VLOOKUP(D168,'Recipes'!$A$8:$F$207,2,FALSE)&lt;&gt;VLOOKUP(B168,$A$8:$N$167,7,FALSE),"Recipe parent mismatch",IF(COUNTIFS($B$8:$B$207,B168,$D$8:$D$207,D168)&lt;&gt;1,"Duplicate child recipe",IF(OR(NOT(ISNUMBER(J168)),J168&lt;0,MOD(J168,1)&lt;&gt;0),"Set nonnegative whole qty",IF(COUNTIFS('Recipes'!$B$8:$B$207,G168)&lt;&gt;COUNTIFS($B$8:$B$207,A168,$D$8:$D$207,"&lt;&gt;",$A$8:$A$207,"&lt;&gt;"),"Missing / extra recipe children","OK")))),IF(OR(NOT(ISNUMBER(J168)),J168&lt;0,MOD(J168,1)&lt;&gt;0),"Set nonnegative whole qty",IF(COUNTIFS('Recipes'!$B$8:$B$207,G168)&lt;&gt;COUNTIFS($B$8:$B$207,A168,$D$8:$D$207,"&lt;&gt;",$A$8:$A$207,"&lt;&gt;"),"Missing / extra recipe children","OK"))))))))))</x:f>
      </x:c>
    </x:row>
    <x:row r="169" ht="22" customHeight="1">
      <x:c r="A169" s="10"/>
      <x:c r="B169" s="10"/>
      <x:c r="C169" s="10"/>
      <x:c r="D169" s="10"/>
      <x:c r="E169" s="12"/>
      <x:c r="F169" s="10"/>
      <x:c r="G169" s="9" t="str">
        <x:f>IF(A169="","",IF(B169="",C169,IF(COUNTIFS('Recipes'!$A$8:$A$207,D169)=1,VLOOKUP(D169,'Recipes'!$A$8:$F$207,3,FALSE),"")))</x:f>
      </x:c>
      <x:c r="H169" s="9" t="str">
        <x:f>IF(A169="","",IF(COUNTIFS('Definitions'!$A$8:$A$207,G169)=1,REPT("    ",IF(ISNUMBER(M169),M169,0))&amp;VLOOKUP(G169,'Definitions'!$A$8:$J$207,2,FALSE),"Unknown definition"))</x:f>
      </x:c>
      <x:c r="I169" s="11" t="str">
        <x:f>IF(A169="","",IF(B169="",1,IF(COUNTIFS('Recipes'!$A$8:$A$207,D169)=1,VLOOKUP(D169,'Recipes'!$A$8:$F$207,4,FALSE),"")))</x:f>
      </x:c>
      <x:c r="J169" s="11" t="str">
        <x:f>IF(A169="","",IF(ISBLANK(E169),I169,E169))</x:f>
      </x:c>
      <x:c r="K169" s="11" t="str">
        <x:f>IF(A169="","",IF(NOT(ISNUMBER(J169)),"",IF(B169="",J169,IF(COUNTIFS($A$8:$A$168,B169)=1,IF(ISNUMBER(VLOOKUP(B169,$A$8:$N$168,11,FALSE)),J169*VLOOKUP(B169,$A$8:$N$168,11,FALSE),""),""))))</x:f>
      </x:c>
      <x:c r="L169" s="9" t="str">
        <x:f>IF(A169="","",IF(B169="",F169,IF(COUNTIFS($A$8:$A$168,B169)=1,VLOOKUP(B169,$A$8:$N$168,12,FALSE),"")))</x:f>
      </x:c>
      <x:c r="M169" s="11" t="str">
        <x:f>IF(A169="","",IF(B169="",0,IF(COUNTIFS($A$8:$A$168,B169)=1,IF(ISNUMBER(VLOOKUP(B169,$A$8:$N$168,13,FALSE)),VLOOKUP(B169,$A$8:$N$168,13,FALSE)+1,""),"")))</x:f>
      </x:c>
      <x:c r="N169" s="9" t="str">
        <x:f>IF(A169="","",IF(COUNTIFS('Layout'!$A$8:$A$207,A169)&lt;&gt;1,"Duplicate role",IF(AND(B169&lt;&gt;"",COUNTIFS($A$8:$A$168,B169)&lt;&gt;1),"Parent must appear above child",IF(COUNTIFS('Definitions'!$A$8:$A$207,G169)&lt;&gt;1,"Unknown / duplicate definition",IF(AND(B169="",OR(C169="",D169&lt;&gt;"",AND(F169&lt;&gt;"Build",F169&lt;&gt;"Spares"))),"Set root definition and purpose",IF(AND(B169&lt;&gt;"",COUNTIFS('Recipes'!$A$8:$A$207,D169)&lt;&gt;1),"Choose a unique recipe line",IF(AND(B169&lt;&gt;"",OR(C169&lt;&gt;"",F169&lt;&gt;"")),"Clear child root-only inputs",IF(AND(B169&lt;&gt;"",COUNTIFS($A$8:$A$168,B169)=1,COUNTIFS('Recipes'!$A$8:$A$207,D169)=1),IF(VLOOKUP(D169,'Recipes'!$A$8:$F$207,2,FALSE)&lt;&gt;VLOOKUP(B169,$A$8:$N$168,7,FALSE),"Recipe parent mismatch",IF(COUNTIFS($B$8:$B$207,B169,$D$8:$D$207,D169)&lt;&gt;1,"Duplicate child recipe",IF(OR(NOT(ISNUMBER(J169)),J169&lt;0,MOD(J169,1)&lt;&gt;0),"Set nonnegative whole qty",IF(COUNTIFS('Recipes'!$B$8:$B$207,G169)&lt;&gt;COUNTIFS($B$8:$B$207,A169,$D$8:$D$207,"&lt;&gt;",$A$8:$A$207,"&lt;&gt;"),"Missing / extra recipe children","OK")))),IF(OR(NOT(ISNUMBER(J169)),J169&lt;0,MOD(J169,1)&lt;&gt;0),"Set nonnegative whole qty",IF(COUNTIFS('Recipes'!$B$8:$B$207,G169)&lt;&gt;COUNTIFS($B$8:$B$207,A169,$D$8:$D$207,"&lt;&gt;",$A$8:$A$207,"&lt;&gt;"),"Missing / extra recipe children","OK"))))))))))</x:f>
      </x:c>
    </x:row>
    <x:row r="170" ht="22" customHeight="1">
      <x:c r="A170" s="10"/>
      <x:c r="B170" s="10"/>
      <x:c r="C170" s="10"/>
      <x:c r="D170" s="10"/>
      <x:c r="E170" s="12"/>
      <x:c r="F170" s="10"/>
      <x:c r="G170" s="9" t="str">
        <x:f>IF(A170="","",IF(B170="",C170,IF(COUNTIFS('Recipes'!$A$8:$A$207,D170)=1,VLOOKUP(D170,'Recipes'!$A$8:$F$207,3,FALSE),"")))</x:f>
      </x:c>
      <x:c r="H170" s="9" t="str">
        <x:f>IF(A170="","",IF(COUNTIFS('Definitions'!$A$8:$A$207,G170)=1,REPT("    ",IF(ISNUMBER(M170),M170,0))&amp;VLOOKUP(G170,'Definitions'!$A$8:$J$207,2,FALSE),"Unknown definition"))</x:f>
      </x:c>
      <x:c r="I170" s="11" t="str">
        <x:f>IF(A170="","",IF(B170="",1,IF(COUNTIFS('Recipes'!$A$8:$A$207,D170)=1,VLOOKUP(D170,'Recipes'!$A$8:$F$207,4,FALSE),"")))</x:f>
      </x:c>
      <x:c r="J170" s="11" t="str">
        <x:f>IF(A170="","",IF(ISBLANK(E170),I170,E170))</x:f>
      </x:c>
      <x:c r="K170" s="11" t="str">
        <x:f>IF(A170="","",IF(NOT(ISNUMBER(J170)),"",IF(B170="",J170,IF(COUNTIFS($A$8:$A$169,B170)=1,IF(ISNUMBER(VLOOKUP(B170,$A$8:$N$169,11,FALSE)),J170*VLOOKUP(B170,$A$8:$N$169,11,FALSE),""),""))))</x:f>
      </x:c>
      <x:c r="L170" s="9" t="str">
        <x:f>IF(A170="","",IF(B170="",F170,IF(COUNTIFS($A$8:$A$169,B170)=1,VLOOKUP(B170,$A$8:$N$169,12,FALSE),"")))</x:f>
      </x:c>
      <x:c r="M170" s="11" t="str">
        <x:f>IF(A170="","",IF(B170="",0,IF(COUNTIFS($A$8:$A$169,B170)=1,IF(ISNUMBER(VLOOKUP(B170,$A$8:$N$169,13,FALSE)),VLOOKUP(B170,$A$8:$N$169,13,FALSE)+1,""),"")))</x:f>
      </x:c>
      <x:c r="N170" s="9" t="str">
        <x:f>IF(A170="","",IF(COUNTIFS('Layout'!$A$8:$A$207,A170)&lt;&gt;1,"Duplicate role",IF(AND(B170&lt;&gt;"",COUNTIFS($A$8:$A$169,B170)&lt;&gt;1),"Parent must appear above child",IF(COUNTIFS('Definitions'!$A$8:$A$207,G170)&lt;&gt;1,"Unknown / duplicate definition",IF(AND(B170="",OR(C170="",D170&lt;&gt;"",AND(F170&lt;&gt;"Build",F170&lt;&gt;"Spares"))),"Set root definition and purpose",IF(AND(B170&lt;&gt;"",COUNTIFS('Recipes'!$A$8:$A$207,D170)&lt;&gt;1),"Choose a unique recipe line",IF(AND(B170&lt;&gt;"",OR(C170&lt;&gt;"",F170&lt;&gt;"")),"Clear child root-only inputs",IF(AND(B170&lt;&gt;"",COUNTIFS($A$8:$A$169,B170)=1,COUNTIFS('Recipes'!$A$8:$A$207,D170)=1),IF(VLOOKUP(D170,'Recipes'!$A$8:$F$207,2,FALSE)&lt;&gt;VLOOKUP(B170,$A$8:$N$169,7,FALSE),"Recipe parent mismatch",IF(COUNTIFS($B$8:$B$207,B170,$D$8:$D$207,D170)&lt;&gt;1,"Duplicate child recipe",IF(OR(NOT(ISNUMBER(J170)),J170&lt;0,MOD(J170,1)&lt;&gt;0),"Set nonnegative whole qty",IF(COUNTIFS('Recipes'!$B$8:$B$207,G170)&lt;&gt;COUNTIFS($B$8:$B$207,A170,$D$8:$D$207,"&lt;&gt;",$A$8:$A$207,"&lt;&gt;"),"Missing / extra recipe children","OK")))),IF(OR(NOT(ISNUMBER(J170)),J170&lt;0,MOD(J170,1)&lt;&gt;0),"Set nonnegative whole qty",IF(COUNTIFS('Recipes'!$B$8:$B$207,G170)&lt;&gt;COUNTIFS($B$8:$B$207,A170,$D$8:$D$207,"&lt;&gt;",$A$8:$A$207,"&lt;&gt;"),"Missing / extra recipe children","OK"))))))))))</x:f>
      </x:c>
    </x:row>
    <x:row r="171" ht="22" customHeight="1">
      <x:c r="A171" s="10"/>
      <x:c r="B171" s="10"/>
      <x:c r="C171" s="10"/>
      <x:c r="D171" s="10"/>
      <x:c r="E171" s="12"/>
      <x:c r="F171" s="10"/>
      <x:c r="G171" s="9" t="str">
        <x:f>IF(A171="","",IF(B171="",C171,IF(COUNTIFS('Recipes'!$A$8:$A$207,D171)=1,VLOOKUP(D171,'Recipes'!$A$8:$F$207,3,FALSE),"")))</x:f>
      </x:c>
      <x:c r="H171" s="9" t="str">
        <x:f>IF(A171="","",IF(COUNTIFS('Definitions'!$A$8:$A$207,G171)=1,REPT("    ",IF(ISNUMBER(M171),M171,0))&amp;VLOOKUP(G171,'Definitions'!$A$8:$J$207,2,FALSE),"Unknown definition"))</x:f>
      </x:c>
      <x:c r="I171" s="11" t="str">
        <x:f>IF(A171="","",IF(B171="",1,IF(COUNTIFS('Recipes'!$A$8:$A$207,D171)=1,VLOOKUP(D171,'Recipes'!$A$8:$F$207,4,FALSE),"")))</x:f>
      </x:c>
      <x:c r="J171" s="11" t="str">
        <x:f>IF(A171="","",IF(ISBLANK(E171),I171,E171))</x:f>
      </x:c>
      <x:c r="K171" s="11" t="str">
        <x:f>IF(A171="","",IF(NOT(ISNUMBER(J171)),"",IF(B171="",J171,IF(COUNTIFS($A$8:$A$170,B171)=1,IF(ISNUMBER(VLOOKUP(B171,$A$8:$N$170,11,FALSE)),J171*VLOOKUP(B171,$A$8:$N$170,11,FALSE),""),""))))</x:f>
      </x:c>
      <x:c r="L171" s="9" t="str">
        <x:f>IF(A171="","",IF(B171="",F171,IF(COUNTIFS($A$8:$A$170,B171)=1,VLOOKUP(B171,$A$8:$N$170,12,FALSE),"")))</x:f>
      </x:c>
      <x:c r="M171" s="11" t="str">
        <x:f>IF(A171="","",IF(B171="",0,IF(COUNTIFS($A$8:$A$170,B171)=1,IF(ISNUMBER(VLOOKUP(B171,$A$8:$N$170,13,FALSE)),VLOOKUP(B171,$A$8:$N$170,13,FALSE)+1,""),"")))</x:f>
      </x:c>
      <x:c r="N171" s="9" t="str">
        <x:f>IF(A171="","",IF(COUNTIFS('Layout'!$A$8:$A$207,A171)&lt;&gt;1,"Duplicate role",IF(AND(B171&lt;&gt;"",COUNTIFS($A$8:$A$170,B171)&lt;&gt;1),"Parent must appear above child",IF(COUNTIFS('Definitions'!$A$8:$A$207,G171)&lt;&gt;1,"Unknown / duplicate definition",IF(AND(B171="",OR(C171="",D171&lt;&gt;"",AND(F171&lt;&gt;"Build",F171&lt;&gt;"Spares"))),"Set root definition and purpose",IF(AND(B171&lt;&gt;"",COUNTIFS('Recipes'!$A$8:$A$207,D171)&lt;&gt;1),"Choose a unique recipe line",IF(AND(B171&lt;&gt;"",OR(C171&lt;&gt;"",F171&lt;&gt;"")),"Clear child root-only inputs",IF(AND(B171&lt;&gt;"",COUNTIFS($A$8:$A$170,B171)=1,COUNTIFS('Recipes'!$A$8:$A$207,D171)=1),IF(VLOOKUP(D171,'Recipes'!$A$8:$F$207,2,FALSE)&lt;&gt;VLOOKUP(B171,$A$8:$N$170,7,FALSE),"Recipe parent mismatch",IF(COUNTIFS($B$8:$B$207,B171,$D$8:$D$207,D171)&lt;&gt;1,"Duplicate child recipe",IF(OR(NOT(ISNUMBER(J171)),J171&lt;0,MOD(J171,1)&lt;&gt;0),"Set nonnegative whole qty",IF(COUNTIFS('Recipes'!$B$8:$B$207,G171)&lt;&gt;COUNTIFS($B$8:$B$207,A171,$D$8:$D$207,"&lt;&gt;",$A$8:$A$207,"&lt;&gt;"),"Missing / extra recipe children","OK")))),IF(OR(NOT(ISNUMBER(J171)),J171&lt;0,MOD(J171,1)&lt;&gt;0),"Set nonnegative whole qty",IF(COUNTIFS('Recipes'!$B$8:$B$207,G171)&lt;&gt;COUNTIFS($B$8:$B$207,A171,$D$8:$D$207,"&lt;&gt;",$A$8:$A$207,"&lt;&gt;"),"Missing / extra recipe children","OK"))))))))))</x:f>
      </x:c>
    </x:row>
    <x:row r="172" ht="22" customHeight="1">
      <x:c r="A172" s="10"/>
      <x:c r="B172" s="10"/>
      <x:c r="C172" s="10"/>
      <x:c r="D172" s="10"/>
      <x:c r="E172" s="12"/>
      <x:c r="F172" s="10"/>
      <x:c r="G172" s="9" t="str">
        <x:f>IF(A172="","",IF(B172="",C172,IF(COUNTIFS('Recipes'!$A$8:$A$207,D172)=1,VLOOKUP(D172,'Recipes'!$A$8:$F$207,3,FALSE),"")))</x:f>
      </x:c>
      <x:c r="H172" s="9" t="str">
        <x:f>IF(A172="","",IF(COUNTIFS('Definitions'!$A$8:$A$207,G172)=1,REPT("    ",IF(ISNUMBER(M172),M172,0))&amp;VLOOKUP(G172,'Definitions'!$A$8:$J$207,2,FALSE),"Unknown definition"))</x:f>
      </x:c>
      <x:c r="I172" s="11" t="str">
        <x:f>IF(A172="","",IF(B172="",1,IF(COUNTIFS('Recipes'!$A$8:$A$207,D172)=1,VLOOKUP(D172,'Recipes'!$A$8:$F$207,4,FALSE),"")))</x:f>
      </x:c>
      <x:c r="J172" s="11" t="str">
        <x:f>IF(A172="","",IF(ISBLANK(E172),I172,E172))</x:f>
      </x:c>
      <x:c r="K172" s="11" t="str">
        <x:f>IF(A172="","",IF(NOT(ISNUMBER(J172)),"",IF(B172="",J172,IF(COUNTIFS($A$8:$A$171,B172)=1,IF(ISNUMBER(VLOOKUP(B172,$A$8:$N$171,11,FALSE)),J172*VLOOKUP(B172,$A$8:$N$171,11,FALSE),""),""))))</x:f>
      </x:c>
      <x:c r="L172" s="9" t="str">
        <x:f>IF(A172="","",IF(B172="",F172,IF(COUNTIFS($A$8:$A$171,B172)=1,VLOOKUP(B172,$A$8:$N$171,12,FALSE),"")))</x:f>
      </x:c>
      <x:c r="M172" s="11" t="str">
        <x:f>IF(A172="","",IF(B172="",0,IF(COUNTIFS($A$8:$A$171,B172)=1,IF(ISNUMBER(VLOOKUP(B172,$A$8:$N$171,13,FALSE)),VLOOKUP(B172,$A$8:$N$171,13,FALSE)+1,""),"")))</x:f>
      </x:c>
      <x:c r="N172" s="9" t="str">
        <x:f>IF(A172="","",IF(COUNTIFS('Layout'!$A$8:$A$207,A172)&lt;&gt;1,"Duplicate role",IF(AND(B172&lt;&gt;"",COUNTIFS($A$8:$A$171,B172)&lt;&gt;1),"Parent must appear above child",IF(COUNTIFS('Definitions'!$A$8:$A$207,G172)&lt;&gt;1,"Unknown / duplicate definition",IF(AND(B172="",OR(C172="",D172&lt;&gt;"",AND(F172&lt;&gt;"Build",F172&lt;&gt;"Spares"))),"Set root definition and purpose",IF(AND(B172&lt;&gt;"",COUNTIFS('Recipes'!$A$8:$A$207,D172)&lt;&gt;1),"Choose a unique recipe line",IF(AND(B172&lt;&gt;"",OR(C172&lt;&gt;"",F172&lt;&gt;"")),"Clear child root-only inputs",IF(AND(B172&lt;&gt;"",COUNTIFS($A$8:$A$171,B172)=1,COUNTIFS('Recipes'!$A$8:$A$207,D172)=1),IF(VLOOKUP(D172,'Recipes'!$A$8:$F$207,2,FALSE)&lt;&gt;VLOOKUP(B172,$A$8:$N$171,7,FALSE),"Recipe parent mismatch",IF(COUNTIFS($B$8:$B$207,B172,$D$8:$D$207,D172)&lt;&gt;1,"Duplicate child recipe",IF(OR(NOT(ISNUMBER(J172)),J172&lt;0,MOD(J172,1)&lt;&gt;0),"Set nonnegative whole qty",IF(COUNTIFS('Recipes'!$B$8:$B$207,G172)&lt;&gt;COUNTIFS($B$8:$B$207,A172,$D$8:$D$207,"&lt;&gt;",$A$8:$A$207,"&lt;&gt;"),"Missing / extra recipe children","OK")))),IF(OR(NOT(ISNUMBER(J172)),J172&lt;0,MOD(J172,1)&lt;&gt;0),"Set nonnegative whole qty",IF(COUNTIFS('Recipes'!$B$8:$B$207,G172)&lt;&gt;COUNTIFS($B$8:$B$207,A172,$D$8:$D$207,"&lt;&gt;",$A$8:$A$207,"&lt;&gt;"),"Missing / extra recipe children","OK"))))))))))</x:f>
      </x:c>
    </x:row>
    <x:row r="173" ht="22" customHeight="1">
      <x:c r="A173" s="10"/>
      <x:c r="B173" s="10"/>
      <x:c r="C173" s="10"/>
      <x:c r="D173" s="10"/>
      <x:c r="E173" s="12"/>
      <x:c r="F173" s="10"/>
      <x:c r="G173" s="9" t="str">
        <x:f>IF(A173="","",IF(B173="",C173,IF(COUNTIFS('Recipes'!$A$8:$A$207,D173)=1,VLOOKUP(D173,'Recipes'!$A$8:$F$207,3,FALSE),"")))</x:f>
      </x:c>
      <x:c r="H173" s="9" t="str">
        <x:f>IF(A173="","",IF(COUNTIFS('Definitions'!$A$8:$A$207,G173)=1,REPT("    ",IF(ISNUMBER(M173),M173,0))&amp;VLOOKUP(G173,'Definitions'!$A$8:$J$207,2,FALSE),"Unknown definition"))</x:f>
      </x:c>
      <x:c r="I173" s="11" t="str">
        <x:f>IF(A173="","",IF(B173="",1,IF(COUNTIFS('Recipes'!$A$8:$A$207,D173)=1,VLOOKUP(D173,'Recipes'!$A$8:$F$207,4,FALSE),"")))</x:f>
      </x:c>
      <x:c r="J173" s="11" t="str">
        <x:f>IF(A173="","",IF(ISBLANK(E173),I173,E173))</x:f>
      </x:c>
      <x:c r="K173" s="11" t="str">
        <x:f>IF(A173="","",IF(NOT(ISNUMBER(J173)),"",IF(B173="",J173,IF(COUNTIFS($A$8:$A$172,B173)=1,IF(ISNUMBER(VLOOKUP(B173,$A$8:$N$172,11,FALSE)),J173*VLOOKUP(B173,$A$8:$N$172,11,FALSE),""),""))))</x:f>
      </x:c>
      <x:c r="L173" s="9" t="str">
        <x:f>IF(A173="","",IF(B173="",F173,IF(COUNTIFS($A$8:$A$172,B173)=1,VLOOKUP(B173,$A$8:$N$172,12,FALSE),"")))</x:f>
      </x:c>
      <x:c r="M173" s="11" t="str">
        <x:f>IF(A173="","",IF(B173="",0,IF(COUNTIFS($A$8:$A$172,B173)=1,IF(ISNUMBER(VLOOKUP(B173,$A$8:$N$172,13,FALSE)),VLOOKUP(B173,$A$8:$N$172,13,FALSE)+1,""),"")))</x:f>
      </x:c>
      <x:c r="N173" s="9" t="str">
        <x:f>IF(A173="","",IF(COUNTIFS('Layout'!$A$8:$A$207,A173)&lt;&gt;1,"Duplicate role",IF(AND(B173&lt;&gt;"",COUNTIFS($A$8:$A$172,B173)&lt;&gt;1),"Parent must appear above child",IF(COUNTIFS('Definitions'!$A$8:$A$207,G173)&lt;&gt;1,"Unknown / duplicate definition",IF(AND(B173="",OR(C173="",D173&lt;&gt;"",AND(F173&lt;&gt;"Build",F173&lt;&gt;"Spares"))),"Set root definition and purpose",IF(AND(B173&lt;&gt;"",COUNTIFS('Recipes'!$A$8:$A$207,D173)&lt;&gt;1),"Choose a unique recipe line",IF(AND(B173&lt;&gt;"",OR(C173&lt;&gt;"",F173&lt;&gt;"")),"Clear child root-only inputs",IF(AND(B173&lt;&gt;"",COUNTIFS($A$8:$A$172,B173)=1,COUNTIFS('Recipes'!$A$8:$A$207,D173)=1),IF(VLOOKUP(D173,'Recipes'!$A$8:$F$207,2,FALSE)&lt;&gt;VLOOKUP(B173,$A$8:$N$172,7,FALSE),"Recipe parent mismatch",IF(COUNTIFS($B$8:$B$207,B173,$D$8:$D$207,D173)&lt;&gt;1,"Duplicate child recipe",IF(OR(NOT(ISNUMBER(J173)),J173&lt;0,MOD(J173,1)&lt;&gt;0),"Set nonnegative whole qty",IF(COUNTIFS('Recipes'!$B$8:$B$207,G173)&lt;&gt;COUNTIFS($B$8:$B$207,A173,$D$8:$D$207,"&lt;&gt;",$A$8:$A$207,"&lt;&gt;"),"Missing / extra recipe children","OK")))),IF(OR(NOT(ISNUMBER(J173)),J173&lt;0,MOD(J173,1)&lt;&gt;0),"Set nonnegative whole qty",IF(COUNTIFS('Recipes'!$B$8:$B$207,G173)&lt;&gt;COUNTIFS($B$8:$B$207,A173,$D$8:$D$207,"&lt;&gt;",$A$8:$A$207,"&lt;&gt;"),"Missing / extra recipe children","OK"))))))))))</x:f>
      </x:c>
    </x:row>
    <x:row r="174" ht="22" customHeight="1">
      <x:c r="A174" s="10"/>
      <x:c r="B174" s="10"/>
      <x:c r="C174" s="10"/>
      <x:c r="D174" s="10"/>
      <x:c r="E174" s="12"/>
      <x:c r="F174" s="10"/>
      <x:c r="G174" s="9" t="str">
        <x:f>IF(A174="","",IF(B174="",C174,IF(COUNTIFS('Recipes'!$A$8:$A$207,D174)=1,VLOOKUP(D174,'Recipes'!$A$8:$F$207,3,FALSE),"")))</x:f>
      </x:c>
      <x:c r="H174" s="9" t="str">
        <x:f>IF(A174="","",IF(COUNTIFS('Definitions'!$A$8:$A$207,G174)=1,REPT("    ",IF(ISNUMBER(M174),M174,0))&amp;VLOOKUP(G174,'Definitions'!$A$8:$J$207,2,FALSE),"Unknown definition"))</x:f>
      </x:c>
      <x:c r="I174" s="11" t="str">
        <x:f>IF(A174="","",IF(B174="",1,IF(COUNTIFS('Recipes'!$A$8:$A$207,D174)=1,VLOOKUP(D174,'Recipes'!$A$8:$F$207,4,FALSE),"")))</x:f>
      </x:c>
      <x:c r="J174" s="11" t="str">
        <x:f>IF(A174="","",IF(ISBLANK(E174),I174,E174))</x:f>
      </x:c>
      <x:c r="K174" s="11" t="str">
        <x:f>IF(A174="","",IF(NOT(ISNUMBER(J174)),"",IF(B174="",J174,IF(COUNTIFS($A$8:$A$173,B174)=1,IF(ISNUMBER(VLOOKUP(B174,$A$8:$N$173,11,FALSE)),J174*VLOOKUP(B174,$A$8:$N$173,11,FALSE),""),""))))</x:f>
      </x:c>
      <x:c r="L174" s="9" t="str">
        <x:f>IF(A174="","",IF(B174="",F174,IF(COUNTIFS($A$8:$A$173,B174)=1,VLOOKUP(B174,$A$8:$N$173,12,FALSE),"")))</x:f>
      </x:c>
      <x:c r="M174" s="11" t="str">
        <x:f>IF(A174="","",IF(B174="",0,IF(COUNTIFS($A$8:$A$173,B174)=1,IF(ISNUMBER(VLOOKUP(B174,$A$8:$N$173,13,FALSE)),VLOOKUP(B174,$A$8:$N$173,13,FALSE)+1,""),"")))</x:f>
      </x:c>
      <x:c r="N174" s="9" t="str">
        <x:f>IF(A174="","",IF(COUNTIFS('Layout'!$A$8:$A$207,A174)&lt;&gt;1,"Duplicate role",IF(AND(B174&lt;&gt;"",COUNTIFS($A$8:$A$173,B174)&lt;&gt;1),"Parent must appear above child",IF(COUNTIFS('Definitions'!$A$8:$A$207,G174)&lt;&gt;1,"Unknown / duplicate definition",IF(AND(B174="",OR(C174="",D174&lt;&gt;"",AND(F174&lt;&gt;"Build",F174&lt;&gt;"Spares"))),"Set root definition and purpose",IF(AND(B174&lt;&gt;"",COUNTIFS('Recipes'!$A$8:$A$207,D174)&lt;&gt;1),"Choose a unique recipe line",IF(AND(B174&lt;&gt;"",OR(C174&lt;&gt;"",F174&lt;&gt;"")),"Clear child root-only inputs",IF(AND(B174&lt;&gt;"",COUNTIFS($A$8:$A$173,B174)=1,COUNTIFS('Recipes'!$A$8:$A$207,D174)=1),IF(VLOOKUP(D174,'Recipes'!$A$8:$F$207,2,FALSE)&lt;&gt;VLOOKUP(B174,$A$8:$N$173,7,FALSE),"Recipe parent mismatch",IF(COUNTIFS($B$8:$B$207,B174,$D$8:$D$207,D174)&lt;&gt;1,"Duplicate child recipe",IF(OR(NOT(ISNUMBER(J174)),J174&lt;0,MOD(J174,1)&lt;&gt;0),"Set nonnegative whole qty",IF(COUNTIFS('Recipes'!$B$8:$B$207,G174)&lt;&gt;COUNTIFS($B$8:$B$207,A174,$D$8:$D$207,"&lt;&gt;",$A$8:$A$207,"&lt;&gt;"),"Missing / extra recipe children","OK")))),IF(OR(NOT(ISNUMBER(J174)),J174&lt;0,MOD(J174,1)&lt;&gt;0),"Set nonnegative whole qty",IF(COUNTIFS('Recipes'!$B$8:$B$207,G174)&lt;&gt;COUNTIFS($B$8:$B$207,A174,$D$8:$D$207,"&lt;&gt;",$A$8:$A$207,"&lt;&gt;"),"Missing / extra recipe children","OK"))))))))))</x:f>
      </x:c>
    </x:row>
    <x:row r="175" ht="22" customHeight="1">
      <x:c r="A175" s="10"/>
      <x:c r="B175" s="10"/>
      <x:c r="C175" s="10"/>
      <x:c r="D175" s="10"/>
      <x:c r="E175" s="12"/>
      <x:c r="F175" s="10"/>
      <x:c r="G175" s="9" t="str">
        <x:f>IF(A175="","",IF(B175="",C175,IF(COUNTIFS('Recipes'!$A$8:$A$207,D175)=1,VLOOKUP(D175,'Recipes'!$A$8:$F$207,3,FALSE),"")))</x:f>
      </x:c>
      <x:c r="H175" s="9" t="str">
        <x:f>IF(A175="","",IF(COUNTIFS('Definitions'!$A$8:$A$207,G175)=1,REPT("    ",IF(ISNUMBER(M175),M175,0))&amp;VLOOKUP(G175,'Definitions'!$A$8:$J$207,2,FALSE),"Unknown definition"))</x:f>
      </x:c>
      <x:c r="I175" s="11" t="str">
        <x:f>IF(A175="","",IF(B175="",1,IF(COUNTIFS('Recipes'!$A$8:$A$207,D175)=1,VLOOKUP(D175,'Recipes'!$A$8:$F$207,4,FALSE),"")))</x:f>
      </x:c>
      <x:c r="J175" s="11" t="str">
        <x:f>IF(A175="","",IF(ISBLANK(E175),I175,E175))</x:f>
      </x:c>
      <x:c r="K175" s="11" t="str">
        <x:f>IF(A175="","",IF(NOT(ISNUMBER(J175)),"",IF(B175="",J175,IF(COUNTIFS($A$8:$A$174,B175)=1,IF(ISNUMBER(VLOOKUP(B175,$A$8:$N$174,11,FALSE)),J175*VLOOKUP(B175,$A$8:$N$174,11,FALSE),""),""))))</x:f>
      </x:c>
      <x:c r="L175" s="9" t="str">
        <x:f>IF(A175="","",IF(B175="",F175,IF(COUNTIFS($A$8:$A$174,B175)=1,VLOOKUP(B175,$A$8:$N$174,12,FALSE),"")))</x:f>
      </x:c>
      <x:c r="M175" s="11" t="str">
        <x:f>IF(A175="","",IF(B175="",0,IF(COUNTIFS($A$8:$A$174,B175)=1,IF(ISNUMBER(VLOOKUP(B175,$A$8:$N$174,13,FALSE)),VLOOKUP(B175,$A$8:$N$174,13,FALSE)+1,""),"")))</x:f>
      </x:c>
      <x:c r="N175" s="9" t="str">
        <x:f>IF(A175="","",IF(COUNTIFS('Layout'!$A$8:$A$207,A175)&lt;&gt;1,"Duplicate role",IF(AND(B175&lt;&gt;"",COUNTIFS($A$8:$A$174,B175)&lt;&gt;1),"Parent must appear above child",IF(COUNTIFS('Definitions'!$A$8:$A$207,G175)&lt;&gt;1,"Unknown / duplicate definition",IF(AND(B175="",OR(C175="",D175&lt;&gt;"",AND(F175&lt;&gt;"Build",F175&lt;&gt;"Spares"))),"Set root definition and purpose",IF(AND(B175&lt;&gt;"",COUNTIFS('Recipes'!$A$8:$A$207,D175)&lt;&gt;1),"Choose a unique recipe line",IF(AND(B175&lt;&gt;"",OR(C175&lt;&gt;"",F175&lt;&gt;"")),"Clear child root-only inputs",IF(AND(B175&lt;&gt;"",COUNTIFS($A$8:$A$174,B175)=1,COUNTIFS('Recipes'!$A$8:$A$207,D175)=1),IF(VLOOKUP(D175,'Recipes'!$A$8:$F$207,2,FALSE)&lt;&gt;VLOOKUP(B175,$A$8:$N$174,7,FALSE),"Recipe parent mismatch",IF(COUNTIFS($B$8:$B$207,B175,$D$8:$D$207,D175)&lt;&gt;1,"Duplicate child recipe",IF(OR(NOT(ISNUMBER(J175)),J175&lt;0,MOD(J175,1)&lt;&gt;0),"Set nonnegative whole qty",IF(COUNTIFS('Recipes'!$B$8:$B$207,G175)&lt;&gt;COUNTIFS($B$8:$B$207,A175,$D$8:$D$207,"&lt;&gt;",$A$8:$A$207,"&lt;&gt;"),"Missing / extra recipe children","OK")))),IF(OR(NOT(ISNUMBER(J175)),J175&lt;0,MOD(J175,1)&lt;&gt;0),"Set nonnegative whole qty",IF(COUNTIFS('Recipes'!$B$8:$B$207,G175)&lt;&gt;COUNTIFS($B$8:$B$207,A175,$D$8:$D$207,"&lt;&gt;",$A$8:$A$207,"&lt;&gt;"),"Missing / extra recipe children","OK"))))))))))</x:f>
      </x:c>
    </x:row>
    <x:row r="176" ht="22" customHeight="1">
      <x:c r="A176" s="10"/>
      <x:c r="B176" s="10"/>
      <x:c r="C176" s="10"/>
      <x:c r="D176" s="10"/>
      <x:c r="E176" s="12"/>
      <x:c r="F176" s="10"/>
      <x:c r="G176" s="9" t="str">
        <x:f>IF(A176="","",IF(B176="",C176,IF(COUNTIFS('Recipes'!$A$8:$A$207,D176)=1,VLOOKUP(D176,'Recipes'!$A$8:$F$207,3,FALSE),"")))</x:f>
      </x:c>
      <x:c r="H176" s="9" t="str">
        <x:f>IF(A176="","",IF(COUNTIFS('Definitions'!$A$8:$A$207,G176)=1,REPT("    ",IF(ISNUMBER(M176),M176,0))&amp;VLOOKUP(G176,'Definitions'!$A$8:$J$207,2,FALSE),"Unknown definition"))</x:f>
      </x:c>
      <x:c r="I176" s="11" t="str">
        <x:f>IF(A176="","",IF(B176="",1,IF(COUNTIFS('Recipes'!$A$8:$A$207,D176)=1,VLOOKUP(D176,'Recipes'!$A$8:$F$207,4,FALSE),"")))</x:f>
      </x:c>
      <x:c r="J176" s="11" t="str">
        <x:f>IF(A176="","",IF(ISBLANK(E176),I176,E176))</x:f>
      </x:c>
      <x:c r="K176" s="11" t="str">
        <x:f>IF(A176="","",IF(NOT(ISNUMBER(J176)),"",IF(B176="",J176,IF(COUNTIFS($A$8:$A$175,B176)=1,IF(ISNUMBER(VLOOKUP(B176,$A$8:$N$175,11,FALSE)),J176*VLOOKUP(B176,$A$8:$N$175,11,FALSE),""),""))))</x:f>
      </x:c>
      <x:c r="L176" s="9" t="str">
        <x:f>IF(A176="","",IF(B176="",F176,IF(COUNTIFS($A$8:$A$175,B176)=1,VLOOKUP(B176,$A$8:$N$175,12,FALSE),"")))</x:f>
      </x:c>
      <x:c r="M176" s="11" t="str">
        <x:f>IF(A176="","",IF(B176="",0,IF(COUNTIFS($A$8:$A$175,B176)=1,IF(ISNUMBER(VLOOKUP(B176,$A$8:$N$175,13,FALSE)),VLOOKUP(B176,$A$8:$N$175,13,FALSE)+1,""),"")))</x:f>
      </x:c>
      <x:c r="N176" s="9" t="str">
        <x:f>IF(A176="","",IF(COUNTIFS('Layout'!$A$8:$A$207,A176)&lt;&gt;1,"Duplicate role",IF(AND(B176&lt;&gt;"",COUNTIFS($A$8:$A$175,B176)&lt;&gt;1),"Parent must appear above child",IF(COUNTIFS('Definitions'!$A$8:$A$207,G176)&lt;&gt;1,"Unknown / duplicate definition",IF(AND(B176="",OR(C176="",D176&lt;&gt;"",AND(F176&lt;&gt;"Build",F176&lt;&gt;"Spares"))),"Set root definition and purpose",IF(AND(B176&lt;&gt;"",COUNTIFS('Recipes'!$A$8:$A$207,D176)&lt;&gt;1),"Choose a unique recipe line",IF(AND(B176&lt;&gt;"",OR(C176&lt;&gt;"",F176&lt;&gt;"")),"Clear child root-only inputs",IF(AND(B176&lt;&gt;"",COUNTIFS($A$8:$A$175,B176)=1,COUNTIFS('Recipes'!$A$8:$A$207,D176)=1),IF(VLOOKUP(D176,'Recipes'!$A$8:$F$207,2,FALSE)&lt;&gt;VLOOKUP(B176,$A$8:$N$175,7,FALSE),"Recipe parent mismatch",IF(COUNTIFS($B$8:$B$207,B176,$D$8:$D$207,D176)&lt;&gt;1,"Duplicate child recipe",IF(OR(NOT(ISNUMBER(J176)),J176&lt;0,MOD(J176,1)&lt;&gt;0),"Set nonnegative whole qty",IF(COUNTIFS('Recipes'!$B$8:$B$207,G176)&lt;&gt;COUNTIFS($B$8:$B$207,A176,$D$8:$D$207,"&lt;&gt;",$A$8:$A$207,"&lt;&gt;"),"Missing / extra recipe children","OK")))),IF(OR(NOT(ISNUMBER(J176)),J176&lt;0,MOD(J176,1)&lt;&gt;0),"Set nonnegative whole qty",IF(COUNTIFS('Recipes'!$B$8:$B$207,G176)&lt;&gt;COUNTIFS($B$8:$B$207,A176,$D$8:$D$207,"&lt;&gt;",$A$8:$A$207,"&lt;&gt;"),"Missing / extra recipe children","OK"))))))))))</x:f>
      </x:c>
    </x:row>
    <x:row r="177" ht="22" customHeight="1">
      <x:c r="A177" s="10"/>
      <x:c r="B177" s="10"/>
      <x:c r="C177" s="10"/>
      <x:c r="D177" s="10"/>
      <x:c r="E177" s="12"/>
      <x:c r="F177" s="10"/>
      <x:c r="G177" s="9" t="str">
        <x:f>IF(A177="","",IF(B177="",C177,IF(COUNTIFS('Recipes'!$A$8:$A$207,D177)=1,VLOOKUP(D177,'Recipes'!$A$8:$F$207,3,FALSE),"")))</x:f>
      </x:c>
      <x:c r="H177" s="9" t="str">
        <x:f>IF(A177="","",IF(COUNTIFS('Definitions'!$A$8:$A$207,G177)=1,REPT("    ",IF(ISNUMBER(M177),M177,0))&amp;VLOOKUP(G177,'Definitions'!$A$8:$J$207,2,FALSE),"Unknown definition"))</x:f>
      </x:c>
      <x:c r="I177" s="11" t="str">
        <x:f>IF(A177="","",IF(B177="",1,IF(COUNTIFS('Recipes'!$A$8:$A$207,D177)=1,VLOOKUP(D177,'Recipes'!$A$8:$F$207,4,FALSE),"")))</x:f>
      </x:c>
      <x:c r="J177" s="11" t="str">
        <x:f>IF(A177="","",IF(ISBLANK(E177),I177,E177))</x:f>
      </x:c>
      <x:c r="K177" s="11" t="str">
        <x:f>IF(A177="","",IF(NOT(ISNUMBER(J177)),"",IF(B177="",J177,IF(COUNTIFS($A$8:$A$176,B177)=1,IF(ISNUMBER(VLOOKUP(B177,$A$8:$N$176,11,FALSE)),J177*VLOOKUP(B177,$A$8:$N$176,11,FALSE),""),""))))</x:f>
      </x:c>
      <x:c r="L177" s="9" t="str">
        <x:f>IF(A177="","",IF(B177="",F177,IF(COUNTIFS($A$8:$A$176,B177)=1,VLOOKUP(B177,$A$8:$N$176,12,FALSE),"")))</x:f>
      </x:c>
      <x:c r="M177" s="11" t="str">
        <x:f>IF(A177="","",IF(B177="",0,IF(COUNTIFS($A$8:$A$176,B177)=1,IF(ISNUMBER(VLOOKUP(B177,$A$8:$N$176,13,FALSE)),VLOOKUP(B177,$A$8:$N$176,13,FALSE)+1,""),"")))</x:f>
      </x:c>
      <x:c r="N177" s="9" t="str">
        <x:f>IF(A177="","",IF(COUNTIFS('Layout'!$A$8:$A$207,A177)&lt;&gt;1,"Duplicate role",IF(AND(B177&lt;&gt;"",COUNTIFS($A$8:$A$176,B177)&lt;&gt;1),"Parent must appear above child",IF(COUNTIFS('Definitions'!$A$8:$A$207,G177)&lt;&gt;1,"Unknown / duplicate definition",IF(AND(B177="",OR(C177="",D177&lt;&gt;"",AND(F177&lt;&gt;"Build",F177&lt;&gt;"Spares"))),"Set root definition and purpose",IF(AND(B177&lt;&gt;"",COUNTIFS('Recipes'!$A$8:$A$207,D177)&lt;&gt;1),"Choose a unique recipe line",IF(AND(B177&lt;&gt;"",OR(C177&lt;&gt;"",F177&lt;&gt;"")),"Clear child root-only inputs",IF(AND(B177&lt;&gt;"",COUNTIFS($A$8:$A$176,B177)=1,COUNTIFS('Recipes'!$A$8:$A$207,D177)=1),IF(VLOOKUP(D177,'Recipes'!$A$8:$F$207,2,FALSE)&lt;&gt;VLOOKUP(B177,$A$8:$N$176,7,FALSE),"Recipe parent mismatch",IF(COUNTIFS($B$8:$B$207,B177,$D$8:$D$207,D177)&lt;&gt;1,"Duplicate child recipe",IF(OR(NOT(ISNUMBER(J177)),J177&lt;0,MOD(J177,1)&lt;&gt;0),"Set nonnegative whole qty",IF(COUNTIFS('Recipes'!$B$8:$B$207,G177)&lt;&gt;COUNTIFS($B$8:$B$207,A177,$D$8:$D$207,"&lt;&gt;",$A$8:$A$207,"&lt;&gt;"),"Missing / extra recipe children","OK")))),IF(OR(NOT(ISNUMBER(J177)),J177&lt;0,MOD(J177,1)&lt;&gt;0),"Set nonnegative whole qty",IF(COUNTIFS('Recipes'!$B$8:$B$207,G177)&lt;&gt;COUNTIFS($B$8:$B$207,A177,$D$8:$D$207,"&lt;&gt;",$A$8:$A$207,"&lt;&gt;"),"Missing / extra recipe children","OK"))))))))))</x:f>
      </x:c>
    </x:row>
    <x:row r="178" ht="22" customHeight="1">
      <x:c r="A178" s="10"/>
      <x:c r="B178" s="10"/>
      <x:c r="C178" s="10"/>
      <x:c r="D178" s="10"/>
      <x:c r="E178" s="12"/>
      <x:c r="F178" s="10"/>
      <x:c r="G178" s="9" t="str">
        <x:f>IF(A178="","",IF(B178="",C178,IF(COUNTIFS('Recipes'!$A$8:$A$207,D178)=1,VLOOKUP(D178,'Recipes'!$A$8:$F$207,3,FALSE),"")))</x:f>
      </x:c>
      <x:c r="H178" s="9" t="str">
        <x:f>IF(A178="","",IF(COUNTIFS('Definitions'!$A$8:$A$207,G178)=1,REPT("    ",IF(ISNUMBER(M178),M178,0))&amp;VLOOKUP(G178,'Definitions'!$A$8:$J$207,2,FALSE),"Unknown definition"))</x:f>
      </x:c>
      <x:c r="I178" s="11" t="str">
        <x:f>IF(A178="","",IF(B178="",1,IF(COUNTIFS('Recipes'!$A$8:$A$207,D178)=1,VLOOKUP(D178,'Recipes'!$A$8:$F$207,4,FALSE),"")))</x:f>
      </x:c>
      <x:c r="J178" s="11" t="str">
        <x:f>IF(A178="","",IF(ISBLANK(E178),I178,E178))</x:f>
      </x:c>
      <x:c r="K178" s="11" t="str">
        <x:f>IF(A178="","",IF(NOT(ISNUMBER(J178)),"",IF(B178="",J178,IF(COUNTIFS($A$8:$A$177,B178)=1,IF(ISNUMBER(VLOOKUP(B178,$A$8:$N$177,11,FALSE)),J178*VLOOKUP(B178,$A$8:$N$177,11,FALSE),""),""))))</x:f>
      </x:c>
      <x:c r="L178" s="9" t="str">
        <x:f>IF(A178="","",IF(B178="",F178,IF(COUNTIFS($A$8:$A$177,B178)=1,VLOOKUP(B178,$A$8:$N$177,12,FALSE),"")))</x:f>
      </x:c>
      <x:c r="M178" s="11" t="str">
        <x:f>IF(A178="","",IF(B178="",0,IF(COUNTIFS($A$8:$A$177,B178)=1,IF(ISNUMBER(VLOOKUP(B178,$A$8:$N$177,13,FALSE)),VLOOKUP(B178,$A$8:$N$177,13,FALSE)+1,""),"")))</x:f>
      </x:c>
      <x:c r="N178" s="9" t="str">
        <x:f>IF(A178="","",IF(COUNTIFS('Layout'!$A$8:$A$207,A178)&lt;&gt;1,"Duplicate role",IF(AND(B178&lt;&gt;"",COUNTIFS($A$8:$A$177,B178)&lt;&gt;1),"Parent must appear above child",IF(COUNTIFS('Definitions'!$A$8:$A$207,G178)&lt;&gt;1,"Unknown / duplicate definition",IF(AND(B178="",OR(C178="",D178&lt;&gt;"",AND(F178&lt;&gt;"Build",F178&lt;&gt;"Spares"))),"Set root definition and purpose",IF(AND(B178&lt;&gt;"",COUNTIFS('Recipes'!$A$8:$A$207,D178)&lt;&gt;1),"Choose a unique recipe line",IF(AND(B178&lt;&gt;"",OR(C178&lt;&gt;"",F178&lt;&gt;"")),"Clear child root-only inputs",IF(AND(B178&lt;&gt;"",COUNTIFS($A$8:$A$177,B178)=1,COUNTIFS('Recipes'!$A$8:$A$207,D178)=1),IF(VLOOKUP(D178,'Recipes'!$A$8:$F$207,2,FALSE)&lt;&gt;VLOOKUP(B178,$A$8:$N$177,7,FALSE),"Recipe parent mismatch",IF(COUNTIFS($B$8:$B$207,B178,$D$8:$D$207,D178)&lt;&gt;1,"Duplicate child recipe",IF(OR(NOT(ISNUMBER(J178)),J178&lt;0,MOD(J178,1)&lt;&gt;0),"Set nonnegative whole qty",IF(COUNTIFS('Recipes'!$B$8:$B$207,G178)&lt;&gt;COUNTIFS($B$8:$B$207,A178,$D$8:$D$207,"&lt;&gt;",$A$8:$A$207,"&lt;&gt;"),"Missing / extra recipe children","OK")))),IF(OR(NOT(ISNUMBER(J178)),J178&lt;0,MOD(J178,1)&lt;&gt;0),"Set nonnegative whole qty",IF(COUNTIFS('Recipes'!$B$8:$B$207,G178)&lt;&gt;COUNTIFS($B$8:$B$207,A178,$D$8:$D$207,"&lt;&gt;",$A$8:$A$207,"&lt;&gt;"),"Missing / extra recipe children","OK"))))))))))</x:f>
      </x:c>
    </x:row>
    <x:row r="179" ht="22" customHeight="1">
      <x:c r="A179" s="10"/>
      <x:c r="B179" s="10"/>
      <x:c r="C179" s="10"/>
      <x:c r="D179" s="10"/>
      <x:c r="E179" s="12"/>
      <x:c r="F179" s="10"/>
      <x:c r="G179" s="9" t="str">
        <x:f>IF(A179="","",IF(B179="",C179,IF(COUNTIFS('Recipes'!$A$8:$A$207,D179)=1,VLOOKUP(D179,'Recipes'!$A$8:$F$207,3,FALSE),"")))</x:f>
      </x:c>
      <x:c r="H179" s="9" t="str">
        <x:f>IF(A179="","",IF(COUNTIFS('Definitions'!$A$8:$A$207,G179)=1,REPT("    ",IF(ISNUMBER(M179),M179,0))&amp;VLOOKUP(G179,'Definitions'!$A$8:$J$207,2,FALSE),"Unknown definition"))</x:f>
      </x:c>
      <x:c r="I179" s="11" t="str">
        <x:f>IF(A179="","",IF(B179="",1,IF(COUNTIFS('Recipes'!$A$8:$A$207,D179)=1,VLOOKUP(D179,'Recipes'!$A$8:$F$207,4,FALSE),"")))</x:f>
      </x:c>
      <x:c r="J179" s="11" t="str">
        <x:f>IF(A179="","",IF(ISBLANK(E179),I179,E179))</x:f>
      </x:c>
      <x:c r="K179" s="11" t="str">
        <x:f>IF(A179="","",IF(NOT(ISNUMBER(J179)),"",IF(B179="",J179,IF(COUNTIFS($A$8:$A$178,B179)=1,IF(ISNUMBER(VLOOKUP(B179,$A$8:$N$178,11,FALSE)),J179*VLOOKUP(B179,$A$8:$N$178,11,FALSE),""),""))))</x:f>
      </x:c>
      <x:c r="L179" s="9" t="str">
        <x:f>IF(A179="","",IF(B179="",F179,IF(COUNTIFS($A$8:$A$178,B179)=1,VLOOKUP(B179,$A$8:$N$178,12,FALSE),"")))</x:f>
      </x:c>
      <x:c r="M179" s="11" t="str">
        <x:f>IF(A179="","",IF(B179="",0,IF(COUNTIFS($A$8:$A$178,B179)=1,IF(ISNUMBER(VLOOKUP(B179,$A$8:$N$178,13,FALSE)),VLOOKUP(B179,$A$8:$N$178,13,FALSE)+1,""),"")))</x:f>
      </x:c>
      <x:c r="N179" s="9" t="str">
        <x:f>IF(A179="","",IF(COUNTIFS('Layout'!$A$8:$A$207,A179)&lt;&gt;1,"Duplicate role",IF(AND(B179&lt;&gt;"",COUNTIFS($A$8:$A$178,B179)&lt;&gt;1),"Parent must appear above child",IF(COUNTIFS('Definitions'!$A$8:$A$207,G179)&lt;&gt;1,"Unknown / duplicate definition",IF(AND(B179="",OR(C179="",D179&lt;&gt;"",AND(F179&lt;&gt;"Build",F179&lt;&gt;"Spares"))),"Set root definition and purpose",IF(AND(B179&lt;&gt;"",COUNTIFS('Recipes'!$A$8:$A$207,D179)&lt;&gt;1),"Choose a unique recipe line",IF(AND(B179&lt;&gt;"",OR(C179&lt;&gt;"",F179&lt;&gt;"")),"Clear child root-only inputs",IF(AND(B179&lt;&gt;"",COUNTIFS($A$8:$A$178,B179)=1,COUNTIFS('Recipes'!$A$8:$A$207,D179)=1),IF(VLOOKUP(D179,'Recipes'!$A$8:$F$207,2,FALSE)&lt;&gt;VLOOKUP(B179,$A$8:$N$178,7,FALSE),"Recipe parent mismatch",IF(COUNTIFS($B$8:$B$207,B179,$D$8:$D$207,D179)&lt;&gt;1,"Duplicate child recipe",IF(OR(NOT(ISNUMBER(J179)),J179&lt;0,MOD(J179,1)&lt;&gt;0),"Set nonnegative whole qty",IF(COUNTIFS('Recipes'!$B$8:$B$207,G179)&lt;&gt;COUNTIFS($B$8:$B$207,A179,$D$8:$D$207,"&lt;&gt;",$A$8:$A$207,"&lt;&gt;"),"Missing / extra recipe children","OK")))),IF(OR(NOT(ISNUMBER(J179)),J179&lt;0,MOD(J179,1)&lt;&gt;0),"Set nonnegative whole qty",IF(COUNTIFS('Recipes'!$B$8:$B$207,G179)&lt;&gt;COUNTIFS($B$8:$B$207,A179,$D$8:$D$207,"&lt;&gt;",$A$8:$A$207,"&lt;&gt;"),"Missing / extra recipe children","OK"))))))))))</x:f>
      </x:c>
    </x:row>
    <x:row r="180" ht="22" customHeight="1">
      <x:c r="A180" s="10"/>
      <x:c r="B180" s="10"/>
      <x:c r="C180" s="10"/>
      <x:c r="D180" s="10"/>
      <x:c r="E180" s="12"/>
      <x:c r="F180" s="10"/>
      <x:c r="G180" s="9" t="str">
        <x:f>IF(A180="","",IF(B180="",C180,IF(COUNTIFS('Recipes'!$A$8:$A$207,D180)=1,VLOOKUP(D180,'Recipes'!$A$8:$F$207,3,FALSE),"")))</x:f>
      </x:c>
      <x:c r="H180" s="9" t="str">
        <x:f>IF(A180="","",IF(COUNTIFS('Definitions'!$A$8:$A$207,G180)=1,REPT("    ",IF(ISNUMBER(M180),M180,0))&amp;VLOOKUP(G180,'Definitions'!$A$8:$J$207,2,FALSE),"Unknown definition"))</x:f>
      </x:c>
      <x:c r="I180" s="11" t="str">
        <x:f>IF(A180="","",IF(B180="",1,IF(COUNTIFS('Recipes'!$A$8:$A$207,D180)=1,VLOOKUP(D180,'Recipes'!$A$8:$F$207,4,FALSE),"")))</x:f>
      </x:c>
      <x:c r="J180" s="11" t="str">
        <x:f>IF(A180="","",IF(ISBLANK(E180),I180,E180))</x:f>
      </x:c>
      <x:c r="K180" s="11" t="str">
        <x:f>IF(A180="","",IF(NOT(ISNUMBER(J180)),"",IF(B180="",J180,IF(COUNTIFS($A$8:$A$179,B180)=1,IF(ISNUMBER(VLOOKUP(B180,$A$8:$N$179,11,FALSE)),J180*VLOOKUP(B180,$A$8:$N$179,11,FALSE),""),""))))</x:f>
      </x:c>
      <x:c r="L180" s="9" t="str">
        <x:f>IF(A180="","",IF(B180="",F180,IF(COUNTIFS($A$8:$A$179,B180)=1,VLOOKUP(B180,$A$8:$N$179,12,FALSE),"")))</x:f>
      </x:c>
      <x:c r="M180" s="11" t="str">
        <x:f>IF(A180="","",IF(B180="",0,IF(COUNTIFS($A$8:$A$179,B180)=1,IF(ISNUMBER(VLOOKUP(B180,$A$8:$N$179,13,FALSE)),VLOOKUP(B180,$A$8:$N$179,13,FALSE)+1,""),"")))</x:f>
      </x:c>
      <x:c r="N180" s="9" t="str">
        <x:f>IF(A180="","",IF(COUNTIFS('Layout'!$A$8:$A$207,A180)&lt;&gt;1,"Duplicate role",IF(AND(B180&lt;&gt;"",COUNTIFS($A$8:$A$179,B180)&lt;&gt;1),"Parent must appear above child",IF(COUNTIFS('Definitions'!$A$8:$A$207,G180)&lt;&gt;1,"Unknown / duplicate definition",IF(AND(B180="",OR(C180="",D180&lt;&gt;"",AND(F180&lt;&gt;"Build",F180&lt;&gt;"Spares"))),"Set root definition and purpose",IF(AND(B180&lt;&gt;"",COUNTIFS('Recipes'!$A$8:$A$207,D180)&lt;&gt;1),"Choose a unique recipe line",IF(AND(B180&lt;&gt;"",OR(C180&lt;&gt;"",F180&lt;&gt;"")),"Clear child root-only inputs",IF(AND(B180&lt;&gt;"",COUNTIFS($A$8:$A$179,B180)=1,COUNTIFS('Recipes'!$A$8:$A$207,D180)=1),IF(VLOOKUP(D180,'Recipes'!$A$8:$F$207,2,FALSE)&lt;&gt;VLOOKUP(B180,$A$8:$N$179,7,FALSE),"Recipe parent mismatch",IF(COUNTIFS($B$8:$B$207,B180,$D$8:$D$207,D180)&lt;&gt;1,"Duplicate child recipe",IF(OR(NOT(ISNUMBER(J180)),J180&lt;0,MOD(J180,1)&lt;&gt;0),"Set nonnegative whole qty",IF(COUNTIFS('Recipes'!$B$8:$B$207,G180)&lt;&gt;COUNTIFS($B$8:$B$207,A180,$D$8:$D$207,"&lt;&gt;",$A$8:$A$207,"&lt;&gt;"),"Missing / extra recipe children","OK")))),IF(OR(NOT(ISNUMBER(J180)),J180&lt;0,MOD(J180,1)&lt;&gt;0),"Set nonnegative whole qty",IF(COUNTIFS('Recipes'!$B$8:$B$207,G180)&lt;&gt;COUNTIFS($B$8:$B$207,A180,$D$8:$D$207,"&lt;&gt;",$A$8:$A$207,"&lt;&gt;"),"Missing / extra recipe children","OK"))))))))))</x:f>
      </x:c>
    </x:row>
    <x:row r="181" ht="22" customHeight="1">
      <x:c r="A181" s="10"/>
      <x:c r="B181" s="10"/>
      <x:c r="C181" s="10"/>
      <x:c r="D181" s="10"/>
      <x:c r="E181" s="12"/>
      <x:c r="F181" s="10"/>
      <x:c r="G181" s="9" t="str">
        <x:f>IF(A181="","",IF(B181="",C181,IF(COUNTIFS('Recipes'!$A$8:$A$207,D181)=1,VLOOKUP(D181,'Recipes'!$A$8:$F$207,3,FALSE),"")))</x:f>
      </x:c>
      <x:c r="H181" s="9" t="str">
        <x:f>IF(A181="","",IF(COUNTIFS('Definitions'!$A$8:$A$207,G181)=1,REPT("    ",IF(ISNUMBER(M181),M181,0))&amp;VLOOKUP(G181,'Definitions'!$A$8:$J$207,2,FALSE),"Unknown definition"))</x:f>
      </x:c>
      <x:c r="I181" s="11" t="str">
        <x:f>IF(A181="","",IF(B181="",1,IF(COUNTIFS('Recipes'!$A$8:$A$207,D181)=1,VLOOKUP(D181,'Recipes'!$A$8:$F$207,4,FALSE),"")))</x:f>
      </x:c>
      <x:c r="J181" s="11" t="str">
        <x:f>IF(A181="","",IF(ISBLANK(E181),I181,E181))</x:f>
      </x:c>
      <x:c r="K181" s="11" t="str">
        <x:f>IF(A181="","",IF(NOT(ISNUMBER(J181)),"",IF(B181="",J181,IF(COUNTIFS($A$8:$A$180,B181)=1,IF(ISNUMBER(VLOOKUP(B181,$A$8:$N$180,11,FALSE)),J181*VLOOKUP(B181,$A$8:$N$180,11,FALSE),""),""))))</x:f>
      </x:c>
      <x:c r="L181" s="9" t="str">
        <x:f>IF(A181="","",IF(B181="",F181,IF(COUNTIFS($A$8:$A$180,B181)=1,VLOOKUP(B181,$A$8:$N$180,12,FALSE),"")))</x:f>
      </x:c>
      <x:c r="M181" s="11" t="str">
        <x:f>IF(A181="","",IF(B181="",0,IF(COUNTIFS($A$8:$A$180,B181)=1,IF(ISNUMBER(VLOOKUP(B181,$A$8:$N$180,13,FALSE)),VLOOKUP(B181,$A$8:$N$180,13,FALSE)+1,""),"")))</x:f>
      </x:c>
      <x:c r="N181" s="9" t="str">
        <x:f>IF(A181="","",IF(COUNTIFS('Layout'!$A$8:$A$207,A181)&lt;&gt;1,"Duplicate role",IF(AND(B181&lt;&gt;"",COUNTIFS($A$8:$A$180,B181)&lt;&gt;1),"Parent must appear above child",IF(COUNTIFS('Definitions'!$A$8:$A$207,G181)&lt;&gt;1,"Unknown / duplicate definition",IF(AND(B181="",OR(C181="",D181&lt;&gt;"",AND(F181&lt;&gt;"Build",F181&lt;&gt;"Spares"))),"Set root definition and purpose",IF(AND(B181&lt;&gt;"",COUNTIFS('Recipes'!$A$8:$A$207,D181)&lt;&gt;1),"Choose a unique recipe line",IF(AND(B181&lt;&gt;"",OR(C181&lt;&gt;"",F181&lt;&gt;"")),"Clear child root-only inputs",IF(AND(B181&lt;&gt;"",COUNTIFS($A$8:$A$180,B181)=1,COUNTIFS('Recipes'!$A$8:$A$207,D181)=1),IF(VLOOKUP(D181,'Recipes'!$A$8:$F$207,2,FALSE)&lt;&gt;VLOOKUP(B181,$A$8:$N$180,7,FALSE),"Recipe parent mismatch",IF(COUNTIFS($B$8:$B$207,B181,$D$8:$D$207,D181)&lt;&gt;1,"Duplicate child recipe",IF(OR(NOT(ISNUMBER(J181)),J181&lt;0,MOD(J181,1)&lt;&gt;0),"Set nonnegative whole qty",IF(COUNTIFS('Recipes'!$B$8:$B$207,G181)&lt;&gt;COUNTIFS($B$8:$B$207,A181,$D$8:$D$207,"&lt;&gt;",$A$8:$A$207,"&lt;&gt;"),"Missing / extra recipe children","OK")))),IF(OR(NOT(ISNUMBER(J181)),J181&lt;0,MOD(J181,1)&lt;&gt;0),"Set nonnegative whole qty",IF(COUNTIFS('Recipes'!$B$8:$B$207,G181)&lt;&gt;COUNTIFS($B$8:$B$207,A181,$D$8:$D$207,"&lt;&gt;",$A$8:$A$207,"&lt;&gt;"),"Missing / extra recipe children","OK"))))))))))</x:f>
      </x:c>
    </x:row>
    <x:row r="182" ht="22" customHeight="1">
      <x:c r="A182" s="10"/>
      <x:c r="B182" s="10"/>
      <x:c r="C182" s="10"/>
      <x:c r="D182" s="10"/>
      <x:c r="E182" s="12"/>
      <x:c r="F182" s="10"/>
      <x:c r="G182" s="9" t="str">
        <x:f>IF(A182="","",IF(B182="",C182,IF(COUNTIFS('Recipes'!$A$8:$A$207,D182)=1,VLOOKUP(D182,'Recipes'!$A$8:$F$207,3,FALSE),"")))</x:f>
      </x:c>
      <x:c r="H182" s="9" t="str">
        <x:f>IF(A182="","",IF(COUNTIFS('Definitions'!$A$8:$A$207,G182)=1,REPT("    ",IF(ISNUMBER(M182),M182,0))&amp;VLOOKUP(G182,'Definitions'!$A$8:$J$207,2,FALSE),"Unknown definition"))</x:f>
      </x:c>
      <x:c r="I182" s="11" t="str">
        <x:f>IF(A182="","",IF(B182="",1,IF(COUNTIFS('Recipes'!$A$8:$A$207,D182)=1,VLOOKUP(D182,'Recipes'!$A$8:$F$207,4,FALSE),"")))</x:f>
      </x:c>
      <x:c r="J182" s="11" t="str">
        <x:f>IF(A182="","",IF(ISBLANK(E182),I182,E182))</x:f>
      </x:c>
      <x:c r="K182" s="11" t="str">
        <x:f>IF(A182="","",IF(NOT(ISNUMBER(J182)),"",IF(B182="",J182,IF(COUNTIFS($A$8:$A$181,B182)=1,IF(ISNUMBER(VLOOKUP(B182,$A$8:$N$181,11,FALSE)),J182*VLOOKUP(B182,$A$8:$N$181,11,FALSE),""),""))))</x:f>
      </x:c>
      <x:c r="L182" s="9" t="str">
        <x:f>IF(A182="","",IF(B182="",F182,IF(COUNTIFS($A$8:$A$181,B182)=1,VLOOKUP(B182,$A$8:$N$181,12,FALSE),"")))</x:f>
      </x:c>
      <x:c r="M182" s="11" t="str">
        <x:f>IF(A182="","",IF(B182="",0,IF(COUNTIFS($A$8:$A$181,B182)=1,IF(ISNUMBER(VLOOKUP(B182,$A$8:$N$181,13,FALSE)),VLOOKUP(B182,$A$8:$N$181,13,FALSE)+1,""),"")))</x:f>
      </x:c>
      <x:c r="N182" s="9" t="str">
        <x:f>IF(A182="","",IF(COUNTIFS('Layout'!$A$8:$A$207,A182)&lt;&gt;1,"Duplicate role",IF(AND(B182&lt;&gt;"",COUNTIFS($A$8:$A$181,B182)&lt;&gt;1),"Parent must appear above child",IF(COUNTIFS('Definitions'!$A$8:$A$207,G182)&lt;&gt;1,"Unknown / duplicate definition",IF(AND(B182="",OR(C182="",D182&lt;&gt;"",AND(F182&lt;&gt;"Build",F182&lt;&gt;"Spares"))),"Set root definition and purpose",IF(AND(B182&lt;&gt;"",COUNTIFS('Recipes'!$A$8:$A$207,D182)&lt;&gt;1),"Choose a unique recipe line",IF(AND(B182&lt;&gt;"",OR(C182&lt;&gt;"",F182&lt;&gt;"")),"Clear child root-only inputs",IF(AND(B182&lt;&gt;"",COUNTIFS($A$8:$A$181,B182)=1,COUNTIFS('Recipes'!$A$8:$A$207,D182)=1),IF(VLOOKUP(D182,'Recipes'!$A$8:$F$207,2,FALSE)&lt;&gt;VLOOKUP(B182,$A$8:$N$181,7,FALSE),"Recipe parent mismatch",IF(COUNTIFS($B$8:$B$207,B182,$D$8:$D$207,D182)&lt;&gt;1,"Duplicate child recipe",IF(OR(NOT(ISNUMBER(J182)),J182&lt;0,MOD(J182,1)&lt;&gt;0),"Set nonnegative whole qty",IF(COUNTIFS('Recipes'!$B$8:$B$207,G182)&lt;&gt;COUNTIFS($B$8:$B$207,A182,$D$8:$D$207,"&lt;&gt;",$A$8:$A$207,"&lt;&gt;"),"Missing / extra recipe children","OK")))),IF(OR(NOT(ISNUMBER(J182)),J182&lt;0,MOD(J182,1)&lt;&gt;0),"Set nonnegative whole qty",IF(COUNTIFS('Recipes'!$B$8:$B$207,G182)&lt;&gt;COUNTIFS($B$8:$B$207,A182,$D$8:$D$207,"&lt;&gt;",$A$8:$A$207,"&lt;&gt;"),"Missing / extra recipe children","OK"))))))))))</x:f>
      </x:c>
    </x:row>
    <x:row r="183" ht="22" customHeight="1">
      <x:c r="A183" s="10"/>
      <x:c r="B183" s="10"/>
      <x:c r="C183" s="10"/>
      <x:c r="D183" s="10"/>
      <x:c r="E183" s="12"/>
      <x:c r="F183" s="10"/>
      <x:c r="G183" s="9" t="str">
        <x:f>IF(A183="","",IF(B183="",C183,IF(COUNTIFS('Recipes'!$A$8:$A$207,D183)=1,VLOOKUP(D183,'Recipes'!$A$8:$F$207,3,FALSE),"")))</x:f>
      </x:c>
      <x:c r="H183" s="9" t="str">
        <x:f>IF(A183="","",IF(COUNTIFS('Definitions'!$A$8:$A$207,G183)=1,REPT("    ",IF(ISNUMBER(M183),M183,0))&amp;VLOOKUP(G183,'Definitions'!$A$8:$J$207,2,FALSE),"Unknown definition"))</x:f>
      </x:c>
      <x:c r="I183" s="11" t="str">
        <x:f>IF(A183="","",IF(B183="",1,IF(COUNTIFS('Recipes'!$A$8:$A$207,D183)=1,VLOOKUP(D183,'Recipes'!$A$8:$F$207,4,FALSE),"")))</x:f>
      </x:c>
      <x:c r="J183" s="11" t="str">
        <x:f>IF(A183="","",IF(ISBLANK(E183),I183,E183))</x:f>
      </x:c>
      <x:c r="K183" s="11" t="str">
        <x:f>IF(A183="","",IF(NOT(ISNUMBER(J183)),"",IF(B183="",J183,IF(COUNTIFS($A$8:$A$182,B183)=1,IF(ISNUMBER(VLOOKUP(B183,$A$8:$N$182,11,FALSE)),J183*VLOOKUP(B183,$A$8:$N$182,11,FALSE),""),""))))</x:f>
      </x:c>
      <x:c r="L183" s="9" t="str">
        <x:f>IF(A183="","",IF(B183="",F183,IF(COUNTIFS($A$8:$A$182,B183)=1,VLOOKUP(B183,$A$8:$N$182,12,FALSE),"")))</x:f>
      </x:c>
      <x:c r="M183" s="11" t="str">
        <x:f>IF(A183="","",IF(B183="",0,IF(COUNTIFS($A$8:$A$182,B183)=1,IF(ISNUMBER(VLOOKUP(B183,$A$8:$N$182,13,FALSE)),VLOOKUP(B183,$A$8:$N$182,13,FALSE)+1,""),"")))</x:f>
      </x:c>
      <x:c r="N183" s="9" t="str">
        <x:f>IF(A183="","",IF(COUNTIFS('Layout'!$A$8:$A$207,A183)&lt;&gt;1,"Duplicate role",IF(AND(B183&lt;&gt;"",COUNTIFS($A$8:$A$182,B183)&lt;&gt;1),"Parent must appear above child",IF(COUNTIFS('Definitions'!$A$8:$A$207,G183)&lt;&gt;1,"Unknown / duplicate definition",IF(AND(B183="",OR(C183="",D183&lt;&gt;"",AND(F183&lt;&gt;"Build",F183&lt;&gt;"Spares"))),"Set root definition and purpose",IF(AND(B183&lt;&gt;"",COUNTIFS('Recipes'!$A$8:$A$207,D183)&lt;&gt;1),"Choose a unique recipe line",IF(AND(B183&lt;&gt;"",OR(C183&lt;&gt;"",F183&lt;&gt;"")),"Clear child root-only inputs",IF(AND(B183&lt;&gt;"",COUNTIFS($A$8:$A$182,B183)=1,COUNTIFS('Recipes'!$A$8:$A$207,D183)=1),IF(VLOOKUP(D183,'Recipes'!$A$8:$F$207,2,FALSE)&lt;&gt;VLOOKUP(B183,$A$8:$N$182,7,FALSE),"Recipe parent mismatch",IF(COUNTIFS($B$8:$B$207,B183,$D$8:$D$207,D183)&lt;&gt;1,"Duplicate child recipe",IF(OR(NOT(ISNUMBER(J183)),J183&lt;0,MOD(J183,1)&lt;&gt;0),"Set nonnegative whole qty",IF(COUNTIFS('Recipes'!$B$8:$B$207,G183)&lt;&gt;COUNTIFS($B$8:$B$207,A183,$D$8:$D$207,"&lt;&gt;",$A$8:$A$207,"&lt;&gt;"),"Missing / extra recipe children","OK")))),IF(OR(NOT(ISNUMBER(J183)),J183&lt;0,MOD(J183,1)&lt;&gt;0),"Set nonnegative whole qty",IF(COUNTIFS('Recipes'!$B$8:$B$207,G183)&lt;&gt;COUNTIFS($B$8:$B$207,A183,$D$8:$D$207,"&lt;&gt;",$A$8:$A$207,"&lt;&gt;"),"Missing / extra recipe children","OK"))))))))))</x:f>
      </x:c>
    </x:row>
    <x:row r="184" ht="22" customHeight="1">
      <x:c r="A184" s="10"/>
      <x:c r="B184" s="10"/>
      <x:c r="C184" s="10"/>
      <x:c r="D184" s="10"/>
      <x:c r="E184" s="12"/>
      <x:c r="F184" s="10"/>
      <x:c r="G184" s="9" t="str">
        <x:f>IF(A184="","",IF(B184="",C184,IF(COUNTIFS('Recipes'!$A$8:$A$207,D184)=1,VLOOKUP(D184,'Recipes'!$A$8:$F$207,3,FALSE),"")))</x:f>
      </x:c>
      <x:c r="H184" s="9" t="str">
        <x:f>IF(A184="","",IF(COUNTIFS('Definitions'!$A$8:$A$207,G184)=1,REPT("    ",IF(ISNUMBER(M184),M184,0))&amp;VLOOKUP(G184,'Definitions'!$A$8:$J$207,2,FALSE),"Unknown definition"))</x:f>
      </x:c>
      <x:c r="I184" s="11" t="str">
        <x:f>IF(A184="","",IF(B184="",1,IF(COUNTIFS('Recipes'!$A$8:$A$207,D184)=1,VLOOKUP(D184,'Recipes'!$A$8:$F$207,4,FALSE),"")))</x:f>
      </x:c>
      <x:c r="J184" s="11" t="str">
        <x:f>IF(A184="","",IF(ISBLANK(E184),I184,E184))</x:f>
      </x:c>
      <x:c r="K184" s="11" t="str">
        <x:f>IF(A184="","",IF(NOT(ISNUMBER(J184)),"",IF(B184="",J184,IF(COUNTIFS($A$8:$A$183,B184)=1,IF(ISNUMBER(VLOOKUP(B184,$A$8:$N$183,11,FALSE)),J184*VLOOKUP(B184,$A$8:$N$183,11,FALSE),""),""))))</x:f>
      </x:c>
      <x:c r="L184" s="9" t="str">
        <x:f>IF(A184="","",IF(B184="",F184,IF(COUNTIFS($A$8:$A$183,B184)=1,VLOOKUP(B184,$A$8:$N$183,12,FALSE),"")))</x:f>
      </x:c>
      <x:c r="M184" s="11" t="str">
        <x:f>IF(A184="","",IF(B184="",0,IF(COUNTIFS($A$8:$A$183,B184)=1,IF(ISNUMBER(VLOOKUP(B184,$A$8:$N$183,13,FALSE)),VLOOKUP(B184,$A$8:$N$183,13,FALSE)+1,""),"")))</x:f>
      </x:c>
      <x:c r="N184" s="9" t="str">
        <x:f>IF(A184="","",IF(COUNTIFS('Layout'!$A$8:$A$207,A184)&lt;&gt;1,"Duplicate role",IF(AND(B184&lt;&gt;"",COUNTIFS($A$8:$A$183,B184)&lt;&gt;1),"Parent must appear above child",IF(COUNTIFS('Definitions'!$A$8:$A$207,G184)&lt;&gt;1,"Unknown / duplicate definition",IF(AND(B184="",OR(C184="",D184&lt;&gt;"",AND(F184&lt;&gt;"Build",F184&lt;&gt;"Spares"))),"Set root definition and purpose",IF(AND(B184&lt;&gt;"",COUNTIFS('Recipes'!$A$8:$A$207,D184)&lt;&gt;1),"Choose a unique recipe line",IF(AND(B184&lt;&gt;"",OR(C184&lt;&gt;"",F184&lt;&gt;"")),"Clear child root-only inputs",IF(AND(B184&lt;&gt;"",COUNTIFS($A$8:$A$183,B184)=1,COUNTIFS('Recipes'!$A$8:$A$207,D184)=1),IF(VLOOKUP(D184,'Recipes'!$A$8:$F$207,2,FALSE)&lt;&gt;VLOOKUP(B184,$A$8:$N$183,7,FALSE),"Recipe parent mismatch",IF(COUNTIFS($B$8:$B$207,B184,$D$8:$D$207,D184)&lt;&gt;1,"Duplicate child recipe",IF(OR(NOT(ISNUMBER(J184)),J184&lt;0,MOD(J184,1)&lt;&gt;0),"Set nonnegative whole qty",IF(COUNTIFS('Recipes'!$B$8:$B$207,G184)&lt;&gt;COUNTIFS($B$8:$B$207,A184,$D$8:$D$207,"&lt;&gt;",$A$8:$A$207,"&lt;&gt;"),"Missing / extra recipe children","OK")))),IF(OR(NOT(ISNUMBER(J184)),J184&lt;0,MOD(J184,1)&lt;&gt;0),"Set nonnegative whole qty",IF(COUNTIFS('Recipes'!$B$8:$B$207,G184)&lt;&gt;COUNTIFS($B$8:$B$207,A184,$D$8:$D$207,"&lt;&gt;",$A$8:$A$207,"&lt;&gt;"),"Missing / extra recipe children","OK"))))))))))</x:f>
      </x:c>
    </x:row>
    <x:row r="185" ht="22" customHeight="1">
      <x:c r="A185" s="10"/>
      <x:c r="B185" s="10"/>
      <x:c r="C185" s="10"/>
      <x:c r="D185" s="10"/>
      <x:c r="E185" s="12"/>
      <x:c r="F185" s="10"/>
      <x:c r="G185" s="9" t="str">
        <x:f>IF(A185="","",IF(B185="",C185,IF(COUNTIFS('Recipes'!$A$8:$A$207,D185)=1,VLOOKUP(D185,'Recipes'!$A$8:$F$207,3,FALSE),"")))</x:f>
      </x:c>
      <x:c r="H185" s="9" t="str">
        <x:f>IF(A185="","",IF(COUNTIFS('Definitions'!$A$8:$A$207,G185)=1,REPT("    ",IF(ISNUMBER(M185),M185,0))&amp;VLOOKUP(G185,'Definitions'!$A$8:$J$207,2,FALSE),"Unknown definition"))</x:f>
      </x:c>
      <x:c r="I185" s="11" t="str">
        <x:f>IF(A185="","",IF(B185="",1,IF(COUNTIFS('Recipes'!$A$8:$A$207,D185)=1,VLOOKUP(D185,'Recipes'!$A$8:$F$207,4,FALSE),"")))</x:f>
      </x:c>
      <x:c r="J185" s="11" t="str">
        <x:f>IF(A185="","",IF(ISBLANK(E185),I185,E185))</x:f>
      </x:c>
      <x:c r="K185" s="11" t="str">
        <x:f>IF(A185="","",IF(NOT(ISNUMBER(J185)),"",IF(B185="",J185,IF(COUNTIFS($A$8:$A$184,B185)=1,IF(ISNUMBER(VLOOKUP(B185,$A$8:$N$184,11,FALSE)),J185*VLOOKUP(B185,$A$8:$N$184,11,FALSE),""),""))))</x:f>
      </x:c>
      <x:c r="L185" s="9" t="str">
        <x:f>IF(A185="","",IF(B185="",F185,IF(COUNTIFS($A$8:$A$184,B185)=1,VLOOKUP(B185,$A$8:$N$184,12,FALSE),"")))</x:f>
      </x:c>
      <x:c r="M185" s="11" t="str">
        <x:f>IF(A185="","",IF(B185="",0,IF(COUNTIFS($A$8:$A$184,B185)=1,IF(ISNUMBER(VLOOKUP(B185,$A$8:$N$184,13,FALSE)),VLOOKUP(B185,$A$8:$N$184,13,FALSE)+1,""),"")))</x:f>
      </x:c>
      <x:c r="N185" s="9" t="str">
        <x:f>IF(A185="","",IF(COUNTIFS('Layout'!$A$8:$A$207,A185)&lt;&gt;1,"Duplicate role",IF(AND(B185&lt;&gt;"",COUNTIFS($A$8:$A$184,B185)&lt;&gt;1),"Parent must appear above child",IF(COUNTIFS('Definitions'!$A$8:$A$207,G185)&lt;&gt;1,"Unknown / duplicate definition",IF(AND(B185="",OR(C185="",D185&lt;&gt;"",AND(F185&lt;&gt;"Build",F185&lt;&gt;"Spares"))),"Set root definition and purpose",IF(AND(B185&lt;&gt;"",COUNTIFS('Recipes'!$A$8:$A$207,D185)&lt;&gt;1),"Choose a unique recipe line",IF(AND(B185&lt;&gt;"",OR(C185&lt;&gt;"",F185&lt;&gt;"")),"Clear child root-only inputs",IF(AND(B185&lt;&gt;"",COUNTIFS($A$8:$A$184,B185)=1,COUNTIFS('Recipes'!$A$8:$A$207,D185)=1),IF(VLOOKUP(D185,'Recipes'!$A$8:$F$207,2,FALSE)&lt;&gt;VLOOKUP(B185,$A$8:$N$184,7,FALSE),"Recipe parent mismatch",IF(COUNTIFS($B$8:$B$207,B185,$D$8:$D$207,D185)&lt;&gt;1,"Duplicate child recipe",IF(OR(NOT(ISNUMBER(J185)),J185&lt;0,MOD(J185,1)&lt;&gt;0),"Set nonnegative whole qty",IF(COUNTIFS('Recipes'!$B$8:$B$207,G185)&lt;&gt;COUNTIFS($B$8:$B$207,A185,$D$8:$D$207,"&lt;&gt;",$A$8:$A$207,"&lt;&gt;"),"Missing / extra recipe children","OK")))),IF(OR(NOT(ISNUMBER(J185)),J185&lt;0,MOD(J185,1)&lt;&gt;0),"Set nonnegative whole qty",IF(COUNTIFS('Recipes'!$B$8:$B$207,G185)&lt;&gt;COUNTIFS($B$8:$B$207,A185,$D$8:$D$207,"&lt;&gt;",$A$8:$A$207,"&lt;&gt;"),"Missing / extra recipe children","OK"))))))))))</x:f>
      </x:c>
    </x:row>
    <x:row r="186" ht="22" customHeight="1">
      <x:c r="A186" s="10"/>
      <x:c r="B186" s="10"/>
      <x:c r="C186" s="10"/>
      <x:c r="D186" s="10"/>
      <x:c r="E186" s="12"/>
      <x:c r="F186" s="10"/>
      <x:c r="G186" s="9" t="str">
        <x:f>IF(A186="","",IF(B186="",C186,IF(COUNTIFS('Recipes'!$A$8:$A$207,D186)=1,VLOOKUP(D186,'Recipes'!$A$8:$F$207,3,FALSE),"")))</x:f>
      </x:c>
      <x:c r="H186" s="9" t="str">
        <x:f>IF(A186="","",IF(COUNTIFS('Definitions'!$A$8:$A$207,G186)=1,REPT("    ",IF(ISNUMBER(M186),M186,0))&amp;VLOOKUP(G186,'Definitions'!$A$8:$J$207,2,FALSE),"Unknown definition"))</x:f>
      </x:c>
      <x:c r="I186" s="11" t="str">
        <x:f>IF(A186="","",IF(B186="",1,IF(COUNTIFS('Recipes'!$A$8:$A$207,D186)=1,VLOOKUP(D186,'Recipes'!$A$8:$F$207,4,FALSE),"")))</x:f>
      </x:c>
      <x:c r="J186" s="11" t="str">
        <x:f>IF(A186="","",IF(ISBLANK(E186),I186,E186))</x:f>
      </x:c>
      <x:c r="K186" s="11" t="str">
        <x:f>IF(A186="","",IF(NOT(ISNUMBER(J186)),"",IF(B186="",J186,IF(COUNTIFS($A$8:$A$185,B186)=1,IF(ISNUMBER(VLOOKUP(B186,$A$8:$N$185,11,FALSE)),J186*VLOOKUP(B186,$A$8:$N$185,11,FALSE),""),""))))</x:f>
      </x:c>
      <x:c r="L186" s="9" t="str">
        <x:f>IF(A186="","",IF(B186="",F186,IF(COUNTIFS($A$8:$A$185,B186)=1,VLOOKUP(B186,$A$8:$N$185,12,FALSE),"")))</x:f>
      </x:c>
      <x:c r="M186" s="11" t="str">
        <x:f>IF(A186="","",IF(B186="",0,IF(COUNTIFS($A$8:$A$185,B186)=1,IF(ISNUMBER(VLOOKUP(B186,$A$8:$N$185,13,FALSE)),VLOOKUP(B186,$A$8:$N$185,13,FALSE)+1,""),"")))</x:f>
      </x:c>
      <x:c r="N186" s="9" t="str">
        <x:f>IF(A186="","",IF(COUNTIFS('Layout'!$A$8:$A$207,A186)&lt;&gt;1,"Duplicate role",IF(AND(B186&lt;&gt;"",COUNTIFS($A$8:$A$185,B186)&lt;&gt;1),"Parent must appear above child",IF(COUNTIFS('Definitions'!$A$8:$A$207,G186)&lt;&gt;1,"Unknown / duplicate definition",IF(AND(B186="",OR(C186="",D186&lt;&gt;"",AND(F186&lt;&gt;"Build",F186&lt;&gt;"Spares"))),"Set root definition and purpose",IF(AND(B186&lt;&gt;"",COUNTIFS('Recipes'!$A$8:$A$207,D186)&lt;&gt;1),"Choose a unique recipe line",IF(AND(B186&lt;&gt;"",OR(C186&lt;&gt;"",F186&lt;&gt;"")),"Clear child root-only inputs",IF(AND(B186&lt;&gt;"",COUNTIFS($A$8:$A$185,B186)=1,COUNTIFS('Recipes'!$A$8:$A$207,D186)=1),IF(VLOOKUP(D186,'Recipes'!$A$8:$F$207,2,FALSE)&lt;&gt;VLOOKUP(B186,$A$8:$N$185,7,FALSE),"Recipe parent mismatch",IF(COUNTIFS($B$8:$B$207,B186,$D$8:$D$207,D186)&lt;&gt;1,"Duplicate child recipe",IF(OR(NOT(ISNUMBER(J186)),J186&lt;0,MOD(J186,1)&lt;&gt;0),"Set nonnegative whole qty",IF(COUNTIFS('Recipes'!$B$8:$B$207,G186)&lt;&gt;COUNTIFS($B$8:$B$207,A186,$D$8:$D$207,"&lt;&gt;",$A$8:$A$207,"&lt;&gt;"),"Missing / extra recipe children","OK")))),IF(OR(NOT(ISNUMBER(J186)),J186&lt;0,MOD(J186,1)&lt;&gt;0),"Set nonnegative whole qty",IF(COUNTIFS('Recipes'!$B$8:$B$207,G186)&lt;&gt;COUNTIFS($B$8:$B$207,A186,$D$8:$D$207,"&lt;&gt;",$A$8:$A$207,"&lt;&gt;"),"Missing / extra recipe children","OK"))))))))))</x:f>
      </x:c>
    </x:row>
    <x:row r="187" ht="22" customHeight="1">
      <x:c r="A187" s="10"/>
      <x:c r="B187" s="10"/>
      <x:c r="C187" s="10"/>
      <x:c r="D187" s="10"/>
      <x:c r="E187" s="12"/>
      <x:c r="F187" s="10"/>
      <x:c r="G187" s="9" t="str">
        <x:f>IF(A187="","",IF(B187="",C187,IF(COUNTIFS('Recipes'!$A$8:$A$207,D187)=1,VLOOKUP(D187,'Recipes'!$A$8:$F$207,3,FALSE),"")))</x:f>
      </x:c>
      <x:c r="H187" s="9" t="str">
        <x:f>IF(A187="","",IF(COUNTIFS('Definitions'!$A$8:$A$207,G187)=1,REPT("    ",IF(ISNUMBER(M187),M187,0))&amp;VLOOKUP(G187,'Definitions'!$A$8:$J$207,2,FALSE),"Unknown definition"))</x:f>
      </x:c>
      <x:c r="I187" s="11" t="str">
        <x:f>IF(A187="","",IF(B187="",1,IF(COUNTIFS('Recipes'!$A$8:$A$207,D187)=1,VLOOKUP(D187,'Recipes'!$A$8:$F$207,4,FALSE),"")))</x:f>
      </x:c>
      <x:c r="J187" s="11" t="str">
        <x:f>IF(A187="","",IF(ISBLANK(E187),I187,E187))</x:f>
      </x:c>
      <x:c r="K187" s="11" t="str">
        <x:f>IF(A187="","",IF(NOT(ISNUMBER(J187)),"",IF(B187="",J187,IF(COUNTIFS($A$8:$A$186,B187)=1,IF(ISNUMBER(VLOOKUP(B187,$A$8:$N$186,11,FALSE)),J187*VLOOKUP(B187,$A$8:$N$186,11,FALSE),""),""))))</x:f>
      </x:c>
      <x:c r="L187" s="9" t="str">
        <x:f>IF(A187="","",IF(B187="",F187,IF(COUNTIFS($A$8:$A$186,B187)=1,VLOOKUP(B187,$A$8:$N$186,12,FALSE),"")))</x:f>
      </x:c>
      <x:c r="M187" s="11" t="str">
        <x:f>IF(A187="","",IF(B187="",0,IF(COUNTIFS($A$8:$A$186,B187)=1,IF(ISNUMBER(VLOOKUP(B187,$A$8:$N$186,13,FALSE)),VLOOKUP(B187,$A$8:$N$186,13,FALSE)+1,""),"")))</x:f>
      </x:c>
      <x:c r="N187" s="9" t="str">
        <x:f>IF(A187="","",IF(COUNTIFS('Layout'!$A$8:$A$207,A187)&lt;&gt;1,"Duplicate role",IF(AND(B187&lt;&gt;"",COUNTIFS($A$8:$A$186,B187)&lt;&gt;1),"Parent must appear above child",IF(COUNTIFS('Definitions'!$A$8:$A$207,G187)&lt;&gt;1,"Unknown / duplicate definition",IF(AND(B187="",OR(C187="",D187&lt;&gt;"",AND(F187&lt;&gt;"Build",F187&lt;&gt;"Spares"))),"Set root definition and purpose",IF(AND(B187&lt;&gt;"",COUNTIFS('Recipes'!$A$8:$A$207,D187)&lt;&gt;1),"Choose a unique recipe line",IF(AND(B187&lt;&gt;"",OR(C187&lt;&gt;"",F187&lt;&gt;"")),"Clear child root-only inputs",IF(AND(B187&lt;&gt;"",COUNTIFS($A$8:$A$186,B187)=1,COUNTIFS('Recipes'!$A$8:$A$207,D187)=1),IF(VLOOKUP(D187,'Recipes'!$A$8:$F$207,2,FALSE)&lt;&gt;VLOOKUP(B187,$A$8:$N$186,7,FALSE),"Recipe parent mismatch",IF(COUNTIFS($B$8:$B$207,B187,$D$8:$D$207,D187)&lt;&gt;1,"Duplicate child recipe",IF(OR(NOT(ISNUMBER(J187)),J187&lt;0,MOD(J187,1)&lt;&gt;0),"Set nonnegative whole qty",IF(COUNTIFS('Recipes'!$B$8:$B$207,G187)&lt;&gt;COUNTIFS($B$8:$B$207,A187,$D$8:$D$207,"&lt;&gt;",$A$8:$A$207,"&lt;&gt;"),"Missing / extra recipe children","OK")))),IF(OR(NOT(ISNUMBER(J187)),J187&lt;0,MOD(J187,1)&lt;&gt;0),"Set nonnegative whole qty",IF(COUNTIFS('Recipes'!$B$8:$B$207,G187)&lt;&gt;COUNTIFS($B$8:$B$207,A187,$D$8:$D$207,"&lt;&gt;",$A$8:$A$207,"&lt;&gt;"),"Missing / extra recipe children","OK"))))))))))</x:f>
      </x:c>
    </x:row>
    <x:row r="188" ht="22" customHeight="1">
      <x:c r="A188" s="10"/>
      <x:c r="B188" s="10"/>
      <x:c r="C188" s="10"/>
      <x:c r="D188" s="10"/>
      <x:c r="E188" s="12"/>
      <x:c r="F188" s="10"/>
      <x:c r="G188" s="9" t="str">
        <x:f>IF(A188="","",IF(B188="",C188,IF(COUNTIFS('Recipes'!$A$8:$A$207,D188)=1,VLOOKUP(D188,'Recipes'!$A$8:$F$207,3,FALSE),"")))</x:f>
      </x:c>
      <x:c r="H188" s="9" t="str">
        <x:f>IF(A188="","",IF(COUNTIFS('Definitions'!$A$8:$A$207,G188)=1,REPT("    ",IF(ISNUMBER(M188),M188,0))&amp;VLOOKUP(G188,'Definitions'!$A$8:$J$207,2,FALSE),"Unknown definition"))</x:f>
      </x:c>
      <x:c r="I188" s="11" t="str">
        <x:f>IF(A188="","",IF(B188="",1,IF(COUNTIFS('Recipes'!$A$8:$A$207,D188)=1,VLOOKUP(D188,'Recipes'!$A$8:$F$207,4,FALSE),"")))</x:f>
      </x:c>
      <x:c r="J188" s="11" t="str">
        <x:f>IF(A188="","",IF(ISBLANK(E188),I188,E188))</x:f>
      </x:c>
      <x:c r="K188" s="11" t="str">
        <x:f>IF(A188="","",IF(NOT(ISNUMBER(J188)),"",IF(B188="",J188,IF(COUNTIFS($A$8:$A$187,B188)=1,IF(ISNUMBER(VLOOKUP(B188,$A$8:$N$187,11,FALSE)),J188*VLOOKUP(B188,$A$8:$N$187,11,FALSE),""),""))))</x:f>
      </x:c>
      <x:c r="L188" s="9" t="str">
        <x:f>IF(A188="","",IF(B188="",F188,IF(COUNTIFS($A$8:$A$187,B188)=1,VLOOKUP(B188,$A$8:$N$187,12,FALSE),"")))</x:f>
      </x:c>
      <x:c r="M188" s="11" t="str">
        <x:f>IF(A188="","",IF(B188="",0,IF(COUNTIFS($A$8:$A$187,B188)=1,IF(ISNUMBER(VLOOKUP(B188,$A$8:$N$187,13,FALSE)),VLOOKUP(B188,$A$8:$N$187,13,FALSE)+1,""),"")))</x:f>
      </x:c>
      <x:c r="N188" s="9" t="str">
        <x:f>IF(A188="","",IF(COUNTIFS('Layout'!$A$8:$A$207,A188)&lt;&gt;1,"Duplicate role",IF(AND(B188&lt;&gt;"",COUNTIFS($A$8:$A$187,B188)&lt;&gt;1),"Parent must appear above child",IF(COUNTIFS('Definitions'!$A$8:$A$207,G188)&lt;&gt;1,"Unknown / duplicate definition",IF(AND(B188="",OR(C188="",D188&lt;&gt;"",AND(F188&lt;&gt;"Build",F188&lt;&gt;"Spares"))),"Set root definition and purpose",IF(AND(B188&lt;&gt;"",COUNTIFS('Recipes'!$A$8:$A$207,D188)&lt;&gt;1),"Choose a unique recipe line",IF(AND(B188&lt;&gt;"",OR(C188&lt;&gt;"",F188&lt;&gt;"")),"Clear child root-only inputs",IF(AND(B188&lt;&gt;"",COUNTIFS($A$8:$A$187,B188)=1,COUNTIFS('Recipes'!$A$8:$A$207,D188)=1),IF(VLOOKUP(D188,'Recipes'!$A$8:$F$207,2,FALSE)&lt;&gt;VLOOKUP(B188,$A$8:$N$187,7,FALSE),"Recipe parent mismatch",IF(COUNTIFS($B$8:$B$207,B188,$D$8:$D$207,D188)&lt;&gt;1,"Duplicate child recipe",IF(OR(NOT(ISNUMBER(J188)),J188&lt;0,MOD(J188,1)&lt;&gt;0),"Set nonnegative whole qty",IF(COUNTIFS('Recipes'!$B$8:$B$207,G188)&lt;&gt;COUNTIFS($B$8:$B$207,A188,$D$8:$D$207,"&lt;&gt;",$A$8:$A$207,"&lt;&gt;"),"Missing / extra recipe children","OK")))),IF(OR(NOT(ISNUMBER(J188)),J188&lt;0,MOD(J188,1)&lt;&gt;0),"Set nonnegative whole qty",IF(COUNTIFS('Recipes'!$B$8:$B$207,G188)&lt;&gt;COUNTIFS($B$8:$B$207,A188,$D$8:$D$207,"&lt;&gt;",$A$8:$A$207,"&lt;&gt;"),"Missing / extra recipe children","OK"))))))))))</x:f>
      </x:c>
    </x:row>
    <x:row r="189" ht="22" customHeight="1">
      <x:c r="A189" s="10"/>
      <x:c r="B189" s="10"/>
      <x:c r="C189" s="10"/>
      <x:c r="D189" s="10"/>
      <x:c r="E189" s="12"/>
      <x:c r="F189" s="10"/>
      <x:c r="G189" s="9" t="str">
        <x:f>IF(A189="","",IF(B189="",C189,IF(COUNTIFS('Recipes'!$A$8:$A$207,D189)=1,VLOOKUP(D189,'Recipes'!$A$8:$F$207,3,FALSE),"")))</x:f>
      </x:c>
      <x:c r="H189" s="9" t="str">
        <x:f>IF(A189="","",IF(COUNTIFS('Definitions'!$A$8:$A$207,G189)=1,REPT("    ",IF(ISNUMBER(M189),M189,0))&amp;VLOOKUP(G189,'Definitions'!$A$8:$J$207,2,FALSE),"Unknown definition"))</x:f>
      </x:c>
      <x:c r="I189" s="11" t="str">
        <x:f>IF(A189="","",IF(B189="",1,IF(COUNTIFS('Recipes'!$A$8:$A$207,D189)=1,VLOOKUP(D189,'Recipes'!$A$8:$F$207,4,FALSE),"")))</x:f>
      </x:c>
      <x:c r="J189" s="11" t="str">
        <x:f>IF(A189="","",IF(ISBLANK(E189),I189,E189))</x:f>
      </x:c>
      <x:c r="K189" s="11" t="str">
        <x:f>IF(A189="","",IF(NOT(ISNUMBER(J189)),"",IF(B189="",J189,IF(COUNTIFS($A$8:$A$188,B189)=1,IF(ISNUMBER(VLOOKUP(B189,$A$8:$N$188,11,FALSE)),J189*VLOOKUP(B189,$A$8:$N$188,11,FALSE),""),""))))</x:f>
      </x:c>
      <x:c r="L189" s="9" t="str">
        <x:f>IF(A189="","",IF(B189="",F189,IF(COUNTIFS($A$8:$A$188,B189)=1,VLOOKUP(B189,$A$8:$N$188,12,FALSE),"")))</x:f>
      </x:c>
      <x:c r="M189" s="11" t="str">
        <x:f>IF(A189="","",IF(B189="",0,IF(COUNTIFS($A$8:$A$188,B189)=1,IF(ISNUMBER(VLOOKUP(B189,$A$8:$N$188,13,FALSE)),VLOOKUP(B189,$A$8:$N$188,13,FALSE)+1,""),"")))</x:f>
      </x:c>
      <x:c r="N189" s="9" t="str">
        <x:f>IF(A189="","",IF(COUNTIFS('Layout'!$A$8:$A$207,A189)&lt;&gt;1,"Duplicate role",IF(AND(B189&lt;&gt;"",COUNTIFS($A$8:$A$188,B189)&lt;&gt;1),"Parent must appear above child",IF(COUNTIFS('Definitions'!$A$8:$A$207,G189)&lt;&gt;1,"Unknown / duplicate definition",IF(AND(B189="",OR(C189="",D189&lt;&gt;"",AND(F189&lt;&gt;"Build",F189&lt;&gt;"Spares"))),"Set root definition and purpose",IF(AND(B189&lt;&gt;"",COUNTIFS('Recipes'!$A$8:$A$207,D189)&lt;&gt;1),"Choose a unique recipe line",IF(AND(B189&lt;&gt;"",OR(C189&lt;&gt;"",F189&lt;&gt;"")),"Clear child root-only inputs",IF(AND(B189&lt;&gt;"",COUNTIFS($A$8:$A$188,B189)=1,COUNTIFS('Recipes'!$A$8:$A$207,D189)=1),IF(VLOOKUP(D189,'Recipes'!$A$8:$F$207,2,FALSE)&lt;&gt;VLOOKUP(B189,$A$8:$N$188,7,FALSE),"Recipe parent mismatch",IF(COUNTIFS($B$8:$B$207,B189,$D$8:$D$207,D189)&lt;&gt;1,"Duplicate child recipe",IF(OR(NOT(ISNUMBER(J189)),J189&lt;0,MOD(J189,1)&lt;&gt;0),"Set nonnegative whole qty",IF(COUNTIFS('Recipes'!$B$8:$B$207,G189)&lt;&gt;COUNTIFS($B$8:$B$207,A189,$D$8:$D$207,"&lt;&gt;",$A$8:$A$207,"&lt;&gt;"),"Missing / extra recipe children","OK")))),IF(OR(NOT(ISNUMBER(J189)),J189&lt;0,MOD(J189,1)&lt;&gt;0),"Set nonnegative whole qty",IF(COUNTIFS('Recipes'!$B$8:$B$207,G189)&lt;&gt;COUNTIFS($B$8:$B$207,A189,$D$8:$D$207,"&lt;&gt;",$A$8:$A$207,"&lt;&gt;"),"Missing / extra recipe children","OK"))))))))))</x:f>
      </x:c>
    </x:row>
    <x:row r="190" ht="22" customHeight="1">
      <x:c r="A190" s="10"/>
      <x:c r="B190" s="10"/>
      <x:c r="C190" s="10"/>
      <x:c r="D190" s="10"/>
      <x:c r="E190" s="12"/>
      <x:c r="F190" s="10"/>
      <x:c r="G190" s="9" t="str">
        <x:f>IF(A190="","",IF(B190="",C190,IF(COUNTIFS('Recipes'!$A$8:$A$207,D190)=1,VLOOKUP(D190,'Recipes'!$A$8:$F$207,3,FALSE),"")))</x:f>
      </x:c>
      <x:c r="H190" s="9" t="str">
        <x:f>IF(A190="","",IF(COUNTIFS('Definitions'!$A$8:$A$207,G190)=1,REPT("    ",IF(ISNUMBER(M190),M190,0))&amp;VLOOKUP(G190,'Definitions'!$A$8:$J$207,2,FALSE),"Unknown definition"))</x:f>
      </x:c>
      <x:c r="I190" s="11" t="str">
        <x:f>IF(A190="","",IF(B190="",1,IF(COUNTIFS('Recipes'!$A$8:$A$207,D190)=1,VLOOKUP(D190,'Recipes'!$A$8:$F$207,4,FALSE),"")))</x:f>
      </x:c>
      <x:c r="J190" s="11" t="str">
        <x:f>IF(A190="","",IF(ISBLANK(E190),I190,E190))</x:f>
      </x:c>
      <x:c r="K190" s="11" t="str">
        <x:f>IF(A190="","",IF(NOT(ISNUMBER(J190)),"",IF(B190="",J190,IF(COUNTIFS($A$8:$A$189,B190)=1,IF(ISNUMBER(VLOOKUP(B190,$A$8:$N$189,11,FALSE)),J190*VLOOKUP(B190,$A$8:$N$189,11,FALSE),""),""))))</x:f>
      </x:c>
      <x:c r="L190" s="9" t="str">
        <x:f>IF(A190="","",IF(B190="",F190,IF(COUNTIFS($A$8:$A$189,B190)=1,VLOOKUP(B190,$A$8:$N$189,12,FALSE),"")))</x:f>
      </x:c>
      <x:c r="M190" s="11" t="str">
        <x:f>IF(A190="","",IF(B190="",0,IF(COUNTIFS($A$8:$A$189,B190)=1,IF(ISNUMBER(VLOOKUP(B190,$A$8:$N$189,13,FALSE)),VLOOKUP(B190,$A$8:$N$189,13,FALSE)+1,""),"")))</x:f>
      </x:c>
      <x:c r="N190" s="9" t="str">
        <x:f>IF(A190="","",IF(COUNTIFS('Layout'!$A$8:$A$207,A190)&lt;&gt;1,"Duplicate role",IF(AND(B190&lt;&gt;"",COUNTIFS($A$8:$A$189,B190)&lt;&gt;1),"Parent must appear above child",IF(COUNTIFS('Definitions'!$A$8:$A$207,G190)&lt;&gt;1,"Unknown / duplicate definition",IF(AND(B190="",OR(C190="",D190&lt;&gt;"",AND(F190&lt;&gt;"Build",F190&lt;&gt;"Spares"))),"Set root definition and purpose",IF(AND(B190&lt;&gt;"",COUNTIFS('Recipes'!$A$8:$A$207,D190)&lt;&gt;1),"Choose a unique recipe line",IF(AND(B190&lt;&gt;"",OR(C190&lt;&gt;"",F190&lt;&gt;"")),"Clear child root-only inputs",IF(AND(B190&lt;&gt;"",COUNTIFS($A$8:$A$189,B190)=1,COUNTIFS('Recipes'!$A$8:$A$207,D190)=1),IF(VLOOKUP(D190,'Recipes'!$A$8:$F$207,2,FALSE)&lt;&gt;VLOOKUP(B190,$A$8:$N$189,7,FALSE),"Recipe parent mismatch",IF(COUNTIFS($B$8:$B$207,B190,$D$8:$D$207,D190)&lt;&gt;1,"Duplicate child recipe",IF(OR(NOT(ISNUMBER(J190)),J190&lt;0,MOD(J190,1)&lt;&gt;0),"Set nonnegative whole qty",IF(COUNTIFS('Recipes'!$B$8:$B$207,G190)&lt;&gt;COUNTIFS($B$8:$B$207,A190,$D$8:$D$207,"&lt;&gt;",$A$8:$A$207,"&lt;&gt;"),"Missing / extra recipe children","OK")))),IF(OR(NOT(ISNUMBER(J190)),J190&lt;0,MOD(J190,1)&lt;&gt;0),"Set nonnegative whole qty",IF(COUNTIFS('Recipes'!$B$8:$B$207,G190)&lt;&gt;COUNTIFS($B$8:$B$207,A190,$D$8:$D$207,"&lt;&gt;",$A$8:$A$207,"&lt;&gt;"),"Missing / extra recipe children","OK"))))))))))</x:f>
      </x:c>
    </x:row>
    <x:row r="191" ht="22" customHeight="1">
      <x:c r="A191" s="10"/>
      <x:c r="B191" s="10"/>
      <x:c r="C191" s="10"/>
      <x:c r="D191" s="10"/>
      <x:c r="E191" s="12"/>
      <x:c r="F191" s="10"/>
      <x:c r="G191" s="9" t="str">
        <x:f>IF(A191="","",IF(B191="",C191,IF(COUNTIFS('Recipes'!$A$8:$A$207,D191)=1,VLOOKUP(D191,'Recipes'!$A$8:$F$207,3,FALSE),"")))</x:f>
      </x:c>
      <x:c r="H191" s="9" t="str">
        <x:f>IF(A191="","",IF(COUNTIFS('Definitions'!$A$8:$A$207,G191)=1,REPT("    ",IF(ISNUMBER(M191),M191,0))&amp;VLOOKUP(G191,'Definitions'!$A$8:$J$207,2,FALSE),"Unknown definition"))</x:f>
      </x:c>
      <x:c r="I191" s="11" t="str">
        <x:f>IF(A191="","",IF(B191="",1,IF(COUNTIFS('Recipes'!$A$8:$A$207,D191)=1,VLOOKUP(D191,'Recipes'!$A$8:$F$207,4,FALSE),"")))</x:f>
      </x:c>
      <x:c r="J191" s="11" t="str">
        <x:f>IF(A191="","",IF(ISBLANK(E191),I191,E191))</x:f>
      </x:c>
      <x:c r="K191" s="11" t="str">
        <x:f>IF(A191="","",IF(NOT(ISNUMBER(J191)),"",IF(B191="",J191,IF(COUNTIFS($A$8:$A$190,B191)=1,IF(ISNUMBER(VLOOKUP(B191,$A$8:$N$190,11,FALSE)),J191*VLOOKUP(B191,$A$8:$N$190,11,FALSE),""),""))))</x:f>
      </x:c>
      <x:c r="L191" s="9" t="str">
        <x:f>IF(A191="","",IF(B191="",F191,IF(COUNTIFS($A$8:$A$190,B191)=1,VLOOKUP(B191,$A$8:$N$190,12,FALSE),"")))</x:f>
      </x:c>
      <x:c r="M191" s="11" t="str">
        <x:f>IF(A191="","",IF(B191="",0,IF(COUNTIFS($A$8:$A$190,B191)=1,IF(ISNUMBER(VLOOKUP(B191,$A$8:$N$190,13,FALSE)),VLOOKUP(B191,$A$8:$N$190,13,FALSE)+1,""),"")))</x:f>
      </x:c>
      <x:c r="N191" s="9" t="str">
        <x:f>IF(A191="","",IF(COUNTIFS('Layout'!$A$8:$A$207,A191)&lt;&gt;1,"Duplicate role",IF(AND(B191&lt;&gt;"",COUNTIFS($A$8:$A$190,B191)&lt;&gt;1),"Parent must appear above child",IF(COUNTIFS('Definitions'!$A$8:$A$207,G191)&lt;&gt;1,"Unknown / duplicate definition",IF(AND(B191="",OR(C191="",D191&lt;&gt;"",AND(F191&lt;&gt;"Build",F191&lt;&gt;"Spares"))),"Set root definition and purpose",IF(AND(B191&lt;&gt;"",COUNTIFS('Recipes'!$A$8:$A$207,D191)&lt;&gt;1),"Choose a unique recipe line",IF(AND(B191&lt;&gt;"",OR(C191&lt;&gt;"",F191&lt;&gt;"")),"Clear child root-only inputs",IF(AND(B191&lt;&gt;"",COUNTIFS($A$8:$A$190,B191)=1,COUNTIFS('Recipes'!$A$8:$A$207,D191)=1),IF(VLOOKUP(D191,'Recipes'!$A$8:$F$207,2,FALSE)&lt;&gt;VLOOKUP(B191,$A$8:$N$190,7,FALSE),"Recipe parent mismatch",IF(COUNTIFS($B$8:$B$207,B191,$D$8:$D$207,D191)&lt;&gt;1,"Duplicate child recipe",IF(OR(NOT(ISNUMBER(J191)),J191&lt;0,MOD(J191,1)&lt;&gt;0),"Set nonnegative whole qty",IF(COUNTIFS('Recipes'!$B$8:$B$207,G191)&lt;&gt;COUNTIFS($B$8:$B$207,A191,$D$8:$D$207,"&lt;&gt;",$A$8:$A$207,"&lt;&gt;"),"Missing / extra recipe children","OK")))),IF(OR(NOT(ISNUMBER(J191)),J191&lt;0,MOD(J191,1)&lt;&gt;0),"Set nonnegative whole qty",IF(COUNTIFS('Recipes'!$B$8:$B$207,G191)&lt;&gt;COUNTIFS($B$8:$B$207,A191,$D$8:$D$207,"&lt;&gt;",$A$8:$A$207,"&lt;&gt;"),"Missing / extra recipe children","OK"))))))))))</x:f>
      </x:c>
    </x:row>
    <x:row r="192" ht="22" customHeight="1">
      <x:c r="A192" s="10"/>
      <x:c r="B192" s="10"/>
      <x:c r="C192" s="10"/>
      <x:c r="D192" s="10"/>
      <x:c r="E192" s="12"/>
      <x:c r="F192" s="10"/>
      <x:c r="G192" s="9" t="str">
        <x:f>IF(A192="","",IF(B192="",C192,IF(COUNTIFS('Recipes'!$A$8:$A$207,D192)=1,VLOOKUP(D192,'Recipes'!$A$8:$F$207,3,FALSE),"")))</x:f>
      </x:c>
      <x:c r="H192" s="9" t="str">
        <x:f>IF(A192="","",IF(COUNTIFS('Definitions'!$A$8:$A$207,G192)=1,REPT("    ",IF(ISNUMBER(M192),M192,0))&amp;VLOOKUP(G192,'Definitions'!$A$8:$J$207,2,FALSE),"Unknown definition"))</x:f>
      </x:c>
      <x:c r="I192" s="11" t="str">
        <x:f>IF(A192="","",IF(B192="",1,IF(COUNTIFS('Recipes'!$A$8:$A$207,D192)=1,VLOOKUP(D192,'Recipes'!$A$8:$F$207,4,FALSE),"")))</x:f>
      </x:c>
      <x:c r="J192" s="11" t="str">
        <x:f>IF(A192="","",IF(ISBLANK(E192),I192,E192))</x:f>
      </x:c>
      <x:c r="K192" s="11" t="str">
        <x:f>IF(A192="","",IF(NOT(ISNUMBER(J192)),"",IF(B192="",J192,IF(COUNTIFS($A$8:$A$191,B192)=1,IF(ISNUMBER(VLOOKUP(B192,$A$8:$N$191,11,FALSE)),J192*VLOOKUP(B192,$A$8:$N$191,11,FALSE),""),""))))</x:f>
      </x:c>
      <x:c r="L192" s="9" t="str">
        <x:f>IF(A192="","",IF(B192="",F192,IF(COUNTIFS($A$8:$A$191,B192)=1,VLOOKUP(B192,$A$8:$N$191,12,FALSE),"")))</x:f>
      </x:c>
      <x:c r="M192" s="11" t="str">
        <x:f>IF(A192="","",IF(B192="",0,IF(COUNTIFS($A$8:$A$191,B192)=1,IF(ISNUMBER(VLOOKUP(B192,$A$8:$N$191,13,FALSE)),VLOOKUP(B192,$A$8:$N$191,13,FALSE)+1,""),"")))</x:f>
      </x:c>
      <x:c r="N192" s="9" t="str">
        <x:f>IF(A192="","",IF(COUNTIFS('Layout'!$A$8:$A$207,A192)&lt;&gt;1,"Duplicate role",IF(AND(B192&lt;&gt;"",COUNTIFS($A$8:$A$191,B192)&lt;&gt;1),"Parent must appear above child",IF(COUNTIFS('Definitions'!$A$8:$A$207,G192)&lt;&gt;1,"Unknown / duplicate definition",IF(AND(B192="",OR(C192="",D192&lt;&gt;"",AND(F192&lt;&gt;"Build",F192&lt;&gt;"Spares"))),"Set root definition and purpose",IF(AND(B192&lt;&gt;"",COUNTIFS('Recipes'!$A$8:$A$207,D192)&lt;&gt;1),"Choose a unique recipe line",IF(AND(B192&lt;&gt;"",OR(C192&lt;&gt;"",F192&lt;&gt;"")),"Clear child root-only inputs",IF(AND(B192&lt;&gt;"",COUNTIFS($A$8:$A$191,B192)=1,COUNTIFS('Recipes'!$A$8:$A$207,D192)=1),IF(VLOOKUP(D192,'Recipes'!$A$8:$F$207,2,FALSE)&lt;&gt;VLOOKUP(B192,$A$8:$N$191,7,FALSE),"Recipe parent mismatch",IF(COUNTIFS($B$8:$B$207,B192,$D$8:$D$207,D192)&lt;&gt;1,"Duplicate child recipe",IF(OR(NOT(ISNUMBER(J192)),J192&lt;0,MOD(J192,1)&lt;&gt;0),"Set nonnegative whole qty",IF(COUNTIFS('Recipes'!$B$8:$B$207,G192)&lt;&gt;COUNTIFS($B$8:$B$207,A192,$D$8:$D$207,"&lt;&gt;",$A$8:$A$207,"&lt;&gt;"),"Missing / extra recipe children","OK")))),IF(OR(NOT(ISNUMBER(J192)),J192&lt;0,MOD(J192,1)&lt;&gt;0),"Set nonnegative whole qty",IF(COUNTIFS('Recipes'!$B$8:$B$207,G192)&lt;&gt;COUNTIFS($B$8:$B$207,A192,$D$8:$D$207,"&lt;&gt;",$A$8:$A$207,"&lt;&gt;"),"Missing / extra recipe children","OK"))))))))))</x:f>
      </x:c>
    </x:row>
    <x:row r="193" ht="22" customHeight="1">
      <x:c r="A193" s="10"/>
      <x:c r="B193" s="10"/>
      <x:c r="C193" s="10"/>
      <x:c r="D193" s="10"/>
      <x:c r="E193" s="12"/>
      <x:c r="F193" s="10"/>
      <x:c r="G193" s="9" t="str">
        <x:f>IF(A193="","",IF(B193="",C193,IF(COUNTIFS('Recipes'!$A$8:$A$207,D193)=1,VLOOKUP(D193,'Recipes'!$A$8:$F$207,3,FALSE),"")))</x:f>
      </x:c>
      <x:c r="H193" s="9" t="str">
        <x:f>IF(A193="","",IF(COUNTIFS('Definitions'!$A$8:$A$207,G193)=1,REPT("    ",IF(ISNUMBER(M193),M193,0))&amp;VLOOKUP(G193,'Definitions'!$A$8:$J$207,2,FALSE),"Unknown definition"))</x:f>
      </x:c>
      <x:c r="I193" s="11" t="str">
        <x:f>IF(A193="","",IF(B193="",1,IF(COUNTIFS('Recipes'!$A$8:$A$207,D193)=1,VLOOKUP(D193,'Recipes'!$A$8:$F$207,4,FALSE),"")))</x:f>
      </x:c>
      <x:c r="J193" s="11" t="str">
        <x:f>IF(A193="","",IF(ISBLANK(E193),I193,E193))</x:f>
      </x:c>
      <x:c r="K193" s="11" t="str">
        <x:f>IF(A193="","",IF(NOT(ISNUMBER(J193)),"",IF(B193="",J193,IF(COUNTIFS($A$8:$A$192,B193)=1,IF(ISNUMBER(VLOOKUP(B193,$A$8:$N$192,11,FALSE)),J193*VLOOKUP(B193,$A$8:$N$192,11,FALSE),""),""))))</x:f>
      </x:c>
      <x:c r="L193" s="9" t="str">
        <x:f>IF(A193="","",IF(B193="",F193,IF(COUNTIFS($A$8:$A$192,B193)=1,VLOOKUP(B193,$A$8:$N$192,12,FALSE),"")))</x:f>
      </x:c>
      <x:c r="M193" s="11" t="str">
        <x:f>IF(A193="","",IF(B193="",0,IF(COUNTIFS($A$8:$A$192,B193)=1,IF(ISNUMBER(VLOOKUP(B193,$A$8:$N$192,13,FALSE)),VLOOKUP(B193,$A$8:$N$192,13,FALSE)+1,""),"")))</x:f>
      </x:c>
      <x:c r="N193" s="9" t="str">
        <x:f>IF(A193="","",IF(COUNTIFS('Layout'!$A$8:$A$207,A193)&lt;&gt;1,"Duplicate role",IF(AND(B193&lt;&gt;"",COUNTIFS($A$8:$A$192,B193)&lt;&gt;1),"Parent must appear above child",IF(COUNTIFS('Definitions'!$A$8:$A$207,G193)&lt;&gt;1,"Unknown / duplicate definition",IF(AND(B193="",OR(C193="",D193&lt;&gt;"",AND(F193&lt;&gt;"Build",F193&lt;&gt;"Spares"))),"Set root definition and purpose",IF(AND(B193&lt;&gt;"",COUNTIFS('Recipes'!$A$8:$A$207,D193)&lt;&gt;1),"Choose a unique recipe line",IF(AND(B193&lt;&gt;"",OR(C193&lt;&gt;"",F193&lt;&gt;"")),"Clear child root-only inputs",IF(AND(B193&lt;&gt;"",COUNTIFS($A$8:$A$192,B193)=1,COUNTIFS('Recipes'!$A$8:$A$207,D193)=1),IF(VLOOKUP(D193,'Recipes'!$A$8:$F$207,2,FALSE)&lt;&gt;VLOOKUP(B193,$A$8:$N$192,7,FALSE),"Recipe parent mismatch",IF(COUNTIFS($B$8:$B$207,B193,$D$8:$D$207,D193)&lt;&gt;1,"Duplicate child recipe",IF(OR(NOT(ISNUMBER(J193)),J193&lt;0,MOD(J193,1)&lt;&gt;0),"Set nonnegative whole qty",IF(COUNTIFS('Recipes'!$B$8:$B$207,G193)&lt;&gt;COUNTIFS($B$8:$B$207,A193,$D$8:$D$207,"&lt;&gt;",$A$8:$A$207,"&lt;&gt;"),"Missing / extra recipe children","OK")))),IF(OR(NOT(ISNUMBER(J193)),J193&lt;0,MOD(J193,1)&lt;&gt;0),"Set nonnegative whole qty",IF(COUNTIFS('Recipes'!$B$8:$B$207,G193)&lt;&gt;COUNTIFS($B$8:$B$207,A193,$D$8:$D$207,"&lt;&gt;",$A$8:$A$207,"&lt;&gt;"),"Missing / extra recipe children","OK"))))))))))</x:f>
      </x:c>
    </x:row>
    <x:row r="194" ht="22" customHeight="1">
      <x:c r="A194" s="10"/>
      <x:c r="B194" s="10"/>
      <x:c r="C194" s="10"/>
      <x:c r="D194" s="10"/>
      <x:c r="E194" s="12"/>
      <x:c r="F194" s="10"/>
      <x:c r="G194" s="9" t="str">
        <x:f>IF(A194="","",IF(B194="",C194,IF(COUNTIFS('Recipes'!$A$8:$A$207,D194)=1,VLOOKUP(D194,'Recipes'!$A$8:$F$207,3,FALSE),"")))</x:f>
      </x:c>
      <x:c r="H194" s="9" t="str">
        <x:f>IF(A194="","",IF(COUNTIFS('Definitions'!$A$8:$A$207,G194)=1,REPT("    ",IF(ISNUMBER(M194),M194,0))&amp;VLOOKUP(G194,'Definitions'!$A$8:$J$207,2,FALSE),"Unknown definition"))</x:f>
      </x:c>
      <x:c r="I194" s="11" t="str">
        <x:f>IF(A194="","",IF(B194="",1,IF(COUNTIFS('Recipes'!$A$8:$A$207,D194)=1,VLOOKUP(D194,'Recipes'!$A$8:$F$207,4,FALSE),"")))</x:f>
      </x:c>
      <x:c r="J194" s="11" t="str">
        <x:f>IF(A194="","",IF(ISBLANK(E194),I194,E194))</x:f>
      </x:c>
      <x:c r="K194" s="11" t="str">
        <x:f>IF(A194="","",IF(NOT(ISNUMBER(J194)),"",IF(B194="",J194,IF(COUNTIFS($A$8:$A$193,B194)=1,IF(ISNUMBER(VLOOKUP(B194,$A$8:$N$193,11,FALSE)),J194*VLOOKUP(B194,$A$8:$N$193,11,FALSE),""),""))))</x:f>
      </x:c>
      <x:c r="L194" s="9" t="str">
        <x:f>IF(A194="","",IF(B194="",F194,IF(COUNTIFS($A$8:$A$193,B194)=1,VLOOKUP(B194,$A$8:$N$193,12,FALSE),"")))</x:f>
      </x:c>
      <x:c r="M194" s="11" t="str">
        <x:f>IF(A194="","",IF(B194="",0,IF(COUNTIFS($A$8:$A$193,B194)=1,IF(ISNUMBER(VLOOKUP(B194,$A$8:$N$193,13,FALSE)),VLOOKUP(B194,$A$8:$N$193,13,FALSE)+1,""),"")))</x:f>
      </x:c>
      <x:c r="N194" s="9" t="str">
        <x:f>IF(A194="","",IF(COUNTIFS('Layout'!$A$8:$A$207,A194)&lt;&gt;1,"Duplicate role",IF(AND(B194&lt;&gt;"",COUNTIFS($A$8:$A$193,B194)&lt;&gt;1),"Parent must appear above child",IF(COUNTIFS('Definitions'!$A$8:$A$207,G194)&lt;&gt;1,"Unknown / duplicate definition",IF(AND(B194="",OR(C194="",D194&lt;&gt;"",AND(F194&lt;&gt;"Build",F194&lt;&gt;"Spares"))),"Set root definition and purpose",IF(AND(B194&lt;&gt;"",COUNTIFS('Recipes'!$A$8:$A$207,D194)&lt;&gt;1),"Choose a unique recipe line",IF(AND(B194&lt;&gt;"",OR(C194&lt;&gt;"",F194&lt;&gt;"")),"Clear child root-only inputs",IF(AND(B194&lt;&gt;"",COUNTIFS($A$8:$A$193,B194)=1,COUNTIFS('Recipes'!$A$8:$A$207,D194)=1),IF(VLOOKUP(D194,'Recipes'!$A$8:$F$207,2,FALSE)&lt;&gt;VLOOKUP(B194,$A$8:$N$193,7,FALSE),"Recipe parent mismatch",IF(COUNTIFS($B$8:$B$207,B194,$D$8:$D$207,D194)&lt;&gt;1,"Duplicate child recipe",IF(OR(NOT(ISNUMBER(J194)),J194&lt;0,MOD(J194,1)&lt;&gt;0),"Set nonnegative whole qty",IF(COUNTIFS('Recipes'!$B$8:$B$207,G194)&lt;&gt;COUNTIFS($B$8:$B$207,A194,$D$8:$D$207,"&lt;&gt;",$A$8:$A$207,"&lt;&gt;"),"Missing / extra recipe children","OK")))),IF(OR(NOT(ISNUMBER(J194)),J194&lt;0,MOD(J194,1)&lt;&gt;0),"Set nonnegative whole qty",IF(COUNTIFS('Recipes'!$B$8:$B$207,G194)&lt;&gt;COUNTIFS($B$8:$B$207,A194,$D$8:$D$207,"&lt;&gt;",$A$8:$A$207,"&lt;&gt;"),"Missing / extra recipe children","OK"))))))))))</x:f>
      </x:c>
    </x:row>
    <x:row r="195" ht="22" customHeight="1">
      <x:c r="A195" s="10"/>
      <x:c r="B195" s="10"/>
      <x:c r="C195" s="10"/>
      <x:c r="D195" s="10"/>
      <x:c r="E195" s="12"/>
      <x:c r="F195" s="10"/>
      <x:c r="G195" s="9" t="str">
        <x:f>IF(A195="","",IF(B195="",C195,IF(COUNTIFS('Recipes'!$A$8:$A$207,D195)=1,VLOOKUP(D195,'Recipes'!$A$8:$F$207,3,FALSE),"")))</x:f>
      </x:c>
      <x:c r="H195" s="9" t="str">
        <x:f>IF(A195="","",IF(COUNTIFS('Definitions'!$A$8:$A$207,G195)=1,REPT("    ",IF(ISNUMBER(M195),M195,0))&amp;VLOOKUP(G195,'Definitions'!$A$8:$J$207,2,FALSE),"Unknown definition"))</x:f>
      </x:c>
      <x:c r="I195" s="11" t="str">
        <x:f>IF(A195="","",IF(B195="",1,IF(COUNTIFS('Recipes'!$A$8:$A$207,D195)=1,VLOOKUP(D195,'Recipes'!$A$8:$F$207,4,FALSE),"")))</x:f>
      </x:c>
      <x:c r="J195" s="11" t="str">
        <x:f>IF(A195="","",IF(ISBLANK(E195),I195,E195))</x:f>
      </x:c>
      <x:c r="K195" s="11" t="str">
        <x:f>IF(A195="","",IF(NOT(ISNUMBER(J195)),"",IF(B195="",J195,IF(COUNTIFS($A$8:$A$194,B195)=1,IF(ISNUMBER(VLOOKUP(B195,$A$8:$N$194,11,FALSE)),J195*VLOOKUP(B195,$A$8:$N$194,11,FALSE),""),""))))</x:f>
      </x:c>
      <x:c r="L195" s="9" t="str">
        <x:f>IF(A195="","",IF(B195="",F195,IF(COUNTIFS($A$8:$A$194,B195)=1,VLOOKUP(B195,$A$8:$N$194,12,FALSE),"")))</x:f>
      </x:c>
      <x:c r="M195" s="11" t="str">
        <x:f>IF(A195="","",IF(B195="",0,IF(COUNTIFS($A$8:$A$194,B195)=1,IF(ISNUMBER(VLOOKUP(B195,$A$8:$N$194,13,FALSE)),VLOOKUP(B195,$A$8:$N$194,13,FALSE)+1,""),"")))</x:f>
      </x:c>
      <x:c r="N195" s="9" t="str">
        <x:f>IF(A195="","",IF(COUNTIFS('Layout'!$A$8:$A$207,A195)&lt;&gt;1,"Duplicate role",IF(AND(B195&lt;&gt;"",COUNTIFS($A$8:$A$194,B195)&lt;&gt;1),"Parent must appear above child",IF(COUNTIFS('Definitions'!$A$8:$A$207,G195)&lt;&gt;1,"Unknown / duplicate definition",IF(AND(B195="",OR(C195="",D195&lt;&gt;"",AND(F195&lt;&gt;"Build",F195&lt;&gt;"Spares"))),"Set root definition and purpose",IF(AND(B195&lt;&gt;"",COUNTIFS('Recipes'!$A$8:$A$207,D195)&lt;&gt;1),"Choose a unique recipe line",IF(AND(B195&lt;&gt;"",OR(C195&lt;&gt;"",F195&lt;&gt;"")),"Clear child root-only inputs",IF(AND(B195&lt;&gt;"",COUNTIFS($A$8:$A$194,B195)=1,COUNTIFS('Recipes'!$A$8:$A$207,D195)=1),IF(VLOOKUP(D195,'Recipes'!$A$8:$F$207,2,FALSE)&lt;&gt;VLOOKUP(B195,$A$8:$N$194,7,FALSE),"Recipe parent mismatch",IF(COUNTIFS($B$8:$B$207,B195,$D$8:$D$207,D195)&lt;&gt;1,"Duplicate child recipe",IF(OR(NOT(ISNUMBER(J195)),J195&lt;0,MOD(J195,1)&lt;&gt;0),"Set nonnegative whole qty",IF(COUNTIFS('Recipes'!$B$8:$B$207,G195)&lt;&gt;COUNTIFS($B$8:$B$207,A195,$D$8:$D$207,"&lt;&gt;",$A$8:$A$207,"&lt;&gt;"),"Missing / extra recipe children","OK")))),IF(OR(NOT(ISNUMBER(J195)),J195&lt;0,MOD(J195,1)&lt;&gt;0),"Set nonnegative whole qty",IF(COUNTIFS('Recipes'!$B$8:$B$207,G195)&lt;&gt;COUNTIFS($B$8:$B$207,A195,$D$8:$D$207,"&lt;&gt;",$A$8:$A$207,"&lt;&gt;"),"Missing / extra recipe children","OK"))))))))))</x:f>
      </x:c>
    </x:row>
    <x:row r="196" ht="22" customHeight="1">
      <x:c r="A196" s="10"/>
      <x:c r="B196" s="10"/>
      <x:c r="C196" s="10"/>
      <x:c r="D196" s="10"/>
      <x:c r="E196" s="12"/>
      <x:c r="F196" s="10"/>
      <x:c r="G196" s="9" t="str">
        <x:f>IF(A196="","",IF(B196="",C196,IF(COUNTIFS('Recipes'!$A$8:$A$207,D196)=1,VLOOKUP(D196,'Recipes'!$A$8:$F$207,3,FALSE),"")))</x:f>
      </x:c>
      <x:c r="H196" s="9" t="str">
        <x:f>IF(A196="","",IF(COUNTIFS('Definitions'!$A$8:$A$207,G196)=1,REPT("    ",IF(ISNUMBER(M196),M196,0))&amp;VLOOKUP(G196,'Definitions'!$A$8:$J$207,2,FALSE),"Unknown definition"))</x:f>
      </x:c>
      <x:c r="I196" s="11" t="str">
        <x:f>IF(A196="","",IF(B196="",1,IF(COUNTIFS('Recipes'!$A$8:$A$207,D196)=1,VLOOKUP(D196,'Recipes'!$A$8:$F$207,4,FALSE),"")))</x:f>
      </x:c>
      <x:c r="J196" s="11" t="str">
        <x:f>IF(A196="","",IF(ISBLANK(E196),I196,E196))</x:f>
      </x:c>
      <x:c r="K196" s="11" t="str">
        <x:f>IF(A196="","",IF(NOT(ISNUMBER(J196)),"",IF(B196="",J196,IF(COUNTIFS($A$8:$A$195,B196)=1,IF(ISNUMBER(VLOOKUP(B196,$A$8:$N$195,11,FALSE)),J196*VLOOKUP(B196,$A$8:$N$195,11,FALSE),""),""))))</x:f>
      </x:c>
      <x:c r="L196" s="9" t="str">
        <x:f>IF(A196="","",IF(B196="",F196,IF(COUNTIFS($A$8:$A$195,B196)=1,VLOOKUP(B196,$A$8:$N$195,12,FALSE),"")))</x:f>
      </x:c>
      <x:c r="M196" s="11" t="str">
        <x:f>IF(A196="","",IF(B196="",0,IF(COUNTIFS($A$8:$A$195,B196)=1,IF(ISNUMBER(VLOOKUP(B196,$A$8:$N$195,13,FALSE)),VLOOKUP(B196,$A$8:$N$195,13,FALSE)+1,""),"")))</x:f>
      </x:c>
      <x:c r="N196" s="9" t="str">
        <x:f>IF(A196="","",IF(COUNTIFS('Layout'!$A$8:$A$207,A196)&lt;&gt;1,"Duplicate role",IF(AND(B196&lt;&gt;"",COUNTIFS($A$8:$A$195,B196)&lt;&gt;1),"Parent must appear above child",IF(COUNTIFS('Definitions'!$A$8:$A$207,G196)&lt;&gt;1,"Unknown / duplicate definition",IF(AND(B196="",OR(C196="",D196&lt;&gt;"",AND(F196&lt;&gt;"Build",F196&lt;&gt;"Spares"))),"Set root definition and purpose",IF(AND(B196&lt;&gt;"",COUNTIFS('Recipes'!$A$8:$A$207,D196)&lt;&gt;1),"Choose a unique recipe line",IF(AND(B196&lt;&gt;"",OR(C196&lt;&gt;"",F196&lt;&gt;"")),"Clear child root-only inputs",IF(AND(B196&lt;&gt;"",COUNTIFS($A$8:$A$195,B196)=1,COUNTIFS('Recipes'!$A$8:$A$207,D196)=1),IF(VLOOKUP(D196,'Recipes'!$A$8:$F$207,2,FALSE)&lt;&gt;VLOOKUP(B196,$A$8:$N$195,7,FALSE),"Recipe parent mismatch",IF(COUNTIFS($B$8:$B$207,B196,$D$8:$D$207,D196)&lt;&gt;1,"Duplicate child recipe",IF(OR(NOT(ISNUMBER(J196)),J196&lt;0,MOD(J196,1)&lt;&gt;0),"Set nonnegative whole qty",IF(COUNTIFS('Recipes'!$B$8:$B$207,G196)&lt;&gt;COUNTIFS($B$8:$B$207,A196,$D$8:$D$207,"&lt;&gt;",$A$8:$A$207,"&lt;&gt;"),"Missing / extra recipe children","OK")))),IF(OR(NOT(ISNUMBER(J196)),J196&lt;0,MOD(J196,1)&lt;&gt;0),"Set nonnegative whole qty",IF(COUNTIFS('Recipes'!$B$8:$B$207,G196)&lt;&gt;COUNTIFS($B$8:$B$207,A196,$D$8:$D$207,"&lt;&gt;",$A$8:$A$207,"&lt;&gt;"),"Missing / extra recipe children","OK"))))))))))</x:f>
      </x:c>
    </x:row>
    <x:row r="197" ht="22" customHeight="1">
      <x:c r="A197" s="10"/>
      <x:c r="B197" s="10"/>
      <x:c r="C197" s="10"/>
      <x:c r="D197" s="10"/>
      <x:c r="E197" s="12"/>
      <x:c r="F197" s="10"/>
      <x:c r="G197" s="9" t="str">
        <x:f>IF(A197="","",IF(B197="",C197,IF(COUNTIFS('Recipes'!$A$8:$A$207,D197)=1,VLOOKUP(D197,'Recipes'!$A$8:$F$207,3,FALSE),"")))</x:f>
      </x:c>
      <x:c r="H197" s="9" t="str">
        <x:f>IF(A197="","",IF(COUNTIFS('Definitions'!$A$8:$A$207,G197)=1,REPT("    ",IF(ISNUMBER(M197),M197,0))&amp;VLOOKUP(G197,'Definitions'!$A$8:$J$207,2,FALSE),"Unknown definition"))</x:f>
      </x:c>
      <x:c r="I197" s="11" t="str">
        <x:f>IF(A197="","",IF(B197="",1,IF(COUNTIFS('Recipes'!$A$8:$A$207,D197)=1,VLOOKUP(D197,'Recipes'!$A$8:$F$207,4,FALSE),"")))</x:f>
      </x:c>
      <x:c r="J197" s="11" t="str">
        <x:f>IF(A197="","",IF(ISBLANK(E197),I197,E197))</x:f>
      </x:c>
      <x:c r="K197" s="11" t="str">
        <x:f>IF(A197="","",IF(NOT(ISNUMBER(J197)),"",IF(B197="",J197,IF(COUNTIFS($A$8:$A$196,B197)=1,IF(ISNUMBER(VLOOKUP(B197,$A$8:$N$196,11,FALSE)),J197*VLOOKUP(B197,$A$8:$N$196,11,FALSE),""),""))))</x:f>
      </x:c>
      <x:c r="L197" s="9" t="str">
        <x:f>IF(A197="","",IF(B197="",F197,IF(COUNTIFS($A$8:$A$196,B197)=1,VLOOKUP(B197,$A$8:$N$196,12,FALSE),"")))</x:f>
      </x:c>
      <x:c r="M197" s="11" t="str">
        <x:f>IF(A197="","",IF(B197="",0,IF(COUNTIFS($A$8:$A$196,B197)=1,IF(ISNUMBER(VLOOKUP(B197,$A$8:$N$196,13,FALSE)),VLOOKUP(B197,$A$8:$N$196,13,FALSE)+1,""),"")))</x:f>
      </x:c>
      <x:c r="N197" s="9" t="str">
        <x:f>IF(A197="","",IF(COUNTIFS('Layout'!$A$8:$A$207,A197)&lt;&gt;1,"Duplicate role",IF(AND(B197&lt;&gt;"",COUNTIFS($A$8:$A$196,B197)&lt;&gt;1),"Parent must appear above child",IF(COUNTIFS('Definitions'!$A$8:$A$207,G197)&lt;&gt;1,"Unknown / duplicate definition",IF(AND(B197="",OR(C197="",D197&lt;&gt;"",AND(F197&lt;&gt;"Build",F197&lt;&gt;"Spares"))),"Set root definition and purpose",IF(AND(B197&lt;&gt;"",COUNTIFS('Recipes'!$A$8:$A$207,D197)&lt;&gt;1),"Choose a unique recipe line",IF(AND(B197&lt;&gt;"",OR(C197&lt;&gt;"",F197&lt;&gt;"")),"Clear child root-only inputs",IF(AND(B197&lt;&gt;"",COUNTIFS($A$8:$A$196,B197)=1,COUNTIFS('Recipes'!$A$8:$A$207,D197)=1),IF(VLOOKUP(D197,'Recipes'!$A$8:$F$207,2,FALSE)&lt;&gt;VLOOKUP(B197,$A$8:$N$196,7,FALSE),"Recipe parent mismatch",IF(COUNTIFS($B$8:$B$207,B197,$D$8:$D$207,D197)&lt;&gt;1,"Duplicate child recipe",IF(OR(NOT(ISNUMBER(J197)),J197&lt;0,MOD(J197,1)&lt;&gt;0),"Set nonnegative whole qty",IF(COUNTIFS('Recipes'!$B$8:$B$207,G197)&lt;&gt;COUNTIFS($B$8:$B$207,A197,$D$8:$D$207,"&lt;&gt;",$A$8:$A$207,"&lt;&gt;"),"Missing / extra recipe children","OK")))),IF(OR(NOT(ISNUMBER(J197)),J197&lt;0,MOD(J197,1)&lt;&gt;0),"Set nonnegative whole qty",IF(COUNTIFS('Recipes'!$B$8:$B$207,G197)&lt;&gt;COUNTIFS($B$8:$B$207,A197,$D$8:$D$207,"&lt;&gt;",$A$8:$A$207,"&lt;&gt;"),"Missing / extra recipe children","OK"))))))))))</x:f>
      </x:c>
    </x:row>
    <x:row r="198" ht="22" customHeight="1">
      <x:c r="A198" s="10"/>
      <x:c r="B198" s="10"/>
      <x:c r="C198" s="10"/>
      <x:c r="D198" s="10"/>
      <x:c r="E198" s="12"/>
      <x:c r="F198" s="10"/>
      <x:c r="G198" s="9" t="str">
        <x:f>IF(A198="","",IF(B198="",C198,IF(COUNTIFS('Recipes'!$A$8:$A$207,D198)=1,VLOOKUP(D198,'Recipes'!$A$8:$F$207,3,FALSE),"")))</x:f>
      </x:c>
      <x:c r="H198" s="9" t="str">
        <x:f>IF(A198="","",IF(COUNTIFS('Definitions'!$A$8:$A$207,G198)=1,REPT("    ",IF(ISNUMBER(M198),M198,0))&amp;VLOOKUP(G198,'Definitions'!$A$8:$J$207,2,FALSE),"Unknown definition"))</x:f>
      </x:c>
      <x:c r="I198" s="11" t="str">
        <x:f>IF(A198="","",IF(B198="",1,IF(COUNTIFS('Recipes'!$A$8:$A$207,D198)=1,VLOOKUP(D198,'Recipes'!$A$8:$F$207,4,FALSE),"")))</x:f>
      </x:c>
      <x:c r="J198" s="11" t="str">
        <x:f>IF(A198="","",IF(ISBLANK(E198),I198,E198))</x:f>
      </x:c>
      <x:c r="K198" s="11" t="str">
        <x:f>IF(A198="","",IF(NOT(ISNUMBER(J198)),"",IF(B198="",J198,IF(COUNTIFS($A$8:$A$197,B198)=1,IF(ISNUMBER(VLOOKUP(B198,$A$8:$N$197,11,FALSE)),J198*VLOOKUP(B198,$A$8:$N$197,11,FALSE),""),""))))</x:f>
      </x:c>
      <x:c r="L198" s="9" t="str">
        <x:f>IF(A198="","",IF(B198="",F198,IF(COUNTIFS($A$8:$A$197,B198)=1,VLOOKUP(B198,$A$8:$N$197,12,FALSE),"")))</x:f>
      </x:c>
      <x:c r="M198" s="11" t="str">
        <x:f>IF(A198="","",IF(B198="",0,IF(COUNTIFS($A$8:$A$197,B198)=1,IF(ISNUMBER(VLOOKUP(B198,$A$8:$N$197,13,FALSE)),VLOOKUP(B198,$A$8:$N$197,13,FALSE)+1,""),"")))</x:f>
      </x:c>
      <x:c r="N198" s="9" t="str">
        <x:f>IF(A198="","",IF(COUNTIFS('Layout'!$A$8:$A$207,A198)&lt;&gt;1,"Duplicate role",IF(AND(B198&lt;&gt;"",COUNTIFS($A$8:$A$197,B198)&lt;&gt;1),"Parent must appear above child",IF(COUNTIFS('Definitions'!$A$8:$A$207,G198)&lt;&gt;1,"Unknown / duplicate definition",IF(AND(B198="",OR(C198="",D198&lt;&gt;"",AND(F198&lt;&gt;"Build",F198&lt;&gt;"Spares"))),"Set root definition and purpose",IF(AND(B198&lt;&gt;"",COUNTIFS('Recipes'!$A$8:$A$207,D198)&lt;&gt;1),"Choose a unique recipe line",IF(AND(B198&lt;&gt;"",OR(C198&lt;&gt;"",F198&lt;&gt;"")),"Clear child root-only inputs",IF(AND(B198&lt;&gt;"",COUNTIFS($A$8:$A$197,B198)=1,COUNTIFS('Recipes'!$A$8:$A$207,D198)=1),IF(VLOOKUP(D198,'Recipes'!$A$8:$F$207,2,FALSE)&lt;&gt;VLOOKUP(B198,$A$8:$N$197,7,FALSE),"Recipe parent mismatch",IF(COUNTIFS($B$8:$B$207,B198,$D$8:$D$207,D198)&lt;&gt;1,"Duplicate child recipe",IF(OR(NOT(ISNUMBER(J198)),J198&lt;0,MOD(J198,1)&lt;&gt;0),"Set nonnegative whole qty",IF(COUNTIFS('Recipes'!$B$8:$B$207,G198)&lt;&gt;COUNTIFS($B$8:$B$207,A198,$D$8:$D$207,"&lt;&gt;",$A$8:$A$207,"&lt;&gt;"),"Missing / extra recipe children","OK")))),IF(OR(NOT(ISNUMBER(J198)),J198&lt;0,MOD(J198,1)&lt;&gt;0),"Set nonnegative whole qty",IF(COUNTIFS('Recipes'!$B$8:$B$207,G198)&lt;&gt;COUNTIFS($B$8:$B$207,A198,$D$8:$D$207,"&lt;&gt;",$A$8:$A$207,"&lt;&gt;"),"Missing / extra recipe children","OK"))))))))))</x:f>
      </x:c>
    </x:row>
    <x:row r="199" ht="22" customHeight="1">
      <x:c r="A199" s="10"/>
      <x:c r="B199" s="10"/>
      <x:c r="C199" s="10"/>
      <x:c r="D199" s="10"/>
      <x:c r="E199" s="12"/>
      <x:c r="F199" s="10"/>
      <x:c r="G199" s="9" t="str">
        <x:f>IF(A199="","",IF(B199="",C199,IF(COUNTIFS('Recipes'!$A$8:$A$207,D199)=1,VLOOKUP(D199,'Recipes'!$A$8:$F$207,3,FALSE),"")))</x:f>
      </x:c>
      <x:c r="H199" s="9" t="str">
        <x:f>IF(A199="","",IF(COUNTIFS('Definitions'!$A$8:$A$207,G199)=1,REPT("    ",IF(ISNUMBER(M199),M199,0))&amp;VLOOKUP(G199,'Definitions'!$A$8:$J$207,2,FALSE),"Unknown definition"))</x:f>
      </x:c>
      <x:c r="I199" s="11" t="str">
        <x:f>IF(A199="","",IF(B199="",1,IF(COUNTIFS('Recipes'!$A$8:$A$207,D199)=1,VLOOKUP(D199,'Recipes'!$A$8:$F$207,4,FALSE),"")))</x:f>
      </x:c>
      <x:c r="J199" s="11" t="str">
        <x:f>IF(A199="","",IF(ISBLANK(E199),I199,E199))</x:f>
      </x:c>
      <x:c r="K199" s="11" t="str">
        <x:f>IF(A199="","",IF(NOT(ISNUMBER(J199)),"",IF(B199="",J199,IF(COUNTIFS($A$8:$A$198,B199)=1,IF(ISNUMBER(VLOOKUP(B199,$A$8:$N$198,11,FALSE)),J199*VLOOKUP(B199,$A$8:$N$198,11,FALSE),""),""))))</x:f>
      </x:c>
      <x:c r="L199" s="9" t="str">
        <x:f>IF(A199="","",IF(B199="",F199,IF(COUNTIFS($A$8:$A$198,B199)=1,VLOOKUP(B199,$A$8:$N$198,12,FALSE),"")))</x:f>
      </x:c>
      <x:c r="M199" s="11" t="str">
        <x:f>IF(A199="","",IF(B199="",0,IF(COUNTIFS($A$8:$A$198,B199)=1,IF(ISNUMBER(VLOOKUP(B199,$A$8:$N$198,13,FALSE)),VLOOKUP(B199,$A$8:$N$198,13,FALSE)+1,""),"")))</x:f>
      </x:c>
      <x:c r="N199" s="9" t="str">
        <x:f>IF(A199="","",IF(COUNTIFS('Layout'!$A$8:$A$207,A199)&lt;&gt;1,"Duplicate role",IF(AND(B199&lt;&gt;"",COUNTIFS($A$8:$A$198,B199)&lt;&gt;1),"Parent must appear above child",IF(COUNTIFS('Definitions'!$A$8:$A$207,G199)&lt;&gt;1,"Unknown / duplicate definition",IF(AND(B199="",OR(C199="",D199&lt;&gt;"",AND(F199&lt;&gt;"Build",F199&lt;&gt;"Spares"))),"Set root definition and purpose",IF(AND(B199&lt;&gt;"",COUNTIFS('Recipes'!$A$8:$A$207,D199)&lt;&gt;1),"Choose a unique recipe line",IF(AND(B199&lt;&gt;"",OR(C199&lt;&gt;"",F199&lt;&gt;"")),"Clear child root-only inputs",IF(AND(B199&lt;&gt;"",COUNTIFS($A$8:$A$198,B199)=1,COUNTIFS('Recipes'!$A$8:$A$207,D199)=1),IF(VLOOKUP(D199,'Recipes'!$A$8:$F$207,2,FALSE)&lt;&gt;VLOOKUP(B199,$A$8:$N$198,7,FALSE),"Recipe parent mismatch",IF(COUNTIFS($B$8:$B$207,B199,$D$8:$D$207,D199)&lt;&gt;1,"Duplicate child recipe",IF(OR(NOT(ISNUMBER(J199)),J199&lt;0,MOD(J199,1)&lt;&gt;0),"Set nonnegative whole qty",IF(COUNTIFS('Recipes'!$B$8:$B$207,G199)&lt;&gt;COUNTIFS($B$8:$B$207,A199,$D$8:$D$207,"&lt;&gt;",$A$8:$A$207,"&lt;&gt;"),"Missing / extra recipe children","OK")))),IF(OR(NOT(ISNUMBER(J199)),J199&lt;0,MOD(J199,1)&lt;&gt;0),"Set nonnegative whole qty",IF(COUNTIFS('Recipes'!$B$8:$B$207,G199)&lt;&gt;COUNTIFS($B$8:$B$207,A199,$D$8:$D$207,"&lt;&gt;",$A$8:$A$207,"&lt;&gt;"),"Missing / extra recipe children","OK"))))))))))</x:f>
      </x:c>
    </x:row>
    <x:row r="200" ht="22" customHeight="1">
      <x:c r="A200" s="10"/>
      <x:c r="B200" s="10"/>
      <x:c r="C200" s="10"/>
      <x:c r="D200" s="10"/>
      <x:c r="E200" s="12"/>
      <x:c r="F200" s="10"/>
      <x:c r="G200" s="9" t="str">
        <x:f>IF(A200="","",IF(B200="",C200,IF(COUNTIFS('Recipes'!$A$8:$A$207,D200)=1,VLOOKUP(D200,'Recipes'!$A$8:$F$207,3,FALSE),"")))</x:f>
      </x:c>
      <x:c r="H200" s="9" t="str">
        <x:f>IF(A200="","",IF(COUNTIFS('Definitions'!$A$8:$A$207,G200)=1,REPT("    ",IF(ISNUMBER(M200),M200,0))&amp;VLOOKUP(G200,'Definitions'!$A$8:$J$207,2,FALSE),"Unknown definition"))</x:f>
      </x:c>
      <x:c r="I200" s="11" t="str">
        <x:f>IF(A200="","",IF(B200="",1,IF(COUNTIFS('Recipes'!$A$8:$A$207,D200)=1,VLOOKUP(D200,'Recipes'!$A$8:$F$207,4,FALSE),"")))</x:f>
      </x:c>
      <x:c r="J200" s="11" t="str">
        <x:f>IF(A200="","",IF(ISBLANK(E200),I200,E200))</x:f>
      </x:c>
      <x:c r="K200" s="11" t="str">
        <x:f>IF(A200="","",IF(NOT(ISNUMBER(J200)),"",IF(B200="",J200,IF(COUNTIFS($A$8:$A$199,B200)=1,IF(ISNUMBER(VLOOKUP(B200,$A$8:$N$199,11,FALSE)),J200*VLOOKUP(B200,$A$8:$N$199,11,FALSE),""),""))))</x:f>
      </x:c>
      <x:c r="L200" s="9" t="str">
        <x:f>IF(A200="","",IF(B200="",F200,IF(COUNTIFS($A$8:$A$199,B200)=1,VLOOKUP(B200,$A$8:$N$199,12,FALSE),"")))</x:f>
      </x:c>
      <x:c r="M200" s="11" t="str">
        <x:f>IF(A200="","",IF(B200="",0,IF(COUNTIFS($A$8:$A$199,B200)=1,IF(ISNUMBER(VLOOKUP(B200,$A$8:$N$199,13,FALSE)),VLOOKUP(B200,$A$8:$N$199,13,FALSE)+1,""),"")))</x:f>
      </x:c>
      <x:c r="N200" s="9" t="str">
        <x:f>IF(A200="","",IF(COUNTIFS('Layout'!$A$8:$A$207,A200)&lt;&gt;1,"Duplicate role",IF(AND(B200&lt;&gt;"",COUNTIFS($A$8:$A$199,B200)&lt;&gt;1),"Parent must appear above child",IF(COUNTIFS('Definitions'!$A$8:$A$207,G200)&lt;&gt;1,"Unknown / duplicate definition",IF(AND(B200="",OR(C200="",D200&lt;&gt;"",AND(F200&lt;&gt;"Build",F200&lt;&gt;"Spares"))),"Set root definition and purpose",IF(AND(B200&lt;&gt;"",COUNTIFS('Recipes'!$A$8:$A$207,D200)&lt;&gt;1),"Choose a unique recipe line",IF(AND(B200&lt;&gt;"",OR(C200&lt;&gt;"",F200&lt;&gt;"")),"Clear child root-only inputs",IF(AND(B200&lt;&gt;"",COUNTIFS($A$8:$A$199,B200)=1,COUNTIFS('Recipes'!$A$8:$A$207,D200)=1),IF(VLOOKUP(D200,'Recipes'!$A$8:$F$207,2,FALSE)&lt;&gt;VLOOKUP(B200,$A$8:$N$199,7,FALSE),"Recipe parent mismatch",IF(COUNTIFS($B$8:$B$207,B200,$D$8:$D$207,D200)&lt;&gt;1,"Duplicate child recipe",IF(OR(NOT(ISNUMBER(J200)),J200&lt;0,MOD(J200,1)&lt;&gt;0),"Set nonnegative whole qty",IF(COUNTIFS('Recipes'!$B$8:$B$207,G200)&lt;&gt;COUNTIFS($B$8:$B$207,A200,$D$8:$D$207,"&lt;&gt;",$A$8:$A$207,"&lt;&gt;"),"Missing / extra recipe children","OK")))),IF(OR(NOT(ISNUMBER(J200)),J200&lt;0,MOD(J200,1)&lt;&gt;0),"Set nonnegative whole qty",IF(COUNTIFS('Recipes'!$B$8:$B$207,G200)&lt;&gt;COUNTIFS($B$8:$B$207,A200,$D$8:$D$207,"&lt;&gt;",$A$8:$A$207,"&lt;&gt;"),"Missing / extra recipe children","OK"))))))))))</x:f>
      </x:c>
    </x:row>
    <x:row r="201" ht="22" customHeight="1">
      <x:c r="A201" s="10"/>
      <x:c r="B201" s="10"/>
      <x:c r="C201" s="10"/>
      <x:c r="D201" s="10"/>
      <x:c r="E201" s="12"/>
      <x:c r="F201" s="10"/>
      <x:c r="G201" s="9" t="str">
        <x:f>IF(A201="","",IF(B201="",C201,IF(COUNTIFS('Recipes'!$A$8:$A$207,D201)=1,VLOOKUP(D201,'Recipes'!$A$8:$F$207,3,FALSE),"")))</x:f>
      </x:c>
      <x:c r="H201" s="9" t="str">
        <x:f>IF(A201="","",IF(COUNTIFS('Definitions'!$A$8:$A$207,G201)=1,REPT("    ",IF(ISNUMBER(M201),M201,0))&amp;VLOOKUP(G201,'Definitions'!$A$8:$J$207,2,FALSE),"Unknown definition"))</x:f>
      </x:c>
      <x:c r="I201" s="11" t="str">
        <x:f>IF(A201="","",IF(B201="",1,IF(COUNTIFS('Recipes'!$A$8:$A$207,D201)=1,VLOOKUP(D201,'Recipes'!$A$8:$F$207,4,FALSE),"")))</x:f>
      </x:c>
      <x:c r="J201" s="11" t="str">
        <x:f>IF(A201="","",IF(ISBLANK(E201),I201,E201))</x:f>
      </x:c>
      <x:c r="K201" s="11" t="str">
        <x:f>IF(A201="","",IF(NOT(ISNUMBER(J201)),"",IF(B201="",J201,IF(COUNTIFS($A$8:$A$200,B201)=1,IF(ISNUMBER(VLOOKUP(B201,$A$8:$N$200,11,FALSE)),J201*VLOOKUP(B201,$A$8:$N$200,11,FALSE),""),""))))</x:f>
      </x:c>
      <x:c r="L201" s="9" t="str">
        <x:f>IF(A201="","",IF(B201="",F201,IF(COUNTIFS($A$8:$A$200,B201)=1,VLOOKUP(B201,$A$8:$N$200,12,FALSE),"")))</x:f>
      </x:c>
      <x:c r="M201" s="11" t="str">
        <x:f>IF(A201="","",IF(B201="",0,IF(COUNTIFS($A$8:$A$200,B201)=1,IF(ISNUMBER(VLOOKUP(B201,$A$8:$N$200,13,FALSE)),VLOOKUP(B201,$A$8:$N$200,13,FALSE)+1,""),"")))</x:f>
      </x:c>
      <x:c r="N201" s="9" t="str">
        <x:f>IF(A201="","",IF(COUNTIFS('Layout'!$A$8:$A$207,A201)&lt;&gt;1,"Duplicate role",IF(AND(B201&lt;&gt;"",COUNTIFS($A$8:$A$200,B201)&lt;&gt;1),"Parent must appear above child",IF(COUNTIFS('Definitions'!$A$8:$A$207,G201)&lt;&gt;1,"Unknown / duplicate definition",IF(AND(B201="",OR(C201="",D201&lt;&gt;"",AND(F201&lt;&gt;"Build",F201&lt;&gt;"Spares"))),"Set root definition and purpose",IF(AND(B201&lt;&gt;"",COUNTIFS('Recipes'!$A$8:$A$207,D201)&lt;&gt;1),"Choose a unique recipe line",IF(AND(B201&lt;&gt;"",OR(C201&lt;&gt;"",F201&lt;&gt;"")),"Clear child root-only inputs",IF(AND(B201&lt;&gt;"",COUNTIFS($A$8:$A$200,B201)=1,COUNTIFS('Recipes'!$A$8:$A$207,D201)=1),IF(VLOOKUP(D201,'Recipes'!$A$8:$F$207,2,FALSE)&lt;&gt;VLOOKUP(B201,$A$8:$N$200,7,FALSE),"Recipe parent mismatch",IF(COUNTIFS($B$8:$B$207,B201,$D$8:$D$207,D201)&lt;&gt;1,"Duplicate child recipe",IF(OR(NOT(ISNUMBER(J201)),J201&lt;0,MOD(J201,1)&lt;&gt;0),"Set nonnegative whole qty",IF(COUNTIFS('Recipes'!$B$8:$B$207,G201)&lt;&gt;COUNTIFS($B$8:$B$207,A201,$D$8:$D$207,"&lt;&gt;",$A$8:$A$207,"&lt;&gt;"),"Missing / extra recipe children","OK")))),IF(OR(NOT(ISNUMBER(J201)),J201&lt;0,MOD(J201,1)&lt;&gt;0),"Set nonnegative whole qty",IF(COUNTIFS('Recipes'!$B$8:$B$207,G201)&lt;&gt;COUNTIFS($B$8:$B$207,A201,$D$8:$D$207,"&lt;&gt;",$A$8:$A$207,"&lt;&gt;"),"Missing / extra recipe children","OK"))))))))))</x:f>
      </x:c>
    </x:row>
    <x:row r="202" ht="22" customHeight="1">
      <x:c r="A202" s="10"/>
      <x:c r="B202" s="10"/>
      <x:c r="C202" s="10"/>
      <x:c r="D202" s="10"/>
      <x:c r="E202" s="12"/>
      <x:c r="F202" s="10"/>
      <x:c r="G202" s="9" t="str">
        <x:f>IF(A202="","",IF(B202="",C202,IF(COUNTIFS('Recipes'!$A$8:$A$207,D202)=1,VLOOKUP(D202,'Recipes'!$A$8:$F$207,3,FALSE),"")))</x:f>
      </x:c>
      <x:c r="H202" s="9" t="str">
        <x:f>IF(A202="","",IF(COUNTIFS('Definitions'!$A$8:$A$207,G202)=1,REPT("    ",IF(ISNUMBER(M202),M202,0))&amp;VLOOKUP(G202,'Definitions'!$A$8:$J$207,2,FALSE),"Unknown definition"))</x:f>
      </x:c>
      <x:c r="I202" s="11" t="str">
        <x:f>IF(A202="","",IF(B202="",1,IF(COUNTIFS('Recipes'!$A$8:$A$207,D202)=1,VLOOKUP(D202,'Recipes'!$A$8:$F$207,4,FALSE),"")))</x:f>
      </x:c>
      <x:c r="J202" s="11" t="str">
        <x:f>IF(A202="","",IF(ISBLANK(E202),I202,E202))</x:f>
      </x:c>
      <x:c r="K202" s="11" t="str">
        <x:f>IF(A202="","",IF(NOT(ISNUMBER(J202)),"",IF(B202="",J202,IF(COUNTIFS($A$8:$A$201,B202)=1,IF(ISNUMBER(VLOOKUP(B202,$A$8:$N$201,11,FALSE)),J202*VLOOKUP(B202,$A$8:$N$201,11,FALSE),""),""))))</x:f>
      </x:c>
      <x:c r="L202" s="9" t="str">
        <x:f>IF(A202="","",IF(B202="",F202,IF(COUNTIFS($A$8:$A$201,B202)=1,VLOOKUP(B202,$A$8:$N$201,12,FALSE),"")))</x:f>
      </x:c>
      <x:c r="M202" s="11" t="str">
        <x:f>IF(A202="","",IF(B202="",0,IF(COUNTIFS($A$8:$A$201,B202)=1,IF(ISNUMBER(VLOOKUP(B202,$A$8:$N$201,13,FALSE)),VLOOKUP(B202,$A$8:$N$201,13,FALSE)+1,""),"")))</x:f>
      </x:c>
      <x:c r="N202" s="9" t="str">
        <x:f>IF(A202="","",IF(COUNTIFS('Layout'!$A$8:$A$207,A202)&lt;&gt;1,"Duplicate role",IF(AND(B202&lt;&gt;"",COUNTIFS($A$8:$A$201,B202)&lt;&gt;1),"Parent must appear above child",IF(COUNTIFS('Definitions'!$A$8:$A$207,G202)&lt;&gt;1,"Unknown / duplicate definition",IF(AND(B202="",OR(C202="",D202&lt;&gt;"",AND(F202&lt;&gt;"Build",F202&lt;&gt;"Spares"))),"Set root definition and purpose",IF(AND(B202&lt;&gt;"",COUNTIFS('Recipes'!$A$8:$A$207,D202)&lt;&gt;1),"Choose a unique recipe line",IF(AND(B202&lt;&gt;"",OR(C202&lt;&gt;"",F202&lt;&gt;"")),"Clear child root-only inputs",IF(AND(B202&lt;&gt;"",COUNTIFS($A$8:$A$201,B202)=1,COUNTIFS('Recipes'!$A$8:$A$207,D202)=1),IF(VLOOKUP(D202,'Recipes'!$A$8:$F$207,2,FALSE)&lt;&gt;VLOOKUP(B202,$A$8:$N$201,7,FALSE),"Recipe parent mismatch",IF(COUNTIFS($B$8:$B$207,B202,$D$8:$D$207,D202)&lt;&gt;1,"Duplicate child recipe",IF(OR(NOT(ISNUMBER(J202)),J202&lt;0,MOD(J202,1)&lt;&gt;0),"Set nonnegative whole qty",IF(COUNTIFS('Recipes'!$B$8:$B$207,G202)&lt;&gt;COUNTIFS($B$8:$B$207,A202,$D$8:$D$207,"&lt;&gt;",$A$8:$A$207,"&lt;&gt;"),"Missing / extra recipe children","OK")))),IF(OR(NOT(ISNUMBER(J202)),J202&lt;0,MOD(J202,1)&lt;&gt;0),"Set nonnegative whole qty",IF(COUNTIFS('Recipes'!$B$8:$B$207,G202)&lt;&gt;COUNTIFS($B$8:$B$207,A202,$D$8:$D$207,"&lt;&gt;",$A$8:$A$207,"&lt;&gt;"),"Missing / extra recipe children","OK"))))))))))</x:f>
      </x:c>
    </x:row>
    <x:row r="203" ht="22" customHeight="1">
      <x:c r="A203" s="10"/>
      <x:c r="B203" s="10"/>
      <x:c r="C203" s="10"/>
      <x:c r="D203" s="10"/>
      <x:c r="E203" s="12"/>
      <x:c r="F203" s="10"/>
      <x:c r="G203" s="9" t="str">
        <x:f>IF(A203="","",IF(B203="",C203,IF(COUNTIFS('Recipes'!$A$8:$A$207,D203)=1,VLOOKUP(D203,'Recipes'!$A$8:$F$207,3,FALSE),"")))</x:f>
      </x:c>
      <x:c r="H203" s="9" t="str">
        <x:f>IF(A203="","",IF(COUNTIFS('Definitions'!$A$8:$A$207,G203)=1,REPT("    ",IF(ISNUMBER(M203),M203,0))&amp;VLOOKUP(G203,'Definitions'!$A$8:$J$207,2,FALSE),"Unknown definition"))</x:f>
      </x:c>
      <x:c r="I203" s="11" t="str">
        <x:f>IF(A203="","",IF(B203="",1,IF(COUNTIFS('Recipes'!$A$8:$A$207,D203)=1,VLOOKUP(D203,'Recipes'!$A$8:$F$207,4,FALSE),"")))</x:f>
      </x:c>
      <x:c r="J203" s="11" t="str">
        <x:f>IF(A203="","",IF(ISBLANK(E203),I203,E203))</x:f>
      </x:c>
      <x:c r="K203" s="11" t="str">
        <x:f>IF(A203="","",IF(NOT(ISNUMBER(J203)),"",IF(B203="",J203,IF(COUNTIFS($A$8:$A$202,B203)=1,IF(ISNUMBER(VLOOKUP(B203,$A$8:$N$202,11,FALSE)),J203*VLOOKUP(B203,$A$8:$N$202,11,FALSE),""),""))))</x:f>
      </x:c>
      <x:c r="L203" s="9" t="str">
        <x:f>IF(A203="","",IF(B203="",F203,IF(COUNTIFS($A$8:$A$202,B203)=1,VLOOKUP(B203,$A$8:$N$202,12,FALSE),"")))</x:f>
      </x:c>
      <x:c r="M203" s="11" t="str">
        <x:f>IF(A203="","",IF(B203="",0,IF(COUNTIFS($A$8:$A$202,B203)=1,IF(ISNUMBER(VLOOKUP(B203,$A$8:$N$202,13,FALSE)),VLOOKUP(B203,$A$8:$N$202,13,FALSE)+1,""),"")))</x:f>
      </x:c>
      <x:c r="N203" s="9" t="str">
        <x:f>IF(A203="","",IF(COUNTIFS('Layout'!$A$8:$A$207,A203)&lt;&gt;1,"Duplicate role",IF(AND(B203&lt;&gt;"",COUNTIFS($A$8:$A$202,B203)&lt;&gt;1),"Parent must appear above child",IF(COUNTIFS('Definitions'!$A$8:$A$207,G203)&lt;&gt;1,"Unknown / duplicate definition",IF(AND(B203="",OR(C203="",D203&lt;&gt;"",AND(F203&lt;&gt;"Build",F203&lt;&gt;"Spares"))),"Set root definition and purpose",IF(AND(B203&lt;&gt;"",COUNTIFS('Recipes'!$A$8:$A$207,D203)&lt;&gt;1),"Choose a unique recipe line",IF(AND(B203&lt;&gt;"",OR(C203&lt;&gt;"",F203&lt;&gt;"")),"Clear child root-only inputs",IF(AND(B203&lt;&gt;"",COUNTIFS($A$8:$A$202,B203)=1,COUNTIFS('Recipes'!$A$8:$A$207,D203)=1),IF(VLOOKUP(D203,'Recipes'!$A$8:$F$207,2,FALSE)&lt;&gt;VLOOKUP(B203,$A$8:$N$202,7,FALSE),"Recipe parent mismatch",IF(COUNTIFS($B$8:$B$207,B203,$D$8:$D$207,D203)&lt;&gt;1,"Duplicate child recipe",IF(OR(NOT(ISNUMBER(J203)),J203&lt;0,MOD(J203,1)&lt;&gt;0),"Set nonnegative whole qty",IF(COUNTIFS('Recipes'!$B$8:$B$207,G203)&lt;&gt;COUNTIFS($B$8:$B$207,A203,$D$8:$D$207,"&lt;&gt;",$A$8:$A$207,"&lt;&gt;"),"Missing / extra recipe children","OK")))),IF(OR(NOT(ISNUMBER(J203)),J203&lt;0,MOD(J203,1)&lt;&gt;0),"Set nonnegative whole qty",IF(COUNTIFS('Recipes'!$B$8:$B$207,G203)&lt;&gt;COUNTIFS($B$8:$B$207,A203,$D$8:$D$207,"&lt;&gt;",$A$8:$A$207,"&lt;&gt;"),"Missing / extra recipe children","OK"))))))))))</x:f>
      </x:c>
    </x:row>
    <x:row r="204" ht="22" customHeight="1">
      <x:c r="A204" s="10"/>
      <x:c r="B204" s="10"/>
      <x:c r="C204" s="10"/>
      <x:c r="D204" s="10"/>
      <x:c r="E204" s="12"/>
      <x:c r="F204" s="10"/>
      <x:c r="G204" s="9" t="str">
        <x:f>IF(A204="","",IF(B204="",C204,IF(COUNTIFS('Recipes'!$A$8:$A$207,D204)=1,VLOOKUP(D204,'Recipes'!$A$8:$F$207,3,FALSE),"")))</x:f>
      </x:c>
      <x:c r="H204" s="9" t="str">
        <x:f>IF(A204="","",IF(COUNTIFS('Definitions'!$A$8:$A$207,G204)=1,REPT("    ",IF(ISNUMBER(M204),M204,0))&amp;VLOOKUP(G204,'Definitions'!$A$8:$J$207,2,FALSE),"Unknown definition"))</x:f>
      </x:c>
      <x:c r="I204" s="11" t="str">
        <x:f>IF(A204="","",IF(B204="",1,IF(COUNTIFS('Recipes'!$A$8:$A$207,D204)=1,VLOOKUP(D204,'Recipes'!$A$8:$F$207,4,FALSE),"")))</x:f>
      </x:c>
      <x:c r="J204" s="11" t="str">
        <x:f>IF(A204="","",IF(ISBLANK(E204),I204,E204))</x:f>
      </x:c>
      <x:c r="K204" s="11" t="str">
        <x:f>IF(A204="","",IF(NOT(ISNUMBER(J204)),"",IF(B204="",J204,IF(COUNTIFS($A$8:$A$203,B204)=1,IF(ISNUMBER(VLOOKUP(B204,$A$8:$N$203,11,FALSE)),J204*VLOOKUP(B204,$A$8:$N$203,11,FALSE),""),""))))</x:f>
      </x:c>
      <x:c r="L204" s="9" t="str">
        <x:f>IF(A204="","",IF(B204="",F204,IF(COUNTIFS($A$8:$A$203,B204)=1,VLOOKUP(B204,$A$8:$N$203,12,FALSE),"")))</x:f>
      </x:c>
      <x:c r="M204" s="11" t="str">
        <x:f>IF(A204="","",IF(B204="",0,IF(COUNTIFS($A$8:$A$203,B204)=1,IF(ISNUMBER(VLOOKUP(B204,$A$8:$N$203,13,FALSE)),VLOOKUP(B204,$A$8:$N$203,13,FALSE)+1,""),"")))</x:f>
      </x:c>
      <x:c r="N204" s="9" t="str">
        <x:f>IF(A204="","",IF(COUNTIFS('Layout'!$A$8:$A$207,A204)&lt;&gt;1,"Duplicate role",IF(AND(B204&lt;&gt;"",COUNTIFS($A$8:$A$203,B204)&lt;&gt;1),"Parent must appear above child",IF(COUNTIFS('Definitions'!$A$8:$A$207,G204)&lt;&gt;1,"Unknown / duplicate definition",IF(AND(B204="",OR(C204="",D204&lt;&gt;"",AND(F204&lt;&gt;"Build",F204&lt;&gt;"Spares"))),"Set root definition and purpose",IF(AND(B204&lt;&gt;"",COUNTIFS('Recipes'!$A$8:$A$207,D204)&lt;&gt;1),"Choose a unique recipe line",IF(AND(B204&lt;&gt;"",OR(C204&lt;&gt;"",F204&lt;&gt;"")),"Clear child root-only inputs",IF(AND(B204&lt;&gt;"",COUNTIFS($A$8:$A$203,B204)=1,COUNTIFS('Recipes'!$A$8:$A$207,D204)=1),IF(VLOOKUP(D204,'Recipes'!$A$8:$F$207,2,FALSE)&lt;&gt;VLOOKUP(B204,$A$8:$N$203,7,FALSE),"Recipe parent mismatch",IF(COUNTIFS($B$8:$B$207,B204,$D$8:$D$207,D204)&lt;&gt;1,"Duplicate child recipe",IF(OR(NOT(ISNUMBER(J204)),J204&lt;0,MOD(J204,1)&lt;&gt;0),"Set nonnegative whole qty",IF(COUNTIFS('Recipes'!$B$8:$B$207,G204)&lt;&gt;COUNTIFS($B$8:$B$207,A204,$D$8:$D$207,"&lt;&gt;",$A$8:$A$207,"&lt;&gt;"),"Missing / extra recipe children","OK")))),IF(OR(NOT(ISNUMBER(J204)),J204&lt;0,MOD(J204,1)&lt;&gt;0),"Set nonnegative whole qty",IF(COUNTIFS('Recipes'!$B$8:$B$207,G204)&lt;&gt;COUNTIFS($B$8:$B$207,A204,$D$8:$D$207,"&lt;&gt;",$A$8:$A$207,"&lt;&gt;"),"Missing / extra recipe children","OK"))))))))))</x:f>
      </x:c>
    </x:row>
    <x:row r="205" ht="22" customHeight="1">
      <x:c r="A205" s="10"/>
      <x:c r="B205" s="10"/>
      <x:c r="C205" s="10"/>
      <x:c r="D205" s="10"/>
      <x:c r="E205" s="12"/>
      <x:c r="F205" s="10"/>
      <x:c r="G205" s="9" t="str">
        <x:f>IF(A205="","",IF(B205="",C205,IF(COUNTIFS('Recipes'!$A$8:$A$207,D205)=1,VLOOKUP(D205,'Recipes'!$A$8:$F$207,3,FALSE),"")))</x:f>
      </x:c>
      <x:c r="H205" s="9" t="str">
        <x:f>IF(A205="","",IF(COUNTIFS('Definitions'!$A$8:$A$207,G205)=1,REPT("    ",IF(ISNUMBER(M205),M205,0))&amp;VLOOKUP(G205,'Definitions'!$A$8:$J$207,2,FALSE),"Unknown definition"))</x:f>
      </x:c>
      <x:c r="I205" s="11" t="str">
        <x:f>IF(A205="","",IF(B205="",1,IF(COUNTIFS('Recipes'!$A$8:$A$207,D205)=1,VLOOKUP(D205,'Recipes'!$A$8:$F$207,4,FALSE),"")))</x:f>
      </x:c>
      <x:c r="J205" s="11" t="str">
        <x:f>IF(A205="","",IF(ISBLANK(E205),I205,E205))</x:f>
      </x:c>
      <x:c r="K205" s="11" t="str">
        <x:f>IF(A205="","",IF(NOT(ISNUMBER(J205)),"",IF(B205="",J205,IF(COUNTIFS($A$8:$A$204,B205)=1,IF(ISNUMBER(VLOOKUP(B205,$A$8:$N$204,11,FALSE)),J205*VLOOKUP(B205,$A$8:$N$204,11,FALSE),""),""))))</x:f>
      </x:c>
      <x:c r="L205" s="9" t="str">
        <x:f>IF(A205="","",IF(B205="",F205,IF(COUNTIFS($A$8:$A$204,B205)=1,VLOOKUP(B205,$A$8:$N$204,12,FALSE),"")))</x:f>
      </x:c>
      <x:c r="M205" s="11" t="str">
        <x:f>IF(A205="","",IF(B205="",0,IF(COUNTIFS($A$8:$A$204,B205)=1,IF(ISNUMBER(VLOOKUP(B205,$A$8:$N$204,13,FALSE)),VLOOKUP(B205,$A$8:$N$204,13,FALSE)+1,""),"")))</x:f>
      </x:c>
      <x:c r="N205" s="9" t="str">
        <x:f>IF(A205="","",IF(COUNTIFS('Layout'!$A$8:$A$207,A205)&lt;&gt;1,"Duplicate role",IF(AND(B205&lt;&gt;"",COUNTIFS($A$8:$A$204,B205)&lt;&gt;1),"Parent must appear above child",IF(COUNTIFS('Definitions'!$A$8:$A$207,G205)&lt;&gt;1,"Unknown / duplicate definition",IF(AND(B205="",OR(C205="",D205&lt;&gt;"",AND(F205&lt;&gt;"Build",F205&lt;&gt;"Spares"))),"Set root definition and purpose",IF(AND(B205&lt;&gt;"",COUNTIFS('Recipes'!$A$8:$A$207,D205)&lt;&gt;1),"Choose a unique recipe line",IF(AND(B205&lt;&gt;"",OR(C205&lt;&gt;"",F205&lt;&gt;"")),"Clear child root-only inputs",IF(AND(B205&lt;&gt;"",COUNTIFS($A$8:$A$204,B205)=1,COUNTIFS('Recipes'!$A$8:$A$207,D205)=1),IF(VLOOKUP(D205,'Recipes'!$A$8:$F$207,2,FALSE)&lt;&gt;VLOOKUP(B205,$A$8:$N$204,7,FALSE),"Recipe parent mismatch",IF(COUNTIFS($B$8:$B$207,B205,$D$8:$D$207,D205)&lt;&gt;1,"Duplicate child recipe",IF(OR(NOT(ISNUMBER(J205)),J205&lt;0,MOD(J205,1)&lt;&gt;0),"Set nonnegative whole qty",IF(COUNTIFS('Recipes'!$B$8:$B$207,G205)&lt;&gt;COUNTIFS($B$8:$B$207,A205,$D$8:$D$207,"&lt;&gt;",$A$8:$A$207,"&lt;&gt;"),"Missing / extra recipe children","OK")))),IF(OR(NOT(ISNUMBER(J205)),J205&lt;0,MOD(J205,1)&lt;&gt;0),"Set nonnegative whole qty",IF(COUNTIFS('Recipes'!$B$8:$B$207,G205)&lt;&gt;COUNTIFS($B$8:$B$207,A205,$D$8:$D$207,"&lt;&gt;",$A$8:$A$207,"&lt;&gt;"),"Missing / extra recipe children","OK"))))))))))</x:f>
      </x:c>
    </x:row>
    <x:row r="206" ht="22" customHeight="1">
      <x:c r="A206" s="10"/>
      <x:c r="B206" s="10"/>
      <x:c r="C206" s="10"/>
      <x:c r="D206" s="10"/>
      <x:c r="E206" s="12"/>
      <x:c r="F206" s="10"/>
      <x:c r="G206" s="9" t="str">
        <x:f>IF(A206="","",IF(B206="",C206,IF(COUNTIFS('Recipes'!$A$8:$A$207,D206)=1,VLOOKUP(D206,'Recipes'!$A$8:$F$207,3,FALSE),"")))</x:f>
      </x:c>
      <x:c r="H206" s="9" t="str">
        <x:f>IF(A206="","",IF(COUNTIFS('Definitions'!$A$8:$A$207,G206)=1,REPT("    ",IF(ISNUMBER(M206),M206,0))&amp;VLOOKUP(G206,'Definitions'!$A$8:$J$207,2,FALSE),"Unknown definition"))</x:f>
      </x:c>
      <x:c r="I206" s="11" t="str">
        <x:f>IF(A206="","",IF(B206="",1,IF(COUNTIFS('Recipes'!$A$8:$A$207,D206)=1,VLOOKUP(D206,'Recipes'!$A$8:$F$207,4,FALSE),"")))</x:f>
      </x:c>
      <x:c r="J206" s="11" t="str">
        <x:f>IF(A206="","",IF(ISBLANK(E206),I206,E206))</x:f>
      </x:c>
      <x:c r="K206" s="11" t="str">
        <x:f>IF(A206="","",IF(NOT(ISNUMBER(J206)),"",IF(B206="",J206,IF(COUNTIFS($A$8:$A$205,B206)=1,IF(ISNUMBER(VLOOKUP(B206,$A$8:$N$205,11,FALSE)),J206*VLOOKUP(B206,$A$8:$N$205,11,FALSE),""),""))))</x:f>
      </x:c>
      <x:c r="L206" s="9" t="str">
        <x:f>IF(A206="","",IF(B206="",F206,IF(COUNTIFS($A$8:$A$205,B206)=1,VLOOKUP(B206,$A$8:$N$205,12,FALSE),"")))</x:f>
      </x:c>
      <x:c r="M206" s="11" t="str">
        <x:f>IF(A206="","",IF(B206="",0,IF(COUNTIFS($A$8:$A$205,B206)=1,IF(ISNUMBER(VLOOKUP(B206,$A$8:$N$205,13,FALSE)),VLOOKUP(B206,$A$8:$N$205,13,FALSE)+1,""),"")))</x:f>
      </x:c>
      <x:c r="N206" s="9" t="str">
        <x:f>IF(A206="","",IF(COUNTIFS('Layout'!$A$8:$A$207,A206)&lt;&gt;1,"Duplicate role",IF(AND(B206&lt;&gt;"",COUNTIFS($A$8:$A$205,B206)&lt;&gt;1),"Parent must appear above child",IF(COUNTIFS('Definitions'!$A$8:$A$207,G206)&lt;&gt;1,"Unknown / duplicate definition",IF(AND(B206="",OR(C206="",D206&lt;&gt;"",AND(F206&lt;&gt;"Build",F206&lt;&gt;"Spares"))),"Set root definition and purpose",IF(AND(B206&lt;&gt;"",COUNTIFS('Recipes'!$A$8:$A$207,D206)&lt;&gt;1),"Choose a unique recipe line",IF(AND(B206&lt;&gt;"",OR(C206&lt;&gt;"",F206&lt;&gt;"")),"Clear child root-only inputs",IF(AND(B206&lt;&gt;"",COUNTIFS($A$8:$A$205,B206)=1,COUNTIFS('Recipes'!$A$8:$A$207,D206)=1),IF(VLOOKUP(D206,'Recipes'!$A$8:$F$207,2,FALSE)&lt;&gt;VLOOKUP(B206,$A$8:$N$205,7,FALSE),"Recipe parent mismatch",IF(COUNTIFS($B$8:$B$207,B206,$D$8:$D$207,D206)&lt;&gt;1,"Duplicate child recipe",IF(OR(NOT(ISNUMBER(J206)),J206&lt;0,MOD(J206,1)&lt;&gt;0),"Set nonnegative whole qty",IF(COUNTIFS('Recipes'!$B$8:$B$207,G206)&lt;&gt;COUNTIFS($B$8:$B$207,A206,$D$8:$D$207,"&lt;&gt;",$A$8:$A$207,"&lt;&gt;"),"Missing / extra recipe children","OK")))),IF(OR(NOT(ISNUMBER(J206)),J206&lt;0,MOD(J206,1)&lt;&gt;0),"Set nonnegative whole qty",IF(COUNTIFS('Recipes'!$B$8:$B$207,G206)&lt;&gt;COUNTIFS($B$8:$B$207,A206,$D$8:$D$207,"&lt;&gt;",$A$8:$A$207,"&lt;&gt;"),"Missing / extra recipe children","OK"))))))))))</x:f>
      </x:c>
    </x:row>
    <x:row r="207" ht="22" customHeight="1">
      <x:c r="A207" s="10"/>
      <x:c r="B207" s="10"/>
      <x:c r="C207" s="10"/>
      <x:c r="D207" s="10"/>
      <x:c r="E207" s="12"/>
      <x:c r="F207" s="10"/>
      <x:c r="G207" s="9" t="str">
        <x:f>IF(A207="","",IF(B207="",C207,IF(COUNTIFS('Recipes'!$A$8:$A$207,D207)=1,VLOOKUP(D207,'Recipes'!$A$8:$F$207,3,FALSE),"")))</x:f>
      </x:c>
      <x:c r="H207" s="9" t="str">
        <x:f>IF(A207="","",IF(COUNTIFS('Definitions'!$A$8:$A$207,G207)=1,REPT("    ",IF(ISNUMBER(M207),M207,0))&amp;VLOOKUP(G207,'Definitions'!$A$8:$J$207,2,FALSE),"Unknown definition"))</x:f>
      </x:c>
      <x:c r="I207" s="11" t="str">
        <x:f>IF(A207="","",IF(B207="",1,IF(COUNTIFS('Recipes'!$A$8:$A$207,D207)=1,VLOOKUP(D207,'Recipes'!$A$8:$F$207,4,FALSE),"")))</x:f>
      </x:c>
      <x:c r="J207" s="11" t="str">
        <x:f>IF(A207="","",IF(ISBLANK(E207),I207,E207))</x:f>
      </x:c>
      <x:c r="K207" s="11" t="str">
        <x:f>IF(A207="","",IF(NOT(ISNUMBER(J207)),"",IF(B207="",J207,IF(COUNTIFS($A$8:$A$206,B207)=1,IF(ISNUMBER(VLOOKUP(B207,$A$8:$N$206,11,FALSE)),J207*VLOOKUP(B207,$A$8:$N$206,11,FALSE),""),""))))</x:f>
      </x:c>
      <x:c r="L207" s="9" t="str">
        <x:f>IF(A207="","",IF(B207="",F207,IF(COUNTIFS($A$8:$A$206,B207)=1,VLOOKUP(B207,$A$8:$N$206,12,FALSE),"")))</x:f>
      </x:c>
      <x:c r="M207" s="11" t="str">
        <x:f>IF(A207="","",IF(B207="",0,IF(COUNTIFS($A$8:$A$206,B207)=1,IF(ISNUMBER(VLOOKUP(B207,$A$8:$N$206,13,FALSE)),VLOOKUP(B207,$A$8:$N$206,13,FALSE)+1,""),"")))</x:f>
      </x:c>
      <x:c r="N207" s="9" t="str">
        <x:f>IF(A207="","",IF(COUNTIFS('Layout'!$A$8:$A$207,A207)&lt;&gt;1,"Duplicate role",IF(AND(B207&lt;&gt;"",COUNTIFS($A$8:$A$206,B207)&lt;&gt;1),"Parent must appear above child",IF(COUNTIFS('Definitions'!$A$8:$A$207,G207)&lt;&gt;1,"Unknown / duplicate definition",IF(AND(B207="",OR(C207="",D207&lt;&gt;"",AND(F207&lt;&gt;"Build",F207&lt;&gt;"Spares"))),"Set root definition and purpose",IF(AND(B207&lt;&gt;"",COUNTIFS('Recipes'!$A$8:$A$207,D207)&lt;&gt;1),"Choose a unique recipe line",IF(AND(B207&lt;&gt;"",OR(C207&lt;&gt;"",F207&lt;&gt;"")),"Clear child root-only inputs",IF(AND(B207&lt;&gt;"",COUNTIFS($A$8:$A$206,B207)=1,COUNTIFS('Recipes'!$A$8:$A$207,D207)=1),IF(VLOOKUP(D207,'Recipes'!$A$8:$F$207,2,FALSE)&lt;&gt;VLOOKUP(B207,$A$8:$N$206,7,FALSE),"Recipe parent mismatch",IF(COUNTIFS($B$8:$B$207,B207,$D$8:$D$207,D207)&lt;&gt;1,"Duplicate child recipe",IF(OR(NOT(ISNUMBER(J207)),J207&lt;0,MOD(J207,1)&lt;&gt;0),"Set nonnegative whole qty",IF(COUNTIFS('Recipes'!$B$8:$B$207,G207)&lt;&gt;COUNTIFS($B$8:$B$207,A207,$D$8:$D$207,"&lt;&gt;",$A$8:$A$207,"&lt;&gt;"),"Missing / extra recipe children","OK")))),IF(OR(NOT(ISNUMBER(J207)),J207&lt;0,MOD(J207,1)&lt;&gt;0),"Set nonnegative whole qty",IF(COUNTIFS('Recipes'!$B$8:$B$207,G207)&lt;&gt;COUNTIFS($B$8:$B$207,A207,$D$8:$D$207,"&lt;&gt;",$A$8:$A$207,"&lt;&gt;"),"Missing / extra recipe children","OK"))))))))))</x:f>
      </x:c>
    </x:row>
  </x:sheetData>
  <x:conditionalFormatting sqref="N8:N207">
    <x:cfRule type="expression" dxfId="1" priority="1">
      <x:formula>AND($A8&lt;&gt;"",N8&lt;&gt;"OK")</x:formula>
    </x:cfRule>
  </x:conditionalFormatting>
  <x:dataValidations count="4">
    <x:dataValidation type="list" sqref="C8:C207">
      <x:formula1>'Definitions'!$A$8:$A$207</x:formula1>
    </x:dataValidation>
    <x:dataValidation type="list" sqref="D8:D207">
      <x:formula1>'Recipes'!$A$8:$A$207</x:formula1>
    </x:dataValidation>
    <x:dataValidation type="whole" operator="between" sqref="E8:E207">
      <x:formula1>0</x:formula1>
      <x:formula2>1000000</x:formula2>
    </x:dataValidation>
    <x:dataValidation type="list" sqref="F8:F207">
      <x:formula1>"Build,Spares"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0e24a101b24bf8"/>
  </x:tableParts>
</x:worksheet>
</file>

<file path=xl/worksheets/sheet4.xml><?xml version="1.0" encoding="utf-8"?>
<x:worksheet xmlns:x="http://schemas.openxmlformats.org/spreadsheetml/2006/main">
  <x:sheetPr>
    <x:tabColor rgb="FFCAD4DF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16" hidden="0" customWidth="1"/>
    <x:col min="4" max="4" width="20" hidden="0" customWidth="1"/>
    <x:col min="5" max="5" width="43" hidden="0" customWidth="1"/>
    <x:col min="6" max="6" width="11" hidden="0" customWidth="1"/>
    <x:col min="7" max="7" width="15" hidden="0" customWidth="1"/>
    <x:col min="8" max="8" width="19" hidden="0" customWidth="1"/>
    <x:col min="9" max="9" width="22" hidden="0" customWidth="1"/>
    <x:col min="10" max="10" width="50" hidden="0" customWidth="1"/>
    <x:col min="11" max="11" width="3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3" t="str">
        <x:v>Parts and assembly definitions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4" t="str">
        <x:v>IDs stay stable. Rename components here. Assemblies are grouping recipes and are not purchased.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2" customHeight="1">
      <x:c r="A5" s="4" t="str">
        <x:v>Amber cells are editable. Grey cells contain formulas. All populated records are illustrative.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40" customHeight="1">
      <x:c r="A7" s="8" t="str">
        <x:v>Definition ID</x:v>
      </x:c>
      <x:c r="B7" s="8" t="str">
        <x:v>Component name</x:v>
      </x:c>
      <x:c r="C7" s="8" t="str">
        <x:v>Kind</x:v>
      </x:c>
      <x:c r="D7" s="8" t="str">
        <x:v>Manufacturer</x:v>
      </x:c>
      <x:c r="E7" s="8" t="str">
        <x:v>Part number / specification</x:v>
      </x:c>
      <x:c r="F7" s="8" t="str">
        <x:v>UOM</x:v>
      </x:c>
      <x:c r="G7" s="8" t="str">
        <x:v>Serial tracked</x:v>
      </x:c>
      <x:c r="H7" s="8" t="str">
        <x:v>Purchase pack qty</x:v>
      </x:c>
      <x:c r="I7" s="8" t="str">
        <x:v>Bulk stock covering plan</x:v>
      </x:c>
      <x:c r="J7" s="8" t="str">
        <x:v>Notes</x:v>
      </x:c>
      <x:c r="K7" s="8" t="str">
        <x:v>Check</x:v>
      </x:c>
    </x:row>
    <x:row r="8" ht="22" customHeight="1">
      <x:c r="A8" s="10" t="str">
        <x:v>A-VCCU</x:v>
      </x:c>
      <x:c r="B8" s="10" t="str">
        <x:v>VCCU</x:v>
      </x:c>
      <x:c r="C8" s="10" t="str">
        <x:v>Assembly</x:v>
      </x:c>
      <x:c r="D8" s="10" t="str"/>
      <x:c r="E8" s="10" t="str"/>
      <x:c r="F8" s="10" t="str">
        <x:v>each</x:v>
      </x:c>
      <x:c r="G8" s="10" t="str">
        <x:v>No</x:v>
      </x:c>
      <x:c r="H8" s="12" t="n">
        <x:v>1</x:v>
      </x:c>
      <x:c r="I8" s="12" t="n">
        <x:v>0</x:v>
      </x:c>
      <x:c r="J8" s="10" t="str">
        <x:v>Container only.</x:v>
      </x:c>
      <x:c r="K8" s="9" t="str">
        <x:f>IF(A8="","",IF(COUNTIFS('Definitions'!$A$8:$A$207,A8)&lt;&gt;1,"Duplicate definition ID",IF(B8="","Missing component name",IF(AND(C8&lt;&gt;"Part",C8&lt;&gt;"Assembly"),"Choose Part or Assembly",IF(OR(F8="",AND(G8&lt;&gt;"Yes",G8&lt;&gt;"No")),"Set UOM and serial tracking",IF(OR(NOT(ISNUMBER(H8)),H8&lt;1,MOD(H8,1)&lt;&gt;0,NOT(ISNUMBER(I8)),I8&lt;0,MOD(I8,1)&lt;&gt;0),"Invalid pack or stock qty",IF(AND(G8="Yes",I8&lt;&gt;0),"Serialized stock belongs in Assets",IF(AND(C8="Assembly",I8&lt;&gt;0),"Assembly stock must be zero","OK"))))))))</x:f>
        <x:v>OK</x:v>
      </x:c>
    </x:row>
    <x:row r="9" ht="22" customHeight="1">
      <x:c r="A9" s="10" t="str">
        <x:v>P-SWITCH</x:v>
      </x:c>
      <x:c r="B9" s="10" t="str">
        <x:v>Switch</x:v>
      </x:c>
      <x:c r="C9" s="10" t="str">
        <x:v>Part</x:v>
      </x:c>
      <x:c r="D9" s="10" t="str"/>
      <x:c r="E9" s="10" t="str">
        <x:v>Specify model, port count and airflow</x:v>
      </x:c>
      <x:c r="F9" s="10" t="str">
        <x:v>each</x:v>
      </x:c>
      <x:c r="G9" s="10" t="str">
        <x:v>Yes</x:v>
      </x:c>
      <x:c r="H9" s="12" t="n">
        <x:v>1</x:v>
      </x:c>
      <x:c r="I9" s="12" t="n">
        <x:v>0</x:v>
      </x:c>
      <x:c r="J9" s="10" t="str">
        <x:v>Specify supplied accessories before purchasing.</x:v>
      </x:c>
      <x:c r="K9" s="9" t="str">
        <x:f>IF(A9="","",IF(COUNTIFS('Definitions'!$A$8:$A$207,A9)&lt;&gt;1,"Duplicate definition ID",IF(B9="","Missing component name",IF(AND(C9&lt;&gt;"Part",C9&lt;&gt;"Assembly"),"Choose Part or Assembly",IF(OR(F9="",AND(G9&lt;&gt;"Yes",G9&lt;&gt;"No")),"Set UOM and serial tracking",IF(OR(NOT(ISNUMBER(H9)),H9&lt;1,MOD(H9,1)&lt;&gt;0,NOT(ISNUMBER(I9)),I9&lt;0,MOD(I9,1)&lt;&gt;0),"Invalid pack or stock qty",IF(AND(G9="Yes",I9&lt;&gt;0),"Serialized stock belongs in Assets",IF(AND(C9="Assembly",I9&lt;&gt;0),"Assembly stock must be zero","OK"))))))))</x:f>
        <x:v>OK</x:v>
      </x:c>
    </x:row>
    <x:row r="10" ht="22" customHeight="1">
      <x:c r="A10" s="10" t="str">
        <x:v>A-LINK</x:v>
      </x:c>
      <x:c r="B10" s="10" t="str">
        <x:v>Optical link</x:v>
      </x:c>
      <x:c r="C10" s="10" t="str">
        <x:v>Assembly</x:v>
      </x:c>
      <x:c r="D10" s="10" t="str"/>
      <x:c r="E10" s="10" t="str"/>
      <x:c r="F10" s="10" t="str">
        <x:v>each</x:v>
      </x:c>
      <x:c r="G10" s="10" t="str">
        <x:v>No</x:v>
      </x:c>
      <x:c r="H10" s="12" t="n">
        <x:v>1</x:v>
      </x:c>
      <x:c r="I10" s="12" t="n">
        <x:v>0</x:v>
      </x:c>
      <x:c r="J10" s="10" t="str">
        <x:v>One complete link, including both ends.</x:v>
      </x:c>
      <x:c r="K10" s="9" t="str">
        <x:f>IF(A10="","",IF(COUNTIFS('Definitions'!$A$8:$A$207,A10)&lt;&gt;1,"Duplicate definition ID",IF(B10="","Missing component name",IF(AND(C10&lt;&gt;"Part",C10&lt;&gt;"Assembly"),"Choose Part or Assembly",IF(OR(F10="",AND(G10&lt;&gt;"Yes",G10&lt;&gt;"No")),"Set UOM and serial tracking",IF(OR(NOT(ISNUMBER(H10)),H10&lt;1,MOD(H10,1)&lt;&gt;0,NOT(ISNUMBER(I10)),I10&lt;0,MOD(I10,1)&lt;&gt;0),"Invalid pack or stock qty",IF(AND(G10="Yes",I10&lt;&gt;0),"Serialized stock belongs in Assets",IF(AND(C10="Assembly",I10&lt;&gt;0),"Assembly stock must be zero","OK"))))))))</x:f>
        <x:v>OK</x:v>
      </x:c>
    </x:row>
    <x:row r="11" ht="22" customHeight="1">
      <x:c r="A11" s="10" t="str">
        <x:v>P-OPTIC</x:v>
      </x:c>
      <x:c r="B11" s="10" t="str">
        <x:v>Transceiver</x:v>
      </x:c>
      <x:c r="C11" s="10" t="str">
        <x:v>Part</x:v>
      </x:c>
      <x:c r="D11" s="10" t="str"/>
      <x:c r="E11" s="10" t="str">
        <x:v>Specify speed, reach, wavelength and connector</x:v>
      </x:c>
      <x:c r="F11" s="10" t="str">
        <x:v>each</x:v>
      </x:c>
      <x:c r="G11" s="10" t="str">
        <x:v>Yes</x:v>
      </x:c>
      <x:c r="H11" s="12" t="n">
        <x:v>1</x:v>
      </x:c>
      <x:c r="I11" s="12" t="n">
        <x:v>0</x:v>
      </x:c>
      <x:c r="J11" s="10" t="str">
        <x:v>Two per optical link.</x:v>
      </x:c>
      <x:c r="K11" s="9" t="str">
        <x:f>IF(A11="","",IF(COUNTIFS('Definitions'!$A$8:$A$207,A11)&lt;&gt;1,"Duplicate definition ID",IF(B11="","Missing component name",IF(AND(C11&lt;&gt;"Part",C11&lt;&gt;"Assembly"),"Choose Part or Assembly",IF(OR(F11="",AND(G11&lt;&gt;"Yes",G11&lt;&gt;"No")),"Set UOM and serial tracking",IF(OR(NOT(ISNUMBER(H11)),H11&lt;1,MOD(H11,1)&lt;&gt;0,NOT(ISNUMBER(I11)),I11&lt;0,MOD(I11,1)&lt;&gt;0),"Invalid pack or stock qty",IF(AND(G11="Yes",I11&lt;&gt;0),"Serialized stock belongs in Assets",IF(AND(C11="Assembly",I11&lt;&gt;0),"Assembly stock must be zero","OK"))))))))</x:f>
        <x:v>OK</x:v>
      </x:c>
    </x:row>
    <x:row r="12" ht="22" customHeight="1">
      <x:c r="A12" s="10" t="str">
        <x:v>P-FIBRE</x:v>
      </x:c>
      <x:c r="B12" s="10" t="str">
        <x:v>Fibre patch lead</x:v>
      </x:c>
      <x:c r="C12" s="10" t="str">
        <x:v>Part</x:v>
      </x:c>
      <x:c r="D12" s="10" t="str"/>
      <x:c r="E12" s="10" t="str">
        <x:v>Specify length, fibre type, polarity and connector</x:v>
      </x:c>
      <x:c r="F12" s="10" t="str">
        <x:v>each</x:v>
      </x:c>
      <x:c r="G12" s="10" t="str">
        <x:v>No</x:v>
      </x:c>
      <x:c r="H12" s="12" t="n">
        <x:v>1</x:v>
      </x:c>
      <x:c r="I12" s="12" t="n">
        <x:v>0</x:v>
      </x:c>
      <x:c r="J12" s="10" t="str">
        <x:v>Illustrative length is unspecified.</x:v>
      </x:c>
      <x:c r="K12" s="9" t="str">
        <x:f>IF(A12="","",IF(COUNTIFS('Definitions'!$A$8:$A$207,A12)&lt;&gt;1,"Duplicate definition ID",IF(B12="","Missing component name",IF(AND(C12&lt;&gt;"Part",C12&lt;&gt;"Assembly"),"Choose Part or Assembly",IF(OR(F12="",AND(G12&lt;&gt;"Yes",G12&lt;&gt;"No")),"Set UOM and serial tracking",IF(OR(NOT(ISNUMBER(H12)),H12&lt;1,MOD(H12,1)&lt;&gt;0,NOT(ISNUMBER(I12)),I12&lt;0,MOD(I12,1)&lt;&gt;0),"Invalid pack or stock qty",IF(AND(G12="Yes",I12&lt;&gt;0),"Serialized stock belongs in Assets",IF(AND(C12="Assembly",I12&lt;&gt;0),"Assembly stock must be zero","OK"))))))))</x:f>
        <x:v>OK</x:v>
      </x:c>
    </x:row>
    <x:row r="13" ht="22" customHeight="1">
      <x:c r="A13" s="10" t="str">
        <x:v>P-FHS</x:v>
      </x:c>
      <x:c r="B13" s="10" t="str">
        <x:v>FHS server</x:v>
      </x:c>
      <x:c r="C13" s="10" t="str">
        <x:v>Part</x:v>
      </x:c>
      <x:c r="D13" s="10" t="str"/>
      <x:c r="E13" s="10" t="str">
        <x:v>Specify server configuration</x:v>
      </x:c>
      <x:c r="F13" s="10" t="str">
        <x:v>each</x:v>
      </x:c>
      <x:c r="G13" s="10" t="str">
        <x:v>Yes</x:v>
      </x:c>
      <x:c r="H13" s="12" t="n">
        <x:v>1</x:v>
      </x:c>
      <x:c r="I13" s="12" t="n">
        <x:v>0</x:v>
      </x:c>
      <x:c r="J13" s="10" t="str">
        <x:v>Accessories are explicit recipe children.</x:v>
      </x:c>
      <x:c r="K13" s="9" t="str">
        <x:f>IF(A13="","",IF(COUNTIFS('Definitions'!$A$8:$A$207,A13)&lt;&gt;1,"Duplicate definition ID",IF(B13="","Missing component name",IF(AND(C13&lt;&gt;"Part",C13&lt;&gt;"Assembly"),"Choose Part or Assembly",IF(OR(F13="",AND(G13&lt;&gt;"Yes",G13&lt;&gt;"No")),"Set UOM and serial tracking",IF(OR(NOT(ISNUMBER(H13)),H13&lt;1,MOD(H13,1)&lt;&gt;0,NOT(ISNUMBER(I13)),I13&lt;0,MOD(I13,1)&lt;&gt;0),"Invalid pack or stock qty",IF(AND(G13="Yes",I13&lt;&gt;0),"Serialized stock belongs in Assets",IF(AND(C13="Assembly",I13&lt;&gt;0),"Assembly stock must be zero","OK"))))))))</x:f>
        <x:v>OK</x:v>
      </x:c>
    </x:row>
    <x:row r="14" ht="22" customHeight="1">
      <x:c r="A14" s="10" t="str">
        <x:v>P-POWER</x:v>
      </x:c>
      <x:c r="B14" s="10" t="str">
        <x:v>Power lead</x:v>
      </x:c>
      <x:c r="C14" s="10" t="str">
        <x:v>Part</x:v>
      </x:c>
      <x:c r="D14" s="10" t="str"/>
      <x:c r="E14" s="10" t="str">
        <x:v>Specify plug, appliance connector and length</x:v>
      </x:c>
      <x:c r="F14" s="10" t="str">
        <x:v>each</x:v>
      </x:c>
      <x:c r="G14" s="10" t="str">
        <x:v>No</x:v>
      </x:c>
      <x:c r="H14" s="12" t="n">
        <x:v>1</x:v>
      </x:c>
      <x:c r="I14" s="12" t="n">
        <x:v>0</x:v>
      </x:c>
      <x:c r="J14" s="10" t="str">
        <x:v>Verify voltage/current rating and both connectors.</x:v>
      </x:c>
      <x:c r="K14" s="9" t="str">
        <x:f>IF(A14="","",IF(COUNTIFS('Definitions'!$A$8:$A$207,A14)&lt;&gt;1,"Duplicate definition ID",IF(B14="","Missing component name",IF(AND(C14&lt;&gt;"Part",C14&lt;&gt;"Assembly"),"Choose Part or Assembly",IF(OR(F14="",AND(G14&lt;&gt;"Yes",G14&lt;&gt;"No")),"Set UOM and serial tracking",IF(OR(NOT(ISNUMBER(H14)),H14&lt;1,MOD(H14,1)&lt;&gt;0,NOT(ISNUMBER(I14)),I14&lt;0,MOD(I14,1)&lt;&gt;0),"Invalid pack or stock qty",IF(AND(G14="Yes",I14&lt;&gt;0),"Serialized stock belongs in Assets",IF(AND(C14="Assembly",I14&lt;&gt;0),"Assembly stock must be zero","OK"))))))))</x:f>
        <x:v>OK</x:v>
      </x:c>
    </x:row>
    <x:row r="15" ht="22" customHeight="1">
      <x:c r="A15" s="10" t="str">
        <x:v>P-MESH</x:v>
      </x:c>
      <x:c r="B15" s="10" t="str">
        <x:v>Mesh box</x:v>
      </x:c>
      <x:c r="C15" s="10" t="str">
        <x:v>Part</x:v>
      </x:c>
      <x:c r="D15" s="10" t="str"/>
      <x:c r="E15" s="10" t="str">
        <x:v>Specify model</x:v>
      </x:c>
      <x:c r="F15" s="10" t="str">
        <x:v>each</x:v>
      </x:c>
      <x:c r="G15" s="10" t="str">
        <x:v>Yes</x:v>
      </x:c>
      <x:c r="H15" s="12" t="n">
        <x:v>1</x:v>
      </x:c>
      <x:c r="I15" s="12" t="n">
        <x:v>0</x:v>
      </x:c>
      <x:c r="J15" s="10" t="str"/>
      <x:c r="K15" s="9" t="str">
        <x:f>IF(A15="","",IF(COUNTIFS('Definitions'!$A$8:$A$207,A15)&lt;&gt;1,"Duplicate definition ID",IF(B15="","Missing component name",IF(AND(C15&lt;&gt;"Part",C15&lt;&gt;"Assembly"),"Choose Part or Assembly",IF(OR(F15="",AND(G15&lt;&gt;"Yes",G15&lt;&gt;"No")),"Set UOM and serial tracking",IF(OR(NOT(ISNUMBER(H15)),H15&lt;1,MOD(H15,1)&lt;&gt;0,NOT(ISNUMBER(I15)),I15&lt;0,MOD(I15,1)&lt;&gt;0),"Invalid pack or stock qty",IF(AND(G15="Yes",I15&lt;&gt;0),"Serialized stock belongs in Assets",IF(AND(C15="Assembly",I15&lt;&gt;0),"Assembly stock must be zero","OK"))))))))</x:f>
        <x:v>OK</x:v>
      </x:c>
    </x:row>
    <x:row r="16" ht="22" customHeight="1">
      <x:c r="A16" s="10" t="str">
        <x:v>P-RAILS</x:v>
      </x:c>
      <x:c r="B16" s="10" t="str">
        <x:v>Rack rail kit</x:v>
      </x:c>
      <x:c r="C16" s="10" t="str">
        <x:v>Part</x:v>
      </x:c>
      <x:c r="D16" s="10" t="str"/>
      <x:c r="E16" s="10" t="str">
        <x:v>Specify compatible chassis/rack</x:v>
      </x:c>
      <x:c r="F16" s="10" t="str">
        <x:v>kit</x:v>
      </x:c>
      <x:c r="G16" s="10" t="str">
        <x:v>No</x:v>
      </x:c>
      <x:c r="H16" s="12" t="n">
        <x:v>1</x:v>
      </x:c>
      <x:c r="I16" s="12" t="n">
        <x:v>0</x:v>
      </x:c>
      <x:c r="J16" s="10" t="str">
        <x:v>One complete kit, not one rail.</x:v>
      </x:c>
      <x:c r="K16" s="9" t="str">
        <x:f>IF(A16="","",IF(COUNTIFS('Definitions'!$A$8:$A$207,A16)&lt;&gt;1,"Duplicate definition ID",IF(B16="","Missing component name",IF(AND(C16&lt;&gt;"Part",C16&lt;&gt;"Assembly"),"Choose Part or Assembly",IF(OR(F16="",AND(G16&lt;&gt;"Yes",G16&lt;&gt;"No")),"Set UOM and serial tracking",IF(OR(NOT(ISNUMBER(H16)),H16&lt;1,MOD(H16,1)&lt;&gt;0,NOT(ISNUMBER(I16)),I16&lt;0,MOD(I16,1)&lt;&gt;0),"Invalid pack or stock qty",IF(AND(G16="Yes",I16&lt;&gt;0),"Serialized stock belongs in Assets",IF(AND(C16="Assembly",I16&lt;&gt;0),"Assembly stock must be zero","OK"))))))))</x:f>
        <x:v>OK</x:v>
      </x:c>
    </x:row>
    <x:row r="17" ht="22" customHeight="1">
      <x:c r="A17" s="10" t="str">
        <x:v>P-RACK</x:v>
      </x:c>
      <x:c r="B17" s="10" t="str">
        <x:v>Rack</x:v>
      </x:c>
      <x:c r="C17" s="10" t="str">
        <x:v>Part</x:v>
      </x:c>
      <x:c r="D17" s="10" t="str"/>
      <x:c r="E17" s="10" t="str">
        <x:v>Specify height, depth and load rating</x:v>
      </x:c>
      <x:c r="F17" s="10" t="str">
        <x:v>each</x:v>
      </x:c>
      <x:c r="G17" s="10" t="str">
        <x:v>Yes</x:v>
      </x:c>
      <x:c r="H17" s="12" t="n">
        <x:v>1</x:v>
      </x:c>
      <x:c r="I17" s="12" t="n">
        <x:v>0</x:v>
      </x:c>
      <x:c r="J17" s="10" t="str"/>
      <x:c r="K17" s="9" t="str">
        <x:f>IF(A17="","",IF(COUNTIFS('Definitions'!$A$8:$A$207,A17)&lt;&gt;1,"Duplicate definition ID",IF(B17="","Missing component name",IF(AND(C17&lt;&gt;"Part",C17&lt;&gt;"Assembly"),"Choose Part or Assembly",IF(OR(F17="",AND(G17&lt;&gt;"Yes",G17&lt;&gt;"No")),"Set UOM and serial tracking",IF(OR(NOT(ISNUMBER(H17)),H17&lt;1,MOD(H17,1)&lt;&gt;0,NOT(ISNUMBER(I17)),I17&lt;0,MOD(I17,1)&lt;&gt;0),"Invalid pack or stock qty",IF(AND(G17="Yes",I17&lt;&gt;0),"Serialized stock belongs in Assets",IF(AND(C17="Assembly",I17&lt;&gt;0),"Assembly stock must be zero","OK"))))))))</x:f>
        <x:v>OK</x:v>
      </x:c>
    </x:row>
    <x:row r="18" ht="22" customHeight="1">
      <x:c r="A18" s="10" t="str">
        <x:v>P-PDU</x:v>
      </x:c>
      <x:c r="B18" s="10" t="str">
        <x:v>PDU</x:v>
      </x:c>
      <x:c r="C18" s="10" t="str">
        <x:v>Part</x:v>
      </x:c>
      <x:c r="D18" s="10" t="str"/>
      <x:c r="E18" s="10" t="str">
        <x:v>Specify feed, outlets and rating</x:v>
      </x:c>
      <x:c r="F18" s="10" t="str">
        <x:v>each</x:v>
      </x:c>
      <x:c r="G18" s="10" t="str">
        <x:v>Yes</x:v>
      </x:c>
      <x:c r="H18" s="12" t="n">
        <x:v>1</x:v>
      </x:c>
      <x:c r="I18" s="12" t="n">
        <x:v>0</x:v>
      </x:c>
      <x:c r="J18" s="10" t="str"/>
      <x:c r="K18" s="9" t="str">
        <x:f>IF(A18="","",IF(COUNTIFS('Definitions'!$A$8:$A$207,A18)&lt;&gt;1,"Duplicate definition ID",IF(B18="","Missing component name",IF(AND(C18&lt;&gt;"Part",C18&lt;&gt;"Assembly"),"Choose Part or Assembly",IF(OR(F18="",AND(G18&lt;&gt;"Yes",G18&lt;&gt;"No")),"Set UOM and serial tracking",IF(OR(NOT(ISNUMBER(H18)),H18&lt;1,MOD(H18,1)&lt;&gt;0,NOT(ISNUMBER(I18)),I18&lt;0,MOD(I18,1)&lt;&gt;0),"Invalid pack or stock qty",IF(AND(G18="Yes",I18&lt;&gt;0),"Serialized stock belongs in Assets",IF(AND(C18="Assembly",I18&lt;&gt;0),"Assembly stock must be zero","OK"))))))))</x:f>
        <x:v>OK</x:v>
      </x:c>
    </x:row>
    <x:row r="19" ht="22" customHeight="1">
      <x:c r="A19" s="10" t="str">
        <x:v>P-MGMT</x:v>
      </x:c>
      <x:c r="B19" s="10" t="str">
        <x:v>Cable management kit</x:v>
      </x:c>
      <x:c r="C19" s="10" t="str">
        <x:v>Part</x:v>
      </x:c>
      <x:c r="D19" s="10" t="str"/>
      <x:c r="E19" s="10" t="str">
        <x:v>Specify mounting and contents</x:v>
      </x:c>
      <x:c r="F19" s="10" t="str">
        <x:v>kit</x:v>
      </x:c>
      <x:c r="G19" s="10" t="str">
        <x:v>No</x:v>
      </x:c>
      <x:c r="H19" s="12" t="n">
        <x:v>1</x:v>
      </x:c>
      <x:c r="I19" s="12" t="n">
        <x:v>0</x:v>
      </x:c>
      <x:c r="J19" s="10" t="str"/>
      <x:c r="K19" s="9" t="str">
        <x:f>IF(A19="","",IF(COUNTIFS('Definitions'!$A$8:$A$207,A19)&lt;&gt;1,"Duplicate definition ID",IF(B19="","Missing component name",IF(AND(C19&lt;&gt;"Part",C19&lt;&gt;"Assembly"),"Choose Part or Assembly",IF(OR(F19="",AND(G19&lt;&gt;"Yes",G19&lt;&gt;"No")),"Set UOM and serial tracking",IF(OR(NOT(ISNUMBER(H19)),H19&lt;1,MOD(H19,1)&lt;&gt;0,NOT(ISNUMBER(I19)),I19&lt;0,MOD(I19,1)&lt;&gt;0),"Invalid pack or stock qty",IF(AND(G19="Yes",I19&lt;&gt;0),"Serialized stock belongs in Assets",IF(AND(C19="Assembly",I19&lt;&gt;0),"Assembly stock must be zero","OK"))))))))</x:f>
        <x:v>OK</x:v>
      </x:c>
    </x:row>
    <x:row r="20" ht="22" customHeight="1">
      <x:c r="A20" s="10" t="str">
        <x:v>P-GROUND</x:v>
      </x:c>
      <x:c r="B20" s="10" t="str">
        <x:v>Grounding kit</x:v>
      </x:c>
      <x:c r="C20" s="10" t="str">
        <x:v>Part</x:v>
      </x:c>
      <x:c r="D20" s="10" t="str"/>
      <x:c r="E20" s="10" t="str">
        <x:v>Specify conductors, lugs and fasteners</x:v>
      </x:c>
      <x:c r="F20" s="10" t="str">
        <x:v>kit</x:v>
      </x:c>
      <x:c r="G20" s="10" t="str">
        <x:v>No</x:v>
      </x:c>
      <x:c r="H20" s="12" t="n">
        <x:v>1</x:v>
      </x:c>
      <x:c r="I20" s="12" t="n">
        <x:v>0</x:v>
      </x:c>
      <x:c r="J20" s="10" t="str">
        <x:v>Verify grounding scope separately.</x:v>
      </x:c>
      <x:c r="K20" s="9" t="str">
        <x:f>IF(A20="","",IF(COUNTIFS('Definitions'!$A$8:$A$207,A20)&lt;&gt;1,"Duplicate definition ID",IF(B20="","Missing component name",IF(AND(C20&lt;&gt;"Part",C20&lt;&gt;"Assembly"),"Choose Part or Assembly",IF(OR(F20="",AND(G20&lt;&gt;"Yes",G20&lt;&gt;"No")),"Set UOM and serial tracking",IF(OR(NOT(ISNUMBER(H20)),H20&lt;1,MOD(H20,1)&lt;&gt;0,NOT(ISNUMBER(I20)),I20&lt;0,MOD(I20,1)&lt;&gt;0),"Invalid pack or stock qty",IF(AND(G20="Yes",I20&lt;&gt;0),"Serialized stock belongs in Assets",IF(AND(C20="Assembly",I20&lt;&gt;0),"Assembly stock must be zero","OK"))))))))</x:f>
        <x:v>OK</x:v>
      </x:c>
    </x:row>
    <x:row r="21" ht="22" customHeight="1">
      <x:c r="A21" s="10" t="str">
        <x:v>A-SPARES</x:v>
      </x:c>
      <x:c r="B21" s="10" t="str">
        <x:v>Deployment spares</x:v>
      </x:c>
      <x:c r="C21" s="10" t="str">
        <x:v>Assembly</x:v>
      </x:c>
      <x:c r="D21" s="10" t="str"/>
      <x:c r="E21" s="10" t="str"/>
      <x:c r="F21" s="10" t="str">
        <x:v>each</x:v>
      </x:c>
      <x:c r="G21" s="10" t="str">
        <x:v>No</x:v>
      </x:c>
      <x:c r="H21" s="12" t="n">
        <x:v>1</x:v>
      </x:c>
      <x:c r="I21" s="12" t="n">
        <x:v>0</x:v>
      </x:c>
      <x:c r="J21" s="10" t="str">
        <x:v>Explicit deployment allowance.</x:v>
      </x:c>
      <x:c r="K21" s="9" t="str">
        <x:f>IF(A21="","",IF(COUNTIFS('Definitions'!$A$8:$A$207,A21)&lt;&gt;1,"Duplicate definition ID",IF(B21="","Missing component name",IF(AND(C21&lt;&gt;"Part",C21&lt;&gt;"Assembly"),"Choose Part or Assembly",IF(OR(F21="",AND(G21&lt;&gt;"Yes",G21&lt;&gt;"No")),"Set UOM and serial tracking",IF(OR(NOT(ISNUMBER(H21)),H21&lt;1,MOD(H21,1)&lt;&gt;0,NOT(ISNUMBER(I21)),I21&lt;0,MOD(I21,1)&lt;&gt;0),"Invalid pack or stock qty",IF(AND(G21="Yes",I21&lt;&gt;0),"Serialized stock belongs in Assets",IF(AND(C21="Assembly",I21&lt;&gt;0),"Assembly stock must be zero","OK"))))))))</x:f>
        <x:v>OK</x:v>
      </x:c>
    </x:row>
    <x:row r="22" ht="22" customHeight="1">
      <x:c r="A22" s="10" t="str">
        <x:v>P-LABEL</x:v>
      </x:c>
      <x:c r="B22" s="10" t="str">
        <x:v>Label pack</x:v>
      </x:c>
      <x:c r="C22" s="10" t="str">
        <x:v>Part</x:v>
      </x:c>
      <x:c r="D22" s="10" t="str"/>
      <x:c r="E22" s="10" t="str">
        <x:v>Specify label stock and pack contents</x:v>
      </x:c>
      <x:c r="F22" s="10" t="str">
        <x:v>pack</x:v>
      </x:c>
      <x:c r="G22" s="10" t="str">
        <x:v>No</x:v>
      </x:c>
      <x:c r="H22" s="12" t="n">
        <x:v>1</x:v>
      </x:c>
      <x:c r="I22" s="12" t="n">
        <x:v>0</x:v>
      </x:c>
      <x:c r="J22" s="10" t="str">
        <x:v>Example accessory.</x:v>
      </x:c>
      <x:c r="K22" s="9" t="str">
        <x:f>IF(A22="","",IF(COUNTIFS('Definitions'!$A$8:$A$207,A22)&lt;&gt;1,"Duplicate definition ID",IF(B22="","Missing component name",IF(AND(C22&lt;&gt;"Part",C22&lt;&gt;"Assembly"),"Choose Part or Assembly",IF(OR(F22="",AND(G22&lt;&gt;"Yes",G22&lt;&gt;"No")),"Set UOM and serial tracking",IF(OR(NOT(ISNUMBER(H22)),H22&lt;1,MOD(H22,1)&lt;&gt;0,NOT(ISNUMBER(I22)),I22&lt;0,MOD(I22,1)&lt;&gt;0),"Invalid pack or stock qty",IF(AND(G22="Yes",I22&lt;&gt;0),"Serialized stock belongs in Assets",IF(AND(C22="Assembly",I22&lt;&gt;0),"Assembly stock must be zero","OK"))))))))</x:f>
        <x:v>OK</x:v>
      </x:c>
    </x:row>
    <x:row r="23" ht="22" customHeight="1">
      <x:c r="A23" s="10"/>
      <x:c r="B23" s="10"/>
      <x:c r="C23" s="10"/>
      <x:c r="D23" s="10"/>
      <x:c r="E23" s="10"/>
      <x:c r="F23" s="10"/>
      <x:c r="G23" s="10"/>
      <x:c r="H23" s="12"/>
      <x:c r="I23" s="12"/>
      <x:c r="J23" s="10"/>
      <x:c r="K23" s="9" t="str">
        <x:f>IF(A23="","",IF(COUNTIFS('Definitions'!$A$8:$A$207,A23)&lt;&gt;1,"Duplicate definition ID",IF(B23="","Missing component name",IF(AND(C23&lt;&gt;"Part",C23&lt;&gt;"Assembly"),"Choose Part or Assembly",IF(OR(F23="",AND(G23&lt;&gt;"Yes",G23&lt;&gt;"No")),"Set UOM and serial tracking",IF(OR(NOT(ISNUMBER(H23)),H23&lt;1,MOD(H23,1)&lt;&gt;0,NOT(ISNUMBER(I23)),I23&lt;0,MOD(I23,1)&lt;&gt;0),"Invalid pack or stock qty",IF(AND(G23="Yes",I23&lt;&gt;0),"Serialized stock belongs in Assets",IF(AND(C23="Assembly",I23&lt;&gt;0),"Assembly stock must be zero","OK"))))))))</x:f>
      </x:c>
    </x:row>
    <x:row r="24" ht="22" customHeight="1">
      <x:c r="A24" s="10"/>
      <x:c r="B24" s="10"/>
      <x:c r="C24" s="10"/>
      <x:c r="D24" s="10"/>
      <x:c r="E24" s="10"/>
      <x:c r="F24" s="10"/>
      <x:c r="G24" s="10"/>
      <x:c r="H24" s="12"/>
      <x:c r="I24" s="12"/>
      <x:c r="J24" s="10"/>
      <x:c r="K24" s="9" t="str">
        <x:f>IF(A24="","",IF(COUNTIFS('Definitions'!$A$8:$A$207,A24)&lt;&gt;1,"Duplicate definition ID",IF(B24="","Missing component name",IF(AND(C24&lt;&gt;"Part",C24&lt;&gt;"Assembly"),"Choose Part or Assembly",IF(OR(F24="",AND(G24&lt;&gt;"Yes",G24&lt;&gt;"No")),"Set UOM and serial tracking",IF(OR(NOT(ISNUMBER(H24)),H24&lt;1,MOD(H24,1)&lt;&gt;0,NOT(ISNUMBER(I24)),I24&lt;0,MOD(I24,1)&lt;&gt;0),"Invalid pack or stock qty",IF(AND(G24="Yes",I24&lt;&gt;0),"Serialized stock belongs in Assets",IF(AND(C24="Assembly",I24&lt;&gt;0),"Assembly stock must be zero","OK"))))))))</x:f>
      </x:c>
    </x:row>
    <x:row r="25" ht="22" customHeight="1">
      <x:c r="A25" s="10"/>
      <x:c r="B25" s="10"/>
      <x:c r="C25" s="10"/>
      <x:c r="D25" s="10"/>
      <x:c r="E25" s="10"/>
      <x:c r="F25" s="10"/>
      <x:c r="G25" s="10"/>
      <x:c r="H25" s="12"/>
      <x:c r="I25" s="12"/>
      <x:c r="J25" s="10"/>
      <x:c r="K25" s="9" t="str">
        <x:f>IF(A25="","",IF(COUNTIFS('Definitions'!$A$8:$A$207,A25)&lt;&gt;1,"Duplicate definition ID",IF(B25="","Missing component name",IF(AND(C25&lt;&gt;"Part",C25&lt;&gt;"Assembly"),"Choose Part or Assembly",IF(OR(F25="",AND(G25&lt;&gt;"Yes",G25&lt;&gt;"No")),"Set UOM and serial tracking",IF(OR(NOT(ISNUMBER(H25)),H25&lt;1,MOD(H25,1)&lt;&gt;0,NOT(ISNUMBER(I25)),I25&lt;0,MOD(I25,1)&lt;&gt;0),"Invalid pack or stock qty",IF(AND(G25="Yes",I25&lt;&gt;0),"Serialized stock belongs in Assets",IF(AND(C25="Assembly",I25&lt;&gt;0),"Assembly stock must be zero","OK"))))))))</x:f>
      </x:c>
    </x:row>
    <x:row r="26" ht="22" customHeight="1">
      <x:c r="A26" s="10"/>
      <x:c r="B26" s="10"/>
      <x:c r="C26" s="10"/>
      <x:c r="D26" s="10"/>
      <x:c r="E26" s="10"/>
      <x:c r="F26" s="10"/>
      <x:c r="G26" s="10"/>
      <x:c r="H26" s="12"/>
      <x:c r="I26" s="12"/>
      <x:c r="J26" s="10"/>
      <x:c r="K26" s="9" t="str">
        <x:f>IF(A26="","",IF(COUNTIFS('Definitions'!$A$8:$A$207,A26)&lt;&gt;1,"Duplicate definition ID",IF(B26="","Missing component name",IF(AND(C26&lt;&gt;"Part",C26&lt;&gt;"Assembly"),"Choose Part or Assembly",IF(OR(F26="",AND(G26&lt;&gt;"Yes",G26&lt;&gt;"No")),"Set UOM and serial tracking",IF(OR(NOT(ISNUMBER(H26)),H26&lt;1,MOD(H26,1)&lt;&gt;0,NOT(ISNUMBER(I26)),I26&lt;0,MOD(I26,1)&lt;&gt;0),"Invalid pack or stock qty",IF(AND(G26="Yes",I26&lt;&gt;0),"Serialized stock belongs in Assets",IF(AND(C26="Assembly",I26&lt;&gt;0),"Assembly stock must be zero","OK"))))))))</x:f>
      </x:c>
    </x:row>
    <x:row r="27" ht="22" customHeight="1">
      <x:c r="A27" s="10"/>
      <x:c r="B27" s="10"/>
      <x:c r="C27" s="10"/>
      <x:c r="D27" s="10"/>
      <x:c r="E27" s="10"/>
      <x:c r="F27" s="10"/>
      <x:c r="G27" s="10"/>
      <x:c r="H27" s="12"/>
      <x:c r="I27" s="12"/>
      <x:c r="J27" s="10"/>
      <x:c r="K27" s="9" t="str">
        <x:f>IF(A27="","",IF(COUNTIFS('Definitions'!$A$8:$A$207,A27)&lt;&gt;1,"Duplicate definition ID",IF(B27="","Missing component name",IF(AND(C27&lt;&gt;"Part",C27&lt;&gt;"Assembly"),"Choose Part or Assembly",IF(OR(F27="",AND(G27&lt;&gt;"Yes",G27&lt;&gt;"No")),"Set UOM and serial tracking",IF(OR(NOT(ISNUMBER(H27)),H27&lt;1,MOD(H27,1)&lt;&gt;0,NOT(ISNUMBER(I27)),I27&lt;0,MOD(I27,1)&lt;&gt;0),"Invalid pack or stock qty",IF(AND(G27="Yes",I27&lt;&gt;0),"Serialized stock belongs in Assets",IF(AND(C27="Assembly",I27&lt;&gt;0),"Assembly stock must be zero","OK"))))))))</x:f>
      </x:c>
    </x:row>
    <x:row r="28" ht="22" customHeight="1">
      <x:c r="A28" s="10"/>
      <x:c r="B28" s="10"/>
      <x:c r="C28" s="10"/>
      <x:c r="D28" s="10"/>
      <x:c r="E28" s="10"/>
      <x:c r="F28" s="10"/>
      <x:c r="G28" s="10"/>
      <x:c r="H28" s="12"/>
      <x:c r="I28" s="12"/>
      <x:c r="J28" s="10"/>
      <x:c r="K28" s="9" t="str">
        <x:f>IF(A28="","",IF(COUNTIFS('Definitions'!$A$8:$A$207,A28)&lt;&gt;1,"Duplicate definition ID",IF(B28="","Missing component name",IF(AND(C28&lt;&gt;"Part",C28&lt;&gt;"Assembly"),"Choose Part or Assembly",IF(OR(F28="",AND(G28&lt;&gt;"Yes",G28&lt;&gt;"No")),"Set UOM and serial tracking",IF(OR(NOT(ISNUMBER(H28)),H28&lt;1,MOD(H28,1)&lt;&gt;0,NOT(ISNUMBER(I28)),I28&lt;0,MOD(I28,1)&lt;&gt;0),"Invalid pack or stock qty",IF(AND(G28="Yes",I28&lt;&gt;0),"Serialized stock belongs in Assets",IF(AND(C28="Assembly",I28&lt;&gt;0),"Assembly stock must be zero","OK"))))))))</x:f>
      </x:c>
    </x:row>
    <x:row r="29" ht="22" customHeight="1">
      <x:c r="A29" s="10"/>
      <x:c r="B29" s="10"/>
      <x:c r="C29" s="10"/>
      <x:c r="D29" s="10"/>
      <x:c r="E29" s="10"/>
      <x:c r="F29" s="10"/>
      <x:c r="G29" s="10"/>
      <x:c r="H29" s="12"/>
      <x:c r="I29" s="12"/>
      <x:c r="J29" s="10"/>
      <x:c r="K29" s="9" t="str">
        <x:f>IF(A29="","",IF(COUNTIFS('Definitions'!$A$8:$A$207,A29)&lt;&gt;1,"Duplicate definition ID",IF(B29="","Missing component name",IF(AND(C29&lt;&gt;"Part",C29&lt;&gt;"Assembly"),"Choose Part or Assembly",IF(OR(F29="",AND(G29&lt;&gt;"Yes",G29&lt;&gt;"No")),"Set UOM and serial tracking",IF(OR(NOT(ISNUMBER(H29)),H29&lt;1,MOD(H29,1)&lt;&gt;0,NOT(ISNUMBER(I29)),I29&lt;0,MOD(I29,1)&lt;&gt;0),"Invalid pack or stock qty",IF(AND(G29="Yes",I29&lt;&gt;0),"Serialized stock belongs in Assets",IF(AND(C29="Assembly",I29&lt;&gt;0),"Assembly stock must be zero","OK"))))))))</x:f>
      </x:c>
    </x:row>
    <x:row r="30" ht="22" customHeight="1">
      <x:c r="A30" s="10"/>
      <x:c r="B30" s="10"/>
      <x:c r="C30" s="10"/>
      <x:c r="D30" s="10"/>
      <x:c r="E30" s="10"/>
      <x:c r="F30" s="10"/>
      <x:c r="G30" s="10"/>
      <x:c r="H30" s="12"/>
      <x:c r="I30" s="12"/>
      <x:c r="J30" s="10"/>
      <x:c r="K30" s="9" t="str">
        <x:f>IF(A30="","",IF(COUNTIFS('Definitions'!$A$8:$A$207,A30)&lt;&gt;1,"Duplicate definition ID",IF(B30="","Missing component name",IF(AND(C30&lt;&gt;"Part",C30&lt;&gt;"Assembly"),"Choose Part or Assembly",IF(OR(F30="",AND(G30&lt;&gt;"Yes",G30&lt;&gt;"No")),"Set UOM and serial tracking",IF(OR(NOT(ISNUMBER(H30)),H30&lt;1,MOD(H30,1)&lt;&gt;0,NOT(ISNUMBER(I30)),I30&lt;0,MOD(I30,1)&lt;&gt;0),"Invalid pack or stock qty",IF(AND(G30="Yes",I30&lt;&gt;0),"Serialized stock belongs in Assets",IF(AND(C30="Assembly",I30&lt;&gt;0),"Assembly stock must be zero","OK"))))))))</x:f>
      </x:c>
    </x:row>
    <x:row r="31" ht="22" customHeight="1">
      <x:c r="A31" s="10"/>
      <x:c r="B31" s="10"/>
      <x:c r="C31" s="10"/>
      <x:c r="D31" s="10"/>
      <x:c r="E31" s="10"/>
      <x:c r="F31" s="10"/>
      <x:c r="G31" s="10"/>
      <x:c r="H31" s="12"/>
      <x:c r="I31" s="12"/>
      <x:c r="J31" s="10"/>
      <x:c r="K31" s="9" t="str">
        <x:f>IF(A31="","",IF(COUNTIFS('Definitions'!$A$8:$A$207,A31)&lt;&gt;1,"Duplicate definition ID",IF(B31="","Missing component name",IF(AND(C31&lt;&gt;"Part",C31&lt;&gt;"Assembly"),"Choose Part or Assembly",IF(OR(F31="",AND(G31&lt;&gt;"Yes",G31&lt;&gt;"No")),"Set UOM and serial tracking",IF(OR(NOT(ISNUMBER(H31)),H31&lt;1,MOD(H31,1)&lt;&gt;0,NOT(ISNUMBER(I31)),I31&lt;0,MOD(I31,1)&lt;&gt;0),"Invalid pack or stock qty",IF(AND(G31="Yes",I31&lt;&gt;0),"Serialized stock belongs in Assets",IF(AND(C31="Assembly",I31&lt;&gt;0),"Assembly stock must be zero","OK"))))))))</x:f>
      </x:c>
    </x:row>
    <x:row r="32" ht="22" customHeight="1">
      <x:c r="A32" s="10"/>
      <x:c r="B32" s="10"/>
      <x:c r="C32" s="10"/>
      <x:c r="D32" s="10"/>
      <x:c r="E32" s="10"/>
      <x:c r="F32" s="10"/>
      <x:c r="G32" s="10"/>
      <x:c r="H32" s="12"/>
      <x:c r="I32" s="12"/>
      <x:c r="J32" s="10"/>
      <x:c r="K32" s="9" t="str">
        <x:f>IF(A32="","",IF(COUNTIFS('Definitions'!$A$8:$A$207,A32)&lt;&gt;1,"Duplicate definition ID",IF(B32="","Missing component name",IF(AND(C32&lt;&gt;"Part",C32&lt;&gt;"Assembly"),"Choose Part or Assembly",IF(OR(F32="",AND(G32&lt;&gt;"Yes",G32&lt;&gt;"No")),"Set UOM and serial tracking",IF(OR(NOT(ISNUMBER(H32)),H32&lt;1,MOD(H32,1)&lt;&gt;0,NOT(ISNUMBER(I32)),I32&lt;0,MOD(I32,1)&lt;&gt;0),"Invalid pack or stock qty",IF(AND(G32="Yes",I32&lt;&gt;0),"Serialized stock belongs in Assets",IF(AND(C32="Assembly",I32&lt;&gt;0),"Assembly stock must be zero","OK"))))))))</x:f>
      </x:c>
    </x:row>
    <x:row r="33" ht="22" customHeight="1">
      <x:c r="A33" s="10"/>
      <x:c r="B33" s="10"/>
      <x:c r="C33" s="10"/>
      <x:c r="D33" s="10"/>
      <x:c r="E33" s="10"/>
      <x:c r="F33" s="10"/>
      <x:c r="G33" s="10"/>
      <x:c r="H33" s="12"/>
      <x:c r="I33" s="12"/>
      <x:c r="J33" s="10"/>
      <x:c r="K33" s="9" t="str">
        <x:f>IF(A33="","",IF(COUNTIFS('Definitions'!$A$8:$A$207,A33)&lt;&gt;1,"Duplicate definition ID",IF(B33="","Missing component name",IF(AND(C33&lt;&gt;"Part",C33&lt;&gt;"Assembly"),"Choose Part or Assembly",IF(OR(F33="",AND(G33&lt;&gt;"Yes",G33&lt;&gt;"No")),"Set UOM and serial tracking",IF(OR(NOT(ISNUMBER(H33)),H33&lt;1,MOD(H33,1)&lt;&gt;0,NOT(ISNUMBER(I33)),I33&lt;0,MOD(I33,1)&lt;&gt;0),"Invalid pack or stock qty",IF(AND(G33="Yes",I33&lt;&gt;0),"Serialized stock belongs in Assets",IF(AND(C33="Assembly",I33&lt;&gt;0),"Assembly stock must be zero","OK"))))))))</x:f>
      </x:c>
    </x:row>
    <x:row r="34" ht="22" customHeight="1">
      <x:c r="A34" s="10"/>
      <x:c r="B34" s="10"/>
      <x:c r="C34" s="10"/>
      <x:c r="D34" s="10"/>
      <x:c r="E34" s="10"/>
      <x:c r="F34" s="10"/>
      <x:c r="G34" s="10"/>
      <x:c r="H34" s="12"/>
      <x:c r="I34" s="12"/>
      <x:c r="J34" s="10"/>
      <x:c r="K34" s="9" t="str">
        <x:f>IF(A34="","",IF(COUNTIFS('Definitions'!$A$8:$A$207,A34)&lt;&gt;1,"Duplicate definition ID",IF(B34="","Missing component name",IF(AND(C34&lt;&gt;"Part",C34&lt;&gt;"Assembly"),"Choose Part or Assembly",IF(OR(F34="",AND(G34&lt;&gt;"Yes",G34&lt;&gt;"No")),"Set UOM and serial tracking",IF(OR(NOT(ISNUMBER(H34)),H34&lt;1,MOD(H34,1)&lt;&gt;0,NOT(ISNUMBER(I34)),I34&lt;0,MOD(I34,1)&lt;&gt;0),"Invalid pack or stock qty",IF(AND(G34="Yes",I34&lt;&gt;0),"Serialized stock belongs in Assets",IF(AND(C34="Assembly",I34&lt;&gt;0),"Assembly stock must be zero","OK"))))))))</x:f>
      </x:c>
    </x:row>
    <x:row r="35" ht="22" customHeight="1">
      <x:c r="A35" s="10"/>
      <x:c r="B35" s="10"/>
      <x:c r="C35" s="10"/>
      <x:c r="D35" s="10"/>
      <x:c r="E35" s="10"/>
      <x:c r="F35" s="10"/>
      <x:c r="G35" s="10"/>
      <x:c r="H35" s="12"/>
      <x:c r="I35" s="12"/>
      <x:c r="J35" s="10"/>
      <x:c r="K35" s="9" t="str">
        <x:f>IF(A35="","",IF(COUNTIFS('Definitions'!$A$8:$A$207,A35)&lt;&gt;1,"Duplicate definition ID",IF(B35="","Missing component name",IF(AND(C35&lt;&gt;"Part",C35&lt;&gt;"Assembly"),"Choose Part or Assembly",IF(OR(F35="",AND(G35&lt;&gt;"Yes",G35&lt;&gt;"No")),"Set UOM and serial tracking",IF(OR(NOT(ISNUMBER(H35)),H35&lt;1,MOD(H35,1)&lt;&gt;0,NOT(ISNUMBER(I35)),I35&lt;0,MOD(I35,1)&lt;&gt;0),"Invalid pack or stock qty",IF(AND(G35="Yes",I35&lt;&gt;0),"Serialized stock belongs in Assets",IF(AND(C35="Assembly",I35&lt;&gt;0),"Assembly stock must be zero","OK"))))))))</x:f>
      </x:c>
    </x:row>
    <x:row r="36" ht="22" customHeight="1">
      <x:c r="A36" s="10"/>
      <x:c r="B36" s="10"/>
      <x:c r="C36" s="10"/>
      <x:c r="D36" s="10"/>
      <x:c r="E36" s="10"/>
      <x:c r="F36" s="10"/>
      <x:c r="G36" s="10"/>
      <x:c r="H36" s="12"/>
      <x:c r="I36" s="12"/>
      <x:c r="J36" s="10"/>
      <x:c r="K36" s="9" t="str">
        <x:f>IF(A36="","",IF(COUNTIFS('Definitions'!$A$8:$A$207,A36)&lt;&gt;1,"Duplicate definition ID",IF(B36="","Missing component name",IF(AND(C36&lt;&gt;"Part",C36&lt;&gt;"Assembly"),"Choose Part or Assembly",IF(OR(F36="",AND(G36&lt;&gt;"Yes",G36&lt;&gt;"No")),"Set UOM and serial tracking",IF(OR(NOT(ISNUMBER(H36)),H36&lt;1,MOD(H36,1)&lt;&gt;0,NOT(ISNUMBER(I36)),I36&lt;0,MOD(I36,1)&lt;&gt;0),"Invalid pack or stock qty",IF(AND(G36="Yes",I36&lt;&gt;0),"Serialized stock belongs in Assets",IF(AND(C36="Assembly",I36&lt;&gt;0),"Assembly stock must be zero","OK"))))))))</x:f>
      </x:c>
    </x:row>
    <x:row r="37" ht="22" customHeight="1">
      <x:c r="A37" s="10"/>
      <x:c r="B37" s="10"/>
      <x:c r="C37" s="10"/>
      <x:c r="D37" s="10"/>
      <x:c r="E37" s="10"/>
      <x:c r="F37" s="10"/>
      <x:c r="G37" s="10"/>
      <x:c r="H37" s="12"/>
      <x:c r="I37" s="12"/>
      <x:c r="J37" s="10"/>
      <x:c r="K37" s="9" t="str">
        <x:f>IF(A37="","",IF(COUNTIFS('Definitions'!$A$8:$A$207,A37)&lt;&gt;1,"Duplicate definition ID",IF(B37="","Missing component name",IF(AND(C37&lt;&gt;"Part",C37&lt;&gt;"Assembly"),"Choose Part or Assembly",IF(OR(F37="",AND(G37&lt;&gt;"Yes",G37&lt;&gt;"No")),"Set UOM and serial tracking",IF(OR(NOT(ISNUMBER(H37)),H37&lt;1,MOD(H37,1)&lt;&gt;0,NOT(ISNUMBER(I37)),I37&lt;0,MOD(I37,1)&lt;&gt;0),"Invalid pack or stock qty",IF(AND(G37="Yes",I37&lt;&gt;0),"Serialized stock belongs in Assets",IF(AND(C37="Assembly",I37&lt;&gt;0),"Assembly stock must be zero","OK"))))))))</x:f>
      </x:c>
    </x:row>
    <x:row r="38" ht="22" customHeight="1">
      <x:c r="A38" s="10"/>
      <x:c r="B38" s="10"/>
      <x:c r="C38" s="10"/>
      <x:c r="D38" s="10"/>
      <x:c r="E38" s="10"/>
      <x:c r="F38" s="10"/>
      <x:c r="G38" s="10"/>
      <x:c r="H38" s="12"/>
      <x:c r="I38" s="12"/>
      <x:c r="J38" s="10"/>
      <x:c r="K38" s="9" t="str">
        <x:f>IF(A38="","",IF(COUNTIFS('Definitions'!$A$8:$A$207,A38)&lt;&gt;1,"Duplicate definition ID",IF(B38="","Missing component name",IF(AND(C38&lt;&gt;"Part",C38&lt;&gt;"Assembly"),"Choose Part or Assembly",IF(OR(F38="",AND(G38&lt;&gt;"Yes",G38&lt;&gt;"No")),"Set UOM and serial tracking",IF(OR(NOT(ISNUMBER(H38)),H38&lt;1,MOD(H38,1)&lt;&gt;0,NOT(ISNUMBER(I38)),I38&lt;0,MOD(I38,1)&lt;&gt;0),"Invalid pack or stock qty",IF(AND(G38="Yes",I38&lt;&gt;0),"Serialized stock belongs in Assets",IF(AND(C38="Assembly",I38&lt;&gt;0),"Assembly stock must be zero","OK"))))))))</x:f>
      </x:c>
    </x:row>
    <x:row r="39" ht="22" customHeight="1">
      <x:c r="A39" s="10"/>
      <x:c r="B39" s="10"/>
      <x:c r="C39" s="10"/>
      <x:c r="D39" s="10"/>
      <x:c r="E39" s="10"/>
      <x:c r="F39" s="10"/>
      <x:c r="G39" s="10"/>
      <x:c r="H39" s="12"/>
      <x:c r="I39" s="12"/>
      <x:c r="J39" s="10"/>
      <x:c r="K39" s="9" t="str">
        <x:f>IF(A39="","",IF(COUNTIFS('Definitions'!$A$8:$A$207,A39)&lt;&gt;1,"Duplicate definition ID",IF(B39="","Missing component name",IF(AND(C39&lt;&gt;"Part",C39&lt;&gt;"Assembly"),"Choose Part or Assembly",IF(OR(F39="",AND(G39&lt;&gt;"Yes",G39&lt;&gt;"No")),"Set UOM and serial tracking",IF(OR(NOT(ISNUMBER(H39)),H39&lt;1,MOD(H39,1)&lt;&gt;0,NOT(ISNUMBER(I39)),I39&lt;0,MOD(I39,1)&lt;&gt;0),"Invalid pack or stock qty",IF(AND(G39="Yes",I39&lt;&gt;0),"Serialized stock belongs in Assets",IF(AND(C39="Assembly",I39&lt;&gt;0),"Assembly stock must be zero","OK"))))))))</x:f>
      </x:c>
    </x:row>
    <x:row r="40" ht="22" customHeight="1">
      <x:c r="A40" s="10"/>
      <x:c r="B40" s="10"/>
      <x:c r="C40" s="10"/>
      <x:c r="D40" s="10"/>
      <x:c r="E40" s="10"/>
      <x:c r="F40" s="10"/>
      <x:c r="G40" s="10"/>
      <x:c r="H40" s="12"/>
      <x:c r="I40" s="12"/>
      <x:c r="J40" s="10"/>
      <x:c r="K40" s="9" t="str">
        <x:f>IF(A40="","",IF(COUNTIFS('Definitions'!$A$8:$A$207,A40)&lt;&gt;1,"Duplicate definition ID",IF(B40="","Missing component name",IF(AND(C40&lt;&gt;"Part",C40&lt;&gt;"Assembly"),"Choose Part or Assembly",IF(OR(F40="",AND(G40&lt;&gt;"Yes",G40&lt;&gt;"No")),"Set UOM and serial tracking",IF(OR(NOT(ISNUMBER(H40)),H40&lt;1,MOD(H40,1)&lt;&gt;0,NOT(ISNUMBER(I40)),I40&lt;0,MOD(I40,1)&lt;&gt;0),"Invalid pack or stock qty",IF(AND(G40="Yes",I40&lt;&gt;0),"Serialized stock belongs in Assets",IF(AND(C40="Assembly",I40&lt;&gt;0),"Assembly stock must be zero","OK"))))))))</x:f>
      </x:c>
    </x:row>
    <x:row r="41" ht="22" customHeight="1">
      <x:c r="A41" s="10"/>
      <x:c r="B41" s="10"/>
      <x:c r="C41" s="10"/>
      <x:c r="D41" s="10"/>
      <x:c r="E41" s="10"/>
      <x:c r="F41" s="10"/>
      <x:c r="G41" s="10"/>
      <x:c r="H41" s="12"/>
      <x:c r="I41" s="12"/>
      <x:c r="J41" s="10"/>
      <x:c r="K41" s="9" t="str">
        <x:f>IF(A41="","",IF(COUNTIFS('Definitions'!$A$8:$A$207,A41)&lt;&gt;1,"Duplicate definition ID",IF(B41="","Missing component name",IF(AND(C41&lt;&gt;"Part",C41&lt;&gt;"Assembly"),"Choose Part or Assembly",IF(OR(F41="",AND(G41&lt;&gt;"Yes",G41&lt;&gt;"No")),"Set UOM and serial tracking",IF(OR(NOT(ISNUMBER(H41)),H41&lt;1,MOD(H41,1)&lt;&gt;0,NOT(ISNUMBER(I41)),I41&lt;0,MOD(I41,1)&lt;&gt;0),"Invalid pack or stock qty",IF(AND(G41="Yes",I41&lt;&gt;0),"Serialized stock belongs in Assets",IF(AND(C41="Assembly",I41&lt;&gt;0),"Assembly stock must be zero","OK"))))))))</x:f>
      </x:c>
    </x:row>
    <x:row r="42" ht="22" customHeight="1">
      <x:c r="A42" s="10"/>
      <x:c r="B42" s="10"/>
      <x:c r="C42" s="10"/>
      <x:c r="D42" s="10"/>
      <x:c r="E42" s="10"/>
      <x:c r="F42" s="10"/>
      <x:c r="G42" s="10"/>
      <x:c r="H42" s="12"/>
      <x:c r="I42" s="12"/>
      <x:c r="J42" s="10"/>
      <x:c r="K42" s="9" t="str">
        <x:f>IF(A42="","",IF(COUNTIFS('Definitions'!$A$8:$A$207,A42)&lt;&gt;1,"Duplicate definition ID",IF(B42="","Missing component name",IF(AND(C42&lt;&gt;"Part",C42&lt;&gt;"Assembly"),"Choose Part or Assembly",IF(OR(F42="",AND(G42&lt;&gt;"Yes",G42&lt;&gt;"No")),"Set UOM and serial tracking",IF(OR(NOT(ISNUMBER(H42)),H42&lt;1,MOD(H42,1)&lt;&gt;0,NOT(ISNUMBER(I42)),I42&lt;0,MOD(I42,1)&lt;&gt;0),"Invalid pack or stock qty",IF(AND(G42="Yes",I42&lt;&gt;0),"Serialized stock belongs in Assets",IF(AND(C42="Assembly",I42&lt;&gt;0),"Assembly stock must be zero","OK"))))))))</x:f>
      </x:c>
    </x:row>
    <x:row r="43" ht="22" customHeight="1">
      <x:c r="A43" s="10"/>
      <x:c r="B43" s="10"/>
      <x:c r="C43" s="10"/>
      <x:c r="D43" s="10"/>
      <x:c r="E43" s="10"/>
      <x:c r="F43" s="10"/>
      <x:c r="G43" s="10"/>
      <x:c r="H43" s="12"/>
      <x:c r="I43" s="12"/>
      <x:c r="J43" s="10"/>
      <x:c r="K43" s="9" t="str">
        <x:f>IF(A43="","",IF(COUNTIFS('Definitions'!$A$8:$A$207,A43)&lt;&gt;1,"Duplicate definition ID",IF(B43="","Missing component name",IF(AND(C43&lt;&gt;"Part",C43&lt;&gt;"Assembly"),"Choose Part or Assembly",IF(OR(F43="",AND(G43&lt;&gt;"Yes",G43&lt;&gt;"No")),"Set UOM and serial tracking",IF(OR(NOT(ISNUMBER(H43)),H43&lt;1,MOD(H43,1)&lt;&gt;0,NOT(ISNUMBER(I43)),I43&lt;0,MOD(I43,1)&lt;&gt;0),"Invalid pack or stock qty",IF(AND(G43="Yes",I43&lt;&gt;0),"Serialized stock belongs in Assets",IF(AND(C43="Assembly",I43&lt;&gt;0),"Assembly stock must be zero","OK"))))))))</x:f>
      </x:c>
    </x:row>
    <x:row r="44" ht="22" customHeight="1">
      <x:c r="A44" s="10"/>
      <x:c r="B44" s="10"/>
      <x:c r="C44" s="10"/>
      <x:c r="D44" s="10"/>
      <x:c r="E44" s="10"/>
      <x:c r="F44" s="10"/>
      <x:c r="G44" s="10"/>
      <x:c r="H44" s="12"/>
      <x:c r="I44" s="12"/>
      <x:c r="J44" s="10"/>
      <x:c r="K44" s="9" t="str">
        <x:f>IF(A44="","",IF(COUNTIFS('Definitions'!$A$8:$A$207,A44)&lt;&gt;1,"Duplicate definition ID",IF(B44="","Missing component name",IF(AND(C44&lt;&gt;"Part",C44&lt;&gt;"Assembly"),"Choose Part or Assembly",IF(OR(F44="",AND(G44&lt;&gt;"Yes",G44&lt;&gt;"No")),"Set UOM and serial tracking",IF(OR(NOT(ISNUMBER(H44)),H44&lt;1,MOD(H44,1)&lt;&gt;0,NOT(ISNUMBER(I44)),I44&lt;0,MOD(I44,1)&lt;&gt;0),"Invalid pack or stock qty",IF(AND(G44="Yes",I44&lt;&gt;0),"Serialized stock belongs in Assets",IF(AND(C44="Assembly",I44&lt;&gt;0),"Assembly stock must be zero","OK"))))))))</x:f>
      </x:c>
    </x:row>
    <x:row r="45" ht="22" customHeight="1">
      <x:c r="A45" s="10"/>
      <x:c r="B45" s="10"/>
      <x:c r="C45" s="10"/>
      <x:c r="D45" s="10"/>
      <x:c r="E45" s="10"/>
      <x:c r="F45" s="10"/>
      <x:c r="G45" s="10"/>
      <x:c r="H45" s="12"/>
      <x:c r="I45" s="12"/>
      <x:c r="J45" s="10"/>
      <x:c r="K45" s="9" t="str">
        <x:f>IF(A45="","",IF(COUNTIFS('Definitions'!$A$8:$A$207,A45)&lt;&gt;1,"Duplicate definition ID",IF(B45="","Missing component name",IF(AND(C45&lt;&gt;"Part",C45&lt;&gt;"Assembly"),"Choose Part or Assembly",IF(OR(F45="",AND(G45&lt;&gt;"Yes",G45&lt;&gt;"No")),"Set UOM and serial tracking",IF(OR(NOT(ISNUMBER(H45)),H45&lt;1,MOD(H45,1)&lt;&gt;0,NOT(ISNUMBER(I45)),I45&lt;0,MOD(I45,1)&lt;&gt;0),"Invalid pack or stock qty",IF(AND(G45="Yes",I45&lt;&gt;0),"Serialized stock belongs in Assets",IF(AND(C45="Assembly",I45&lt;&gt;0),"Assembly stock must be zero","OK"))))))))</x:f>
      </x:c>
    </x:row>
    <x:row r="46" ht="22" customHeight="1">
      <x:c r="A46" s="10"/>
      <x:c r="B46" s="10"/>
      <x:c r="C46" s="10"/>
      <x:c r="D46" s="10"/>
      <x:c r="E46" s="10"/>
      <x:c r="F46" s="10"/>
      <x:c r="G46" s="10"/>
      <x:c r="H46" s="12"/>
      <x:c r="I46" s="12"/>
      <x:c r="J46" s="10"/>
      <x:c r="K46" s="9" t="str">
        <x:f>IF(A46="","",IF(COUNTIFS('Definitions'!$A$8:$A$207,A46)&lt;&gt;1,"Duplicate definition ID",IF(B46="","Missing component name",IF(AND(C46&lt;&gt;"Part",C46&lt;&gt;"Assembly"),"Choose Part or Assembly",IF(OR(F46="",AND(G46&lt;&gt;"Yes",G46&lt;&gt;"No")),"Set UOM and serial tracking",IF(OR(NOT(ISNUMBER(H46)),H46&lt;1,MOD(H46,1)&lt;&gt;0,NOT(ISNUMBER(I46)),I46&lt;0,MOD(I46,1)&lt;&gt;0),"Invalid pack or stock qty",IF(AND(G46="Yes",I46&lt;&gt;0),"Serialized stock belongs in Assets",IF(AND(C46="Assembly",I46&lt;&gt;0),"Assembly stock must be zero","OK"))))))))</x:f>
      </x:c>
    </x:row>
    <x:row r="47" ht="22" customHeight="1">
      <x:c r="A47" s="10"/>
      <x:c r="B47" s="10"/>
      <x:c r="C47" s="10"/>
      <x:c r="D47" s="10"/>
      <x:c r="E47" s="10"/>
      <x:c r="F47" s="10"/>
      <x:c r="G47" s="10"/>
      <x:c r="H47" s="12"/>
      <x:c r="I47" s="12"/>
      <x:c r="J47" s="10"/>
      <x:c r="K47" s="9" t="str">
        <x:f>IF(A47="","",IF(COUNTIFS('Definitions'!$A$8:$A$207,A47)&lt;&gt;1,"Duplicate definition ID",IF(B47="","Missing component name",IF(AND(C47&lt;&gt;"Part",C47&lt;&gt;"Assembly"),"Choose Part or Assembly",IF(OR(F47="",AND(G47&lt;&gt;"Yes",G47&lt;&gt;"No")),"Set UOM and serial tracking",IF(OR(NOT(ISNUMBER(H47)),H47&lt;1,MOD(H47,1)&lt;&gt;0,NOT(ISNUMBER(I47)),I47&lt;0,MOD(I47,1)&lt;&gt;0),"Invalid pack or stock qty",IF(AND(G47="Yes",I47&lt;&gt;0),"Serialized stock belongs in Assets",IF(AND(C47="Assembly",I47&lt;&gt;0),"Assembly stock must be zero","OK"))))))))</x:f>
      </x:c>
    </x:row>
    <x:row r="48" ht="22" customHeight="1">
      <x:c r="A48" s="10"/>
      <x:c r="B48" s="10"/>
      <x:c r="C48" s="10"/>
      <x:c r="D48" s="10"/>
      <x:c r="E48" s="10"/>
      <x:c r="F48" s="10"/>
      <x:c r="G48" s="10"/>
      <x:c r="H48" s="12"/>
      <x:c r="I48" s="12"/>
      <x:c r="J48" s="10"/>
      <x:c r="K48" s="9" t="str">
        <x:f>IF(A48="","",IF(COUNTIFS('Definitions'!$A$8:$A$207,A48)&lt;&gt;1,"Duplicate definition ID",IF(B48="","Missing component name",IF(AND(C48&lt;&gt;"Part",C48&lt;&gt;"Assembly"),"Choose Part or Assembly",IF(OR(F48="",AND(G48&lt;&gt;"Yes",G48&lt;&gt;"No")),"Set UOM and serial tracking",IF(OR(NOT(ISNUMBER(H48)),H48&lt;1,MOD(H48,1)&lt;&gt;0,NOT(ISNUMBER(I48)),I48&lt;0,MOD(I48,1)&lt;&gt;0),"Invalid pack or stock qty",IF(AND(G48="Yes",I48&lt;&gt;0),"Serialized stock belongs in Assets",IF(AND(C48="Assembly",I48&lt;&gt;0),"Assembly stock must be zero","OK"))))))))</x:f>
      </x:c>
    </x:row>
    <x:row r="49" ht="22" customHeight="1">
      <x:c r="A49" s="10"/>
      <x:c r="B49" s="10"/>
      <x:c r="C49" s="10"/>
      <x:c r="D49" s="10"/>
      <x:c r="E49" s="10"/>
      <x:c r="F49" s="10"/>
      <x:c r="G49" s="10"/>
      <x:c r="H49" s="12"/>
      <x:c r="I49" s="12"/>
      <x:c r="J49" s="10"/>
      <x:c r="K49" s="9" t="str">
        <x:f>IF(A49="","",IF(COUNTIFS('Definitions'!$A$8:$A$207,A49)&lt;&gt;1,"Duplicate definition ID",IF(B49="","Missing component name",IF(AND(C49&lt;&gt;"Part",C49&lt;&gt;"Assembly"),"Choose Part or Assembly",IF(OR(F49="",AND(G49&lt;&gt;"Yes",G49&lt;&gt;"No")),"Set UOM and serial tracking",IF(OR(NOT(ISNUMBER(H49)),H49&lt;1,MOD(H49,1)&lt;&gt;0,NOT(ISNUMBER(I49)),I49&lt;0,MOD(I49,1)&lt;&gt;0),"Invalid pack or stock qty",IF(AND(G49="Yes",I49&lt;&gt;0),"Serialized stock belongs in Assets",IF(AND(C49="Assembly",I49&lt;&gt;0),"Assembly stock must be zero","OK"))))))))</x:f>
      </x:c>
    </x:row>
    <x:row r="50" ht="22" customHeight="1">
      <x:c r="A50" s="10"/>
      <x:c r="B50" s="10"/>
      <x:c r="C50" s="10"/>
      <x:c r="D50" s="10"/>
      <x:c r="E50" s="10"/>
      <x:c r="F50" s="10"/>
      <x:c r="G50" s="10"/>
      <x:c r="H50" s="12"/>
      <x:c r="I50" s="12"/>
      <x:c r="J50" s="10"/>
      <x:c r="K50" s="9" t="str">
        <x:f>IF(A50="","",IF(COUNTIFS('Definitions'!$A$8:$A$207,A50)&lt;&gt;1,"Duplicate definition ID",IF(B50="","Missing component name",IF(AND(C50&lt;&gt;"Part",C50&lt;&gt;"Assembly"),"Choose Part or Assembly",IF(OR(F50="",AND(G50&lt;&gt;"Yes",G50&lt;&gt;"No")),"Set UOM and serial tracking",IF(OR(NOT(ISNUMBER(H50)),H50&lt;1,MOD(H50,1)&lt;&gt;0,NOT(ISNUMBER(I50)),I50&lt;0,MOD(I50,1)&lt;&gt;0),"Invalid pack or stock qty",IF(AND(G50="Yes",I50&lt;&gt;0),"Serialized stock belongs in Assets",IF(AND(C50="Assembly",I50&lt;&gt;0),"Assembly stock must be zero","OK"))))))))</x:f>
      </x:c>
    </x:row>
    <x:row r="51" ht="22" customHeight="1">
      <x:c r="A51" s="10"/>
      <x:c r="B51" s="10"/>
      <x:c r="C51" s="10"/>
      <x:c r="D51" s="10"/>
      <x:c r="E51" s="10"/>
      <x:c r="F51" s="10"/>
      <x:c r="G51" s="10"/>
      <x:c r="H51" s="12"/>
      <x:c r="I51" s="12"/>
      <x:c r="J51" s="10"/>
      <x:c r="K51" s="9" t="str">
        <x:f>IF(A51="","",IF(COUNTIFS('Definitions'!$A$8:$A$207,A51)&lt;&gt;1,"Duplicate definition ID",IF(B51="","Missing component name",IF(AND(C51&lt;&gt;"Part",C51&lt;&gt;"Assembly"),"Choose Part or Assembly",IF(OR(F51="",AND(G51&lt;&gt;"Yes",G51&lt;&gt;"No")),"Set UOM and serial tracking",IF(OR(NOT(ISNUMBER(H51)),H51&lt;1,MOD(H51,1)&lt;&gt;0,NOT(ISNUMBER(I51)),I51&lt;0,MOD(I51,1)&lt;&gt;0),"Invalid pack or stock qty",IF(AND(G51="Yes",I51&lt;&gt;0),"Serialized stock belongs in Assets",IF(AND(C51="Assembly",I51&lt;&gt;0),"Assembly stock must be zero","OK"))))))))</x:f>
      </x:c>
    </x:row>
    <x:row r="52" ht="22" customHeight="1">
      <x:c r="A52" s="10"/>
      <x:c r="B52" s="10"/>
      <x:c r="C52" s="10"/>
      <x:c r="D52" s="10"/>
      <x:c r="E52" s="10"/>
      <x:c r="F52" s="10"/>
      <x:c r="G52" s="10"/>
      <x:c r="H52" s="12"/>
      <x:c r="I52" s="12"/>
      <x:c r="J52" s="10"/>
      <x:c r="K52" s="9" t="str">
        <x:f>IF(A52="","",IF(COUNTIFS('Definitions'!$A$8:$A$207,A52)&lt;&gt;1,"Duplicate definition ID",IF(B52="","Missing component name",IF(AND(C52&lt;&gt;"Part",C52&lt;&gt;"Assembly"),"Choose Part or Assembly",IF(OR(F52="",AND(G52&lt;&gt;"Yes",G52&lt;&gt;"No")),"Set UOM and serial tracking",IF(OR(NOT(ISNUMBER(H52)),H52&lt;1,MOD(H52,1)&lt;&gt;0,NOT(ISNUMBER(I52)),I52&lt;0,MOD(I52,1)&lt;&gt;0),"Invalid pack or stock qty",IF(AND(G52="Yes",I52&lt;&gt;0),"Serialized stock belongs in Assets",IF(AND(C52="Assembly",I52&lt;&gt;0),"Assembly stock must be zero","OK"))))))))</x:f>
      </x:c>
    </x:row>
    <x:row r="53" ht="22" customHeight="1">
      <x:c r="A53" s="10"/>
      <x:c r="B53" s="10"/>
      <x:c r="C53" s="10"/>
      <x:c r="D53" s="10"/>
      <x:c r="E53" s="10"/>
      <x:c r="F53" s="10"/>
      <x:c r="G53" s="10"/>
      <x:c r="H53" s="12"/>
      <x:c r="I53" s="12"/>
      <x:c r="J53" s="10"/>
      <x:c r="K53" s="9" t="str">
        <x:f>IF(A53="","",IF(COUNTIFS('Definitions'!$A$8:$A$207,A53)&lt;&gt;1,"Duplicate definition ID",IF(B53="","Missing component name",IF(AND(C53&lt;&gt;"Part",C53&lt;&gt;"Assembly"),"Choose Part or Assembly",IF(OR(F53="",AND(G53&lt;&gt;"Yes",G53&lt;&gt;"No")),"Set UOM and serial tracking",IF(OR(NOT(ISNUMBER(H53)),H53&lt;1,MOD(H53,1)&lt;&gt;0,NOT(ISNUMBER(I53)),I53&lt;0,MOD(I53,1)&lt;&gt;0),"Invalid pack or stock qty",IF(AND(G53="Yes",I53&lt;&gt;0),"Serialized stock belongs in Assets",IF(AND(C53="Assembly",I53&lt;&gt;0),"Assembly stock must be zero","OK"))))))))</x:f>
      </x:c>
    </x:row>
    <x:row r="54" ht="22" customHeight="1">
      <x:c r="A54" s="10"/>
      <x:c r="B54" s="10"/>
      <x:c r="C54" s="10"/>
      <x:c r="D54" s="10"/>
      <x:c r="E54" s="10"/>
      <x:c r="F54" s="10"/>
      <x:c r="G54" s="10"/>
      <x:c r="H54" s="12"/>
      <x:c r="I54" s="12"/>
      <x:c r="J54" s="10"/>
      <x:c r="K54" s="9" t="str">
        <x:f>IF(A54="","",IF(COUNTIFS('Definitions'!$A$8:$A$207,A54)&lt;&gt;1,"Duplicate definition ID",IF(B54="","Missing component name",IF(AND(C54&lt;&gt;"Part",C54&lt;&gt;"Assembly"),"Choose Part or Assembly",IF(OR(F54="",AND(G54&lt;&gt;"Yes",G54&lt;&gt;"No")),"Set UOM and serial tracking",IF(OR(NOT(ISNUMBER(H54)),H54&lt;1,MOD(H54,1)&lt;&gt;0,NOT(ISNUMBER(I54)),I54&lt;0,MOD(I54,1)&lt;&gt;0),"Invalid pack or stock qty",IF(AND(G54="Yes",I54&lt;&gt;0),"Serialized stock belongs in Assets",IF(AND(C54="Assembly",I54&lt;&gt;0),"Assembly stock must be zero","OK"))))))))</x:f>
      </x:c>
    </x:row>
    <x:row r="55" ht="22" customHeight="1">
      <x:c r="A55" s="10"/>
      <x:c r="B55" s="10"/>
      <x:c r="C55" s="10"/>
      <x:c r="D55" s="10"/>
      <x:c r="E55" s="10"/>
      <x:c r="F55" s="10"/>
      <x:c r="G55" s="10"/>
      <x:c r="H55" s="12"/>
      <x:c r="I55" s="12"/>
      <x:c r="J55" s="10"/>
      <x:c r="K55" s="9" t="str">
        <x:f>IF(A55="","",IF(COUNTIFS('Definitions'!$A$8:$A$207,A55)&lt;&gt;1,"Duplicate definition ID",IF(B55="","Missing component name",IF(AND(C55&lt;&gt;"Part",C55&lt;&gt;"Assembly"),"Choose Part or Assembly",IF(OR(F55="",AND(G55&lt;&gt;"Yes",G55&lt;&gt;"No")),"Set UOM and serial tracking",IF(OR(NOT(ISNUMBER(H55)),H55&lt;1,MOD(H55,1)&lt;&gt;0,NOT(ISNUMBER(I55)),I55&lt;0,MOD(I55,1)&lt;&gt;0),"Invalid pack or stock qty",IF(AND(G55="Yes",I55&lt;&gt;0),"Serialized stock belongs in Assets",IF(AND(C55="Assembly",I55&lt;&gt;0),"Assembly stock must be zero","OK"))))))))</x:f>
      </x:c>
    </x:row>
    <x:row r="56" ht="22" customHeight="1">
      <x:c r="A56" s="10"/>
      <x:c r="B56" s="10"/>
      <x:c r="C56" s="10"/>
      <x:c r="D56" s="10"/>
      <x:c r="E56" s="10"/>
      <x:c r="F56" s="10"/>
      <x:c r="G56" s="10"/>
      <x:c r="H56" s="12"/>
      <x:c r="I56" s="12"/>
      <x:c r="J56" s="10"/>
      <x:c r="K56" s="9" t="str">
        <x:f>IF(A56="","",IF(COUNTIFS('Definitions'!$A$8:$A$207,A56)&lt;&gt;1,"Duplicate definition ID",IF(B56="","Missing component name",IF(AND(C56&lt;&gt;"Part",C56&lt;&gt;"Assembly"),"Choose Part or Assembly",IF(OR(F56="",AND(G56&lt;&gt;"Yes",G56&lt;&gt;"No")),"Set UOM and serial tracking",IF(OR(NOT(ISNUMBER(H56)),H56&lt;1,MOD(H56,1)&lt;&gt;0,NOT(ISNUMBER(I56)),I56&lt;0,MOD(I56,1)&lt;&gt;0),"Invalid pack or stock qty",IF(AND(G56="Yes",I56&lt;&gt;0),"Serialized stock belongs in Assets",IF(AND(C56="Assembly",I56&lt;&gt;0),"Assembly stock must be zero","OK"))))))))</x:f>
      </x:c>
    </x:row>
    <x:row r="57" ht="22" customHeight="1">
      <x:c r="A57" s="10"/>
      <x:c r="B57" s="10"/>
      <x:c r="C57" s="10"/>
      <x:c r="D57" s="10"/>
      <x:c r="E57" s="10"/>
      <x:c r="F57" s="10"/>
      <x:c r="G57" s="10"/>
      <x:c r="H57" s="12"/>
      <x:c r="I57" s="12"/>
      <x:c r="J57" s="10"/>
      <x:c r="K57" s="9" t="str">
        <x:f>IF(A57="","",IF(COUNTIFS('Definitions'!$A$8:$A$207,A57)&lt;&gt;1,"Duplicate definition ID",IF(B57="","Missing component name",IF(AND(C57&lt;&gt;"Part",C57&lt;&gt;"Assembly"),"Choose Part or Assembly",IF(OR(F57="",AND(G57&lt;&gt;"Yes",G57&lt;&gt;"No")),"Set UOM and serial tracking",IF(OR(NOT(ISNUMBER(H57)),H57&lt;1,MOD(H57,1)&lt;&gt;0,NOT(ISNUMBER(I57)),I57&lt;0,MOD(I57,1)&lt;&gt;0),"Invalid pack or stock qty",IF(AND(G57="Yes",I57&lt;&gt;0),"Serialized stock belongs in Assets",IF(AND(C57="Assembly",I57&lt;&gt;0),"Assembly stock must be zero","OK"))))))))</x:f>
      </x:c>
    </x:row>
    <x:row r="58" ht="22" customHeight="1">
      <x:c r="A58" s="10"/>
      <x:c r="B58" s="10"/>
      <x:c r="C58" s="10"/>
      <x:c r="D58" s="10"/>
      <x:c r="E58" s="10"/>
      <x:c r="F58" s="10"/>
      <x:c r="G58" s="10"/>
      <x:c r="H58" s="12"/>
      <x:c r="I58" s="12"/>
      <x:c r="J58" s="10"/>
      <x:c r="K58" s="9" t="str">
        <x:f>IF(A58="","",IF(COUNTIFS('Definitions'!$A$8:$A$207,A58)&lt;&gt;1,"Duplicate definition ID",IF(B58="","Missing component name",IF(AND(C58&lt;&gt;"Part",C58&lt;&gt;"Assembly"),"Choose Part or Assembly",IF(OR(F58="",AND(G58&lt;&gt;"Yes",G58&lt;&gt;"No")),"Set UOM and serial tracking",IF(OR(NOT(ISNUMBER(H58)),H58&lt;1,MOD(H58,1)&lt;&gt;0,NOT(ISNUMBER(I58)),I58&lt;0,MOD(I58,1)&lt;&gt;0),"Invalid pack or stock qty",IF(AND(G58="Yes",I58&lt;&gt;0),"Serialized stock belongs in Assets",IF(AND(C58="Assembly",I58&lt;&gt;0),"Assembly stock must be zero","OK"))))))))</x:f>
      </x:c>
    </x:row>
    <x:row r="59" ht="22" customHeight="1">
      <x:c r="A59" s="10"/>
      <x:c r="B59" s="10"/>
      <x:c r="C59" s="10"/>
      <x:c r="D59" s="10"/>
      <x:c r="E59" s="10"/>
      <x:c r="F59" s="10"/>
      <x:c r="G59" s="10"/>
      <x:c r="H59" s="12"/>
      <x:c r="I59" s="12"/>
      <x:c r="J59" s="10"/>
      <x:c r="K59" s="9" t="str">
        <x:f>IF(A59="","",IF(COUNTIFS('Definitions'!$A$8:$A$207,A59)&lt;&gt;1,"Duplicate definition ID",IF(B59="","Missing component name",IF(AND(C59&lt;&gt;"Part",C59&lt;&gt;"Assembly"),"Choose Part or Assembly",IF(OR(F59="",AND(G59&lt;&gt;"Yes",G59&lt;&gt;"No")),"Set UOM and serial tracking",IF(OR(NOT(ISNUMBER(H59)),H59&lt;1,MOD(H59,1)&lt;&gt;0,NOT(ISNUMBER(I59)),I59&lt;0,MOD(I59,1)&lt;&gt;0),"Invalid pack or stock qty",IF(AND(G59="Yes",I59&lt;&gt;0),"Serialized stock belongs in Assets",IF(AND(C59="Assembly",I59&lt;&gt;0),"Assembly stock must be zero","OK"))))))))</x:f>
      </x:c>
    </x:row>
    <x:row r="60" ht="22" customHeight="1">
      <x:c r="A60" s="10"/>
      <x:c r="B60" s="10"/>
      <x:c r="C60" s="10"/>
      <x:c r="D60" s="10"/>
      <x:c r="E60" s="10"/>
      <x:c r="F60" s="10"/>
      <x:c r="G60" s="10"/>
      <x:c r="H60" s="12"/>
      <x:c r="I60" s="12"/>
      <x:c r="J60" s="10"/>
      <x:c r="K60" s="9" t="str">
        <x:f>IF(A60="","",IF(COUNTIFS('Definitions'!$A$8:$A$207,A60)&lt;&gt;1,"Duplicate definition ID",IF(B60="","Missing component name",IF(AND(C60&lt;&gt;"Part",C60&lt;&gt;"Assembly"),"Choose Part or Assembly",IF(OR(F60="",AND(G60&lt;&gt;"Yes",G60&lt;&gt;"No")),"Set UOM and serial tracking",IF(OR(NOT(ISNUMBER(H60)),H60&lt;1,MOD(H60,1)&lt;&gt;0,NOT(ISNUMBER(I60)),I60&lt;0,MOD(I60,1)&lt;&gt;0),"Invalid pack or stock qty",IF(AND(G60="Yes",I60&lt;&gt;0),"Serialized stock belongs in Assets",IF(AND(C60="Assembly",I60&lt;&gt;0),"Assembly stock must be zero","OK"))))))))</x:f>
      </x:c>
    </x:row>
    <x:row r="61" ht="22" customHeight="1">
      <x:c r="A61" s="10"/>
      <x:c r="B61" s="10"/>
      <x:c r="C61" s="10"/>
      <x:c r="D61" s="10"/>
      <x:c r="E61" s="10"/>
      <x:c r="F61" s="10"/>
      <x:c r="G61" s="10"/>
      <x:c r="H61" s="12"/>
      <x:c r="I61" s="12"/>
      <x:c r="J61" s="10"/>
      <x:c r="K61" s="9" t="str">
        <x:f>IF(A61="","",IF(COUNTIFS('Definitions'!$A$8:$A$207,A61)&lt;&gt;1,"Duplicate definition ID",IF(B61="","Missing component name",IF(AND(C61&lt;&gt;"Part",C61&lt;&gt;"Assembly"),"Choose Part or Assembly",IF(OR(F61="",AND(G61&lt;&gt;"Yes",G61&lt;&gt;"No")),"Set UOM and serial tracking",IF(OR(NOT(ISNUMBER(H61)),H61&lt;1,MOD(H61,1)&lt;&gt;0,NOT(ISNUMBER(I61)),I61&lt;0,MOD(I61,1)&lt;&gt;0),"Invalid pack or stock qty",IF(AND(G61="Yes",I61&lt;&gt;0),"Serialized stock belongs in Assets",IF(AND(C61="Assembly",I61&lt;&gt;0),"Assembly stock must be zero","OK"))))))))</x:f>
      </x:c>
    </x:row>
    <x:row r="62" ht="22" customHeight="1">
      <x:c r="A62" s="10"/>
      <x:c r="B62" s="10"/>
      <x:c r="C62" s="10"/>
      <x:c r="D62" s="10"/>
      <x:c r="E62" s="10"/>
      <x:c r="F62" s="10"/>
      <x:c r="G62" s="10"/>
      <x:c r="H62" s="12"/>
      <x:c r="I62" s="12"/>
      <x:c r="J62" s="10"/>
      <x:c r="K62" s="9" t="str">
        <x:f>IF(A62="","",IF(COUNTIFS('Definitions'!$A$8:$A$207,A62)&lt;&gt;1,"Duplicate definition ID",IF(B62="","Missing component name",IF(AND(C62&lt;&gt;"Part",C62&lt;&gt;"Assembly"),"Choose Part or Assembly",IF(OR(F62="",AND(G62&lt;&gt;"Yes",G62&lt;&gt;"No")),"Set UOM and serial tracking",IF(OR(NOT(ISNUMBER(H62)),H62&lt;1,MOD(H62,1)&lt;&gt;0,NOT(ISNUMBER(I62)),I62&lt;0,MOD(I62,1)&lt;&gt;0),"Invalid pack or stock qty",IF(AND(G62="Yes",I62&lt;&gt;0),"Serialized stock belongs in Assets",IF(AND(C62="Assembly",I62&lt;&gt;0),"Assembly stock must be zero","OK"))))))))</x:f>
      </x:c>
    </x:row>
    <x:row r="63" ht="22" customHeight="1">
      <x:c r="A63" s="10"/>
      <x:c r="B63" s="10"/>
      <x:c r="C63" s="10"/>
      <x:c r="D63" s="10"/>
      <x:c r="E63" s="10"/>
      <x:c r="F63" s="10"/>
      <x:c r="G63" s="10"/>
      <x:c r="H63" s="12"/>
      <x:c r="I63" s="12"/>
      <x:c r="J63" s="10"/>
      <x:c r="K63" s="9" t="str">
        <x:f>IF(A63="","",IF(COUNTIFS('Definitions'!$A$8:$A$207,A63)&lt;&gt;1,"Duplicate definition ID",IF(B63="","Missing component name",IF(AND(C63&lt;&gt;"Part",C63&lt;&gt;"Assembly"),"Choose Part or Assembly",IF(OR(F63="",AND(G63&lt;&gt;"Yes",G63&lt;&gt;"No")),"Set UOM and serial tracking",IF(OR(NOT(ISNUMBER(H63)),H63&lt;1,MOD(H63,1)&lt;&gt;0,NOT(ISNUMBER(I63)),I63&lt;0,MOD(I63,1)&lt;&gt;0),"Invalid pack or stock qty",IF(AND(G63="Yes",I63&lt;&gt;0),"Serialized stock belongs in Assets",IF(AND(C63="Assembly",I63&lt;&gt;0),"Assembly stock must be zero","OK"))))))))</x:f>
      </x:c>
    </x:row>
    <x:row r="64" ht="22" customHeight="1">
      <x:c r="A64" s="10"/>
      <x:c r="B64" s="10"/>
      <x:c r="C64" s="10"/>
      <x:c r="D64" s="10"/>
      <x:c r="E64" s="10"/>
      <x:c r="F64" s="10"/>
      <x:c r="G64" s="10"/>
      <x:c r="H64" s="12"/>
      <x:c r="I64" s="12"/>
      <x:c r="J64" s="10"/>
      <x:c r="K64" s="9" t="str">
        <x:f>IF(A64="","",IF(COUNTIFS('Definitions'!$A$8:$A$207,A64)&lt;&gt;1,"Duplicate definition ID",IF(B64="","Missing component name",IF(AND(C64&lt;&gt;"Part",C64&lt;&gt;"Assembly"),"Choose Part or Assembly",IF(OR(F64="",AND(G64&lt;&gt;"Yes",G64&lt;&gt;"No")),"Set UOM and serial tracking",IF(OR(NOT(ISNUMBER(H64)),H64&lt;1,MOD(H64,1)&lt;&gt;0,NOT(ISNUMBER(I64)),I64&lt;0,MOD(I64,1)&lt;&gt;0),"Invalid pack or stock qty",IF(AND(G64="Yes",I64&lt;&gt;0),"Serialized stock belongs in Assets",IF(AND(C64="Assembly",I64&lt;&gt;0),"Assembly stock must be zero","OK"))))))))</x:f>
      </x:c>
    </x:row>
    <x:row r="65" ht="22" customHeight="1">
      <x:c r="A65" s="10"/>
      <x:c r="B65" s="10"/>
      <x:c r="C65" s="10"/>
      <x:c r="D65" s="10"/>
      <x:c r="E65" s="10"/>
      <x:c r="F65" s="10"/>
      <x:c r="G65" s="10"/>
      <x:c r="H65" s="12"/>
      <x:c r="I65" s="12"/>
      <x:c r="J65" s="10"/>
      <x:c r="K65" s="9" t="str">
        <x:f>IF(A65="","",IF(COUNTIFS('Definitions'!$A$8:$A$207,A65)&lt;&gt;1,"Duplicate definition ID",IF(B65="","Missing component name",IF(AND(C65&lt;&gt;"Part",C65&lt;&gt;"Assembly"),"Choose Part or Assembly",IF(OR(F65="",AND(G65&lt;&gt;"Yes",G65&lt;&gt;"No")),"Set UOM and serial tracking",IF(OR(NOT(ISNUMBER(H65)),H65&lt;1,MOD(H65,1)&lt;&gt;0,NOT(ISNUMBER(I65)),I65&lt;0,MOD(I65,1)&lt;&gt;0),"Invalid pack or stock qty",IF(AND(G65="Yes",I65&lt;&gt;0),"Serialized stock belongs in Assets",IF(AND(C65="Assembly",I65&lt;&gt;0),"Assembly stock must be zero","OK"))))))))</x:f>
      </x:c>
    </x:row>
    <x:row r="66" ht="22" customHeight="1">
      <x:c r="A66" s="10"/>
      <x:c r="B66" s="10"/>
      <x:c r="C66" s="10"/>
      <x:c r="D66" s="10"/>
      <x:c r="E66" s="10"/>
      <x:c r="F66" s="10"/>
      <x:c r="G66" s="10"/>
      <x:c r="H66" s="12"/>
      <x:c r="I66" s="12"/>
      <x:c r="J66" s="10"/>
      <x:c r="K66" s="9" t="str">
        <x:f>IF(A66="","",IF(COUNTIFS('Definitions'!$A$8:$A$207,A66)&lt;&gt;1,"Duplicate definition ID",IF(B66="","Missing component name",IF(AND(C66&lt;&gt;"Part",C66&lt;&gt;"Assembly"),"Choose Part or Assembly",IF(OR(F66="",AND(G66&lt;&gt;"Yes",G66&lt;&gt;"No")),"Set UOM and serial tracking",IF(OR(NOT(ISNUMBER(H66)),H66&lt;1,MOD(H66,1)&lt;&gt;0,NOT(ISNUMBER(I66)),I66&lt;0,MOD(I66,1)&lt;&gt;0),"Invalid pack or stock qty",IF(AND(G66="Yes",I66&lt;&gt;0),"Serialized stock belongs in Assets",IF(AND(C66="Assembly",I66&lt;&gt;0),"Assembly stock must be zero","OK"))))))))</x:f>
      </x:c>
    </x:row>
    <x:row r="67" ht="22" customHeight="1">
      <x:c r="A67" s="10"/>
      <x:c r="B67" s="10"/>
      <x:c r="C67" s="10"/>
      <x:c r="D67" s="10"/>
      <x:c r="E67" s="10"/>
      <x:c r="F67" s="10"/>
      <x:c r="G67" s="10"/>
      <x:c r="H67" s="12"/>
      <x:c r="I67" s="12"/>
      <x:c r="J67" s="10"/>
      <x:c r="K67" s="9" t="str">
        <x:f>IF(A67="","",IF(COUNTIFS('Definitions'!$A$8:$A$207,A67)&lt;&gt;1,"Duplicate definition ID",IF(B67="","Missing component name",IF(AND(C67&lt;&gt;"Part",C67&lt;&gt;"Assembly"),"Choose Part or Assembly",IF(OR(F67="",AND(G67&lt;&gt;"Yes",G67&lt;&gt;"No")),"Set UOM and serial tracking",IF(OR(NOT(ISNUMBER(H67)),H67&lt;1,MOD(H67,1)&lt;&gt;0,NOT(ISNUMBER(I67)),I67&lt;0,MOD(I67,1)&lt;&gt;0),"Invalid pack or stock qty",IF(AND(G67="Yes",I67&lt;&gt;0),"Serialized stock belongs in Assets",IF(AND(C67="Assembly",I67&lt;&gt;0),"Assembly stock must be zero","OK"))))))))</x:f>
      </x:c>
    </x:row>
    <x:row r="68" ht="22" customHeight="1">
      <x:c r="A68" s="10"/>
      <x:c r="B68" s="10"/>
      <x:c r="C68" s="10"/>
      <x:c r="D68" s="10"/>
      <x:c r="E68" s="10"/>
      <x:c r="F68" s="10"/>
      <x:c r="G68" s="10"/>
      <x:c r="H68" s="12"/>
      <x:c r="I68" s="12"/>
      <x:c r="J68" s="10"/>
      <x:c r="K68" s="9" t="str">
        <x:f>IF(A68="","",IF(COUNTIFS('Definitions'!$A$8:$A$207,A68)&lt;&gt;1,"Duplicate definition ID",IF(B68="","Missing component name",IF(AND(C68&lt;&gt;"Part",C68&lt;&gt;"Assembly"),"Choose Part or Assembly",IF(OR(F68="",AND(G68&lt;&gt;"Yes",G68&lt;&gt;"No")),"Set UOM and serial tracking",IF(OR(NOT(ISNUMBER(H68)),H68&lt;1,MOD(H68,1)&lt;&gt;0,NOT(ISNUMBER(I68)),I68&lt;0,MOD(I68,1)&lt;&gt;0),"Invalid pack or stock qty",IF(AND(G68="Yes",I68&lt;&gt;0),"Serialized stock belongs in Assets",IF(AND(C68="Assembly",I68&lt;&gt;0),"Assembly stock must be zero","OK"))))))))</x:f>
      </x:c>
    </x:row>
    <x:row r="69" ht="22" customHeight="1">
      <x:c r="A69" s="10"/>
      <x:c r="B69" s="10"/>
      <x:c r="C69" s="10"/>
      <x:c r="D69" s="10"/>
      <x:c r="E69" s="10"/>
      <x:c r="F69" s="10"/>
      <x:c r="G69" s="10"/>
      <x:c r="H69" s="12"/>
      <x:c r="I69" s="12"/>
      <x:c r="J69" s="10"/>
      <x:c r="K69" s="9" t="str">
        <x:f>IF(A69="","",IF(COUNTIFS('Definitions'!$A$8:$A$207,A69)&lt;&gt;1,"Duplicate definition ID",IF(B69="","Missing component name",IF(AND(C69&lt;&gt;"Part",C69&lt;&gt;"Assembly"),"Choose Part or Assembly",IF(OR(F69="",AND(G69&lt;&gt;"Yes",G69&lt;&gt;"No")),"Set UOM and serial tracking",IF(OR(NOT(ISNUMBER(H69)),H69&lt;1,MOD(H69,1)&lt;&gt;0,NOT(ISNUMBER(I69)),I69&lt;0,MOD(I69,1)&lt;&gt;0),"Invalid pack or stock qty",IF(AND(G69="Yes",I69&lt;&gt;0),"Serialized stock belongs in Assets",IF(AND(C69="Assembly",I69&lt;&gt;0),"Assembly stock must be zero","OK"))))))))</x:f>
      </x:c>
    </x:row>
    <x:row r="70" ht="22" customHeight="1">
      <x:c r="A70" s="10"/>
      <x:c r="B70" s="10"/>
      <x:c r="C70" s="10"/>
      <x:c r="D70" s="10"/>
      <x:c r="E70" s="10"/>
      <x:c r="F70" s="10"/>
      <x:c r="G70" s="10"/>
      <x:c r="H70" s="12"/>
      <x:c r="I70" s="12"/>
      <x:c r="J70" s="10"/>
      <x:c r="K70" s="9" t="str">
        <x:f>IF(A70="","",IF(COUNTIFS('Definitions'!$A$8:$A$207,A70)&lt;&gt;1,"Duplicate definition ID",IF(B70="","Missing component name",IF(AND(C70&lt;&gt;"Part",C70&lt;&gt;"Assembly"),"Choose Part or Assembly",IF(OR(F70="",AND(G70&lt;&gt;"Yes",G70&lt;&gt;"No")),"Set UOM and serial tracking",IF(OR(NOT(ISNUMBER(H70)),H70&lt;1,MOD(H70,1)&lt;&gt;0,NOT(ISNUMBER(I70)),I70&lt;0,MOD(I70,1)&lt;&gt;0),"Invalid pack or stock qty",IF(AND(G70="Yes",I70&lt;&gt;0),"Serialized stock belongs in Assets",IF(AND(C70="Assembly",I70&lt;&gt;0),"Assembly stock must be zero","OK"))))))))</x:f>
      </x:c>
    </x:row>
    <x:row r="71" ht="22" customHeight="1">
      <x:c r="A71" s="10"/>
      <x:c r="B71" s="10"/>
      <x:c r="C71" s="10"/>
      <x:c r="D71" s="10"/>
      <x:c r="E71" s="10"/>
      <x:c r="F71" s="10"/>
      <x:c r="G71" s="10"/>
      <x:c r="H71" s="12"/>
      <x:c r="I71" s="12"/>
      <x:c r="J71" s="10"/>
      <x:c r="K71" s="9" t="str">
        <x:f>IF(A71="","",IF(COUNTIFS('Definitions'!$A$8:$A$207,A71)&lt;&gt;1,"Duplicate definition ID",IF(B71="","Missing component name",IF(AND(C71&lt;&gt;"Part",C71&lt;&gt;"Assembly"),"Choose Part or Assembly",IF(OR(F71="",AND(G71&lt;&gt;"Yes",G71&lt;&gt;"No")),"Set UOM and serial tracking",IF(OR(NOT(ISNUMBER(H71)),H71&lt;1,MOD(H71,1)&lt;&gt;0,NOT(ISNUMBER(I71)),I71&lt;0,MOD(I71,1)&lt;&gt;0),"Invalid pack or stock qty",IF(AND(G71="Yes",I71&lt;&gt;0),"Serialized stock belongs in Assets",IF(AND(C71="Assembly",I71&lt;&gt;0),"Assembly stock must be zero","OK"))))))))</x:f>
      </x:c>
    </x:row>
    <x:row r="72" ht="22" customHeight="1">
      <x:c r="A72" s="10"/>
      <x:c r="B72" s="10"/>
      <x:c r="C72" s="10"/>
      <x:c r="D72" s="10"/>
      <x:c r="E72" s="10"/>
      <x:c r="F72" s="10"/>
      <x:c r="G72" s="10"/>
      <x:c r="H72" s="12"/>
      <x:c r="I72" s="12"/>
      <x:c r="J72" s="10"/>
      <x:c r="K72" s="9" t="str">
        <x:f>IF(A72="","",IF(COUNTIFS('Definitions'!$A$8:$A$207,A72)&lt;&gt;1,"Duplicate definition ID",IF(B72="","Missing component name",IF(AND(C72&lt;&gt;"Part",C72&lt;&gt;"Assembly"),"Choose Part or Assembly",IF(OR(F72="",AND(G72&lt;&gt;"Yes",G72&lt;&gt;"No")),"Set UOM and serial tracking",IF(OR(NOT(ISNUMBER(H72)),H72&lt;1,MOD(H72,1)&lt;&gt;0,NOT(ISNUMBER(I72)),I72&lt;0,MOD(I72,1)&lt;&gt;0),"Invalid pack or stock qty",IF(AND(G72="Yes",I72&lt;&gt;0),"Serialized stock belongs in Assets",IF(AND(C72="Assembly",I72&lt;&gt;0),"Assembly stock must be zero","OK"))))))))</x:f>
      </x:c>
    </x:row>
    <x:row r="73" ht="22" customHeight="1">
      <x:c r="A73" s="10"/>
      <x:c r="B73" s="10"/>
      <x:c r="C73" s="10"/>
      <x:c r="D73" s="10"/>
      <x:c r="E73" s="10"/>
      <x:c r="F73" s="10"/>
      <x:c r="G73" s="10"/>
      <x:c r="H73" s="12"/>
      <x:c r="I73" s="12"/>
      <x:c r="J73" s="10"/>
      <x:c r="K73" s="9" t="str">
        <x:f>IF(A73="","",IF(COUNTIFS('Definitions'!$A$8:$A$207,A73)&lt;&gt;1,"Duplicate definition ID",IF(B73="","Missing component name",IF(AND(C73&lt;&gt;"Part",C73&lt;&gt;"Assembly"),"Choose Part or Assembly",IF(OR(F73="",AND(G73&lt;&gt;"Yes",G73&lt;&gt;"No")),"Set UOM and serial tracking",IF(OR(NOT(ISNUMBER(H73)),H73&lt;1,MOD(H73,1)&lt;&gt;0,NOT(ISNUMBER(I73)),I73&lt;0,MOD(I73,1)&lt;&gt;0),"Invalid pack or stock qty",IF(AND(G73="Yes",I73&lt;&gt;0),"Serialized stock belongs in Assets",IF(AND(C73="Assembly",I73&lt;&gt;0),"Assembly stock must be zero","OK"))))))))</x:f>
      </x:c>
    </x:row>
    <x:row r="74" ht="22" customHeight="1">
      <x:c r="A74" s="10"/>
      <x:c r="B74" s="10"/>
      <x:c r="C74" s="10"/>
      <x:c r="D74" s="10"/>
      <x:c r="E74" s="10"/>
      <x:c r="F74" s="10"/>
      <x:c r="G74" s="10"/>
      <x:c r="H74" s="12"/>
      <x:c r="I74" s="12"/>
      <x:c r="J74" s="10"/>
      <x:c r="K74" s="9" t="str">
        <x:f>IF(A74="","",IF(COUNTIFS('Definitions'!$A$8:$A$207,A74)&lt;&gt;1,"Duplicate definition ID",IF(B74="","Missing component name",IF(AND(C74&lt;&gt;"Part",C74&lt;&gt;"Assembly"),"Choose Part or Assembly",IF(OR(F74="",AND(G74&lt;&gt;"Yes",G74&lt;&gt;"No")),"Set UOM and serial tracking",IF(OR(NOT(ISNUMBER(H74)),H74&lt;1,MOD(H74,1)&lt;&gt;0,NOT(ISNUMBER(I74)),I74&lt;0,MOD(I74,1)&lt;&gt;0),"Invalid pack or stock qty",IF(AND(G74="Yes",I74&lt;&gt;0),"Serialized stock belongs in Assets",IF(AND(C74="Assembly",I74&lt;&gt;0),"Assembly stock must be zero","OK"))))))))</x:f>
      </x:c>
    </x:row>
    <x:row r="75" ht="22" customHeight="1">
      <x:c r="A75" s="10"/>
      <x:c r="B75" s="10"/>
      <x:c r="C75" s="10"/>
      <x:c r="D75" s="10"/>
      <x:c r="E75" s="10"/>
      <x:c r="F75" s="10"/>
      <x:c r="G75" s="10"/>
      <x:c r="H75" s="12"/>
      <x:c r="I75" s="12"/>
      <x:c r="J75" s="10"/>
      <x:c r="K75" s="9" t="str">
        <x:f>IF(A75="","",IF(COUNTIFS('Definitions'!$A$8:$A$207,A75)&lt;&gt;1,"Duplicate definition ID",IF(B75="","Missing component name",IF(AND(C75&lt;&gt;"Part",C75&lt;&gt;"Assembly"),"Choose Part or Assembly",IF(OR(F75="",AND(G75&lt;&gt;"Yes",G75&lt;&gt;"No")),"Set UOM and serial tracking",IF(OR(NOT(ISNUMBER(H75)),H75&lt;1,MOD(H75,1)&lt;&gt;0,NOT(ISNUMBER(I75)),I75&lt;0,MOD(I75,1)&lt;&gt;0),"Invalid pack or stock qty",IF(AND(G75="Yes",I75&lt;&gt;0),"Serialized stock belongs in Assets",IF(AND(C75="Assembly",I75&lt;&gt;0),"Assembly stock must be zero","OK"))))))))</x:f>
      </x:c>
    </x:row>
    <x:row r="76" ht="22" customHeight="1">
      <x:c r="A76" s="10"/>
      <x:c r="B76" s="10"/>
      <x:c r="C76" s="10"/>
      <x:c r="D76" s="10"/>
      <x:c r="E76" s="10"/>
      <x:c r="F76" s="10"/>
      <x:c r="G76" s="10"/>
      <x:c r="H76" s="12"/>
      <x:c r="I76" s="12"/>
      <x:c r="J76" s="10"/>
      <x:c r="K76" s="9" t="str">
        <x:f>IF(A76="","",IF(COUNTIFS('Definitions'!$A$8:$A$207,A76)&lt;&gt;1,"Duplicate definition ID",IF(B76="","Missing component name",IF(AND(C76&lt;&gt;"Part",C76&lt;&gt;"Assembly"),"Choose Part or Assembly",IF(OR(F76="",AND(G76&lt;&gt;"Yes",G76&lt;&gt;"No")),"Set UOM and serial tracking",IF(OR(NOT(ISNUMBER(H76)),H76&lt;1,MOD(H76,1)&lt;&gt;0,NOT(ISNUMBER(I76)),I76&lt;0,MOD(I76,1)&lt;&gt;0),"Invalid pack or stock qty",IF(AND(G76="Yes",I76&lt;&gt;0),"Serialized stock belongs in Assets",IF(AND(C76="Assembly",I76&lt;&gt;0),"Assembly stock must be zero","OK"))))))))</x:f>
      </x:c>
    </x:row>
    <x:row r="77" ht="22" customHeight="1">
      <x:c r="A77" s="10"/>
      <x:c r="B77" s="10"/>
      <x:c r="C77" s="10"/>
      <x:c r="D77" s="10"/>
      <x:c r="E77" s="10"/>
      <x:c r="F77" s="10"/>
      <x:c r="G77" s="10"/>
      <x:c r="H77" s="12"/>
      <x:c r="I77" s="12"/>
      <x:c r="J77" s="10"/>
      <x:c r="K77" s="9" t="str">
        <x:f>IF(A77="","",IF(COUNTIFS('Definitions'!$A$8:$A$207,A77)&lt;&gt;1,"Duplicate definition ID",IF(B77="","Missing component name",IF(AND(C77&lt;&gt;"Part",C77&lt;&gt;"Assembly"),"Choose Part or Assembly",IF(OR(F77="",AND(G77&lt;&gt;"Yes",G77&lt;&gt;"No")),"Set UOM and serial tracking",IF(OR(NOT(ISNUMBER(H77)),H77&lt;1,MOD(H77,1)&lt;&gt;0,NOT(ISNUMBER(I77)),I77&lt;0,MOD(I77,1)&lt;&gt;0),"Invalid pack or stock qty",IF(AND(G77="Yes",I77&lt;&gt;0),"Serialized stock belongs in Assets",IF(AND(C77="Assembly",I77&lt;&gt;0),"Assembly stock must be zero","OK"))))))))</x:f>
      </x:c>
    </x:row>
    <x:row r="78" ht="22" customHeight="1">
      <x:c r="A78" s="10"/>
      <x:c r="B78" s="10"/>
      <x:c r="C78" s="10"/>
      <x:c r="D78" s="10"/>
      <x:c r="E78" s="10"/>
      <x:c r="F78" s="10"/>
      <x:c r="G78" s="10"/>
      <x:c r="H78" s="12"/>
      <x:c r="I78" s="12"/>
      <x:c r="J78" s="10"/>
      <x:c r="K78" s="9" t="str">
        <x:f>IF(A78="","",IF(COUNTIFS('Definitions'!$A$8:$A$207,A78)&lt;&gt;1,"Duplicate definition ID",IF(B78="","Missing component name",IF(AND(C78&lt;&gt;"Part",C78&lt;&gt;"Assembly"),"Choose Part or Assembly",IF(OR(F78="",AND(G78&lt;&gt;"Yes",G78&lt;&gt;"No")),"Set UOM and serial tracking",IF(OR(NOT(ISNUMBER(H78)),H78&lt;1,MOD(H78,1)&lt;&gt;0,NOT(ISNUMBER(I78)),I78&lt;0,MOD(I78,1)&lt;&gt;0),"Invalid pack or stock qty",IF(AND(G78="Yes",I78&lt;&gt;0),"Serialized stock belongs in Assets",IF(AND(C78="Assembly",I78&lt;&gt;0),"Assembly stock must be zero","OK"))))))))</x:f>
      </x:c>
    </x:row>
    <x:row r="79" ht="22" customHeight="1">
      <x:c r="A79" s="10"/>
      <x:c r="B79" s="10"/>
      <x:c r="C79" s="10"/>
      <x:c r="D79" s="10"/>
      <x:c r="E79" s="10"/>
      <x:c r="F79" s="10"/>
      <x:c r="G79" s="10"/>
      <x:c r="H79" s="12"/>
      <x:c r="I79" s="12"/>
      <x:c r="J79" s="10"/>
      <x:c r="K79" s="9" t="str">
        <x:f>IF(A79="","",IF(COUNTIFS('Definitions'!$A$8:$A$207,A79)&lt;&gt;1,"Duplicate definition ID",IF(B79="","Missing component name",IF(AND(C79&lt;&gt;"Part",C79&lt;&gt;"Assembly"),"Choose Part or Assembly",IF(OR(F79="",AND(G79&lt;&gt;"Yes",G79&lt;&gt;"No")),"Set UOM and serial tracking",IF(OR(NOT(ISNUMBER(H79)),H79&lt;1,MOD(H79,1)&lt;&gt;0,NOT(ISNUMBER(I79)),I79&lt;0,MOD(I79,1)&lt;&gt;0),"Invalid pack or stock qty",IF(AND(G79="Yes",I79&lt;&gt;0),"Serialized stock belongs in Assets",IF(AND(C79="Assembly",I79&lt;&gt;0),"Assembly stock must be zero","OK"))))))))</x:f>
      </x:c>
    </x:row>
    <x:row r="80" ht="22" customHeight="1">
      <x:c r="A80" s="10"/>
      <x:c r="B80" s="10"/>
      <x:c r="C80" s="10"/>
      <x:c r="D80" s="10"/>
      <x:c r="E80" s="10"/>
      <x:c r="F80" s="10"/>
      <x:c r="G80" s="10"/>
      <x:c r="H80" s="12"/>
      <x:c r="I80" s="12"/>
      <x:c r="J80" s="10"/>
      <x:c r="K80" s="9" t="str">
        <x:f>IF(A80="","",IF(COUNTIFS('Definitions'!$A$8:$A$207,A80)&lt;&gt;1,"Duplicate definition ID",IF(B80="","Missing component name",IF(AND(C80&lt;&gt;"Part",C80&lt;&gt;"Assembly"),"Choose Part or Assembly",IF(OR(F80="",AND(G80&lt;&gt;"Yes",G80&lt;&gt;"No")),"Set UOM and serial tracking",IF(OR(NOT(ISNUMBER(H80)),H80&lt;1,MOD(H80,1)&lt;&gt;0,NOT(ISNUMBER(I80)),I80&lt;0,MOD(I80,1)&lt;&gt;0),"Invalid pack or stock qty",IF(AND(G80="Yes",I80&lt;&gt;0),"Serialized stock belongs in Assets",IF(AND(C80="Assembly",I80&lt;&gt;0),"Assembly stock must be zero","OK"))))))))</x:f>
      </x:c>
    </x:row>
    <x:row r="81" ht="22" customHeight="1">
      <x:c r="A81" s="10"/>
      <x:c r="B81" s="10"/>
      <x:c r="C81" s="10"/>
      <x:c r="D81" s="10"/>
      <x:c r="E81" s="10"/>
      <x:c r="F81" s="10"/>
      <x:c r="G81" s="10"/>
      <x:c r="H81" s="12"/>
      <x:c r="I81" s="12"/>
      <x:c r="J81" s="10"/>
      <x:c r="K81" s="9" t="str">
        <x:f>IF(A81="","",IF(COUNTIFS('Definitions'!$A$8:$A$207,A81)&lt;&gt;1,"Duplicate definition ID",IF(B81="","Missing component name",IF(AND(C81&lt;&gt;"Part",C81&lt;&gt;"Assembly"),"Choose Part or Assembly",IF(OR(F81="",AND(G81&lt;&gt;"Yes",G81&lt;&gt;"No")),"Set UOM and serial tracking",IF(OR(NOT(ISNUMBER(H81)),H81&lt;1,MOD(H81,1)&lt;&gt;0,NOT(ISNUMBER(I81)),I81&lt;0,MOD(I81,1)&lt;&gt;0),"Invalid pack or stock qty",IF(AND(G81="Yes",I81&lt;&gt;0),"Serialized stock belongs in Assets",IF(AND(C81="Assembly",I81&lt;&gt;0),"Assembly stock must be zero","OK"))))))))</x:f>
      </x:c>
    </x:row>
    <x:row r="82" ht="22" customHeight="1">
      <x:c r="A82" s="10"/>
      <x:c r="B82" s="10"/>
      <x:c r="C82" s="10"/>
      <x:c r="D82" s="10"/>
      <x:c r="E82" s="10"/>
      <x:c r="F82" s="10"/>
      <x:c r="G82" s="10"/>
      <x:c r="H82" s="12"/>
      <x:c r="I82" s="12"/>
      <x:c r="J82" s="10"/>
      <x:c r="K82" s="9" t="str">
        <x:f>IF(A82="","",IF(COUNTIFS('Definitions'!$A$8:$A$207,A82)&lt;&gt;1,"Duplicate definition ID",IF(B82="","Missing component name",IF(AND(C82&lt;&gt;"Part",C82&lt;&gt;"Assembly"),"Choose Part or Assembly",IF(OR(F82="",AND(G82&lt;&gt;"Yes",G82&lt;&gt;"No")),"Set UOM and serial tracking",IF(OR(NOT(ISNUMBER(H82)),H82&lt;1,MOD(H82,1)&lt;&gt;0,NOT(ISNUMBER(I82)),I82&lt;0,MOD(I82,1)&lt;&gt;0),"Invalid pack or stock qty",IF(AND(G82="Yes",I82&lt;&gt;0),"Serialized stock belongs in Assets",IF(AND(C82="Assembly",I82&lt;&gt;0),"Assembly stock must be zero","OK"))))))))</x:f>
      </x:c>
    </x:row>
    <x:row r="83" ht="22" customHeight="1">
      <x:c r="A83" s="10"/>
      <x:c r="B83" s="10"/>
      <x:c r="C83" s="10"/>
      <x:c r="D83" s="10"/>
      <x:c r="E83" s="10"/>
      <x:c r="F83" s="10"/>
      <x:c r="G83" s="10"/>
      <x:c r="H83" s="12"/>
      <x:c r="I83" s="12"/>
      <x:c r="J83" s="10"/>
      <x:c r="K83" s="9" t="str">
        <x:f>IF(A83="","",IF(COUNTIFS('Definitions'!$A$8:$A$207,A83)&lt;&gt;1,"Duplicate definition ID",IF(B83="","Missing component name",IF(AND(C83&lt;&gt;"Part",C83&lt;&gt;"Assembly"),"Choose Part or Assembly",IF(OR(F83="",AND(G83&lt;&gt;"Yes",G83&lt;&gt;"No")),"Set UOM and serial tracking",IF(OR(NOT(ISNUMBER(H83)),H83&lt;1,MOD(H83,1)&lt;&gt;0,NOT(ISNUMBER(I83)),I83&lt;0,MOD(I83,1)&lt;&gt;0),"Invalid pack or stock qty",IF(AND(G83="Yes",I83&lt;&gt;0),"Serialized stock belongs in Assets",IF(AND(C83="Assembly",I83&lt;&gt;0),"Assembly stock must be zero","OK"))))))))</x:f>
      </x:c>
    </x:row>
    <x:row r="84" ht="22" customHeight="1">
      <x:c r="A84" s="10"/>
      <x:c r="B84" s="10"/>
      <x:c r="C84" s="10"/>
      <x:c r="D84" s="10"/>
      <x:c r="E84" s="10"/>
      <x:c r="F84" s="10"/>
      <x:c r="G84" s="10"/>
      <x:c r="H84" s="12"/>
      <x:c r="I84" s="12"/>
      <x:c r="J84" s="10"/>
      <x:c r="K84" s="9" t="str">
        <x:f>IF(A84="","",IF(COUNTIFS('Definitions'!$A$8:$A$207,A84)&lt;&gt;1,"Duplicate definition ID",IF(B84="","Missing component name",IF(AND(C84&lt;&gt;"Part",C84&lt;&gt;"Assembly"),"Choose Part or Assembly",IF(OR(F84="",AND(G84&lt;&gt;"Yes",G84&lt;&gt;"No")),"Set UOM and serial tracking",IF(OR(NOT(ISNUMBER(H84)),H84&lt;1,MOD(H84,1)&lt;&gt;0,NOT(ISNUMBER(I84)),I84&lt;0,MOD(I84,1)&lt;&gt;0),"Invalid pack or stock qty",IF(AND(G84="Yes",I84&lt;&gt;0),"Serialized stock belongs in Assets",IF(AND(C84="Assembly",I84&lt;&gt;0),"Assembly stock must be zero","OK"))))))))</x:f>
      </x:c>
    </x:row>
    <x:row r="85" ht="22" customHeight="1">
      <x:c r="A85" s="10"/>
      <x:c r="B85" s="10"/>
      <x:c r="C85" s="10"/>
      <x:c r="D85" s="10"/>
      <x:c r="E85" s="10"/>
      <x:c r="F85" s="10"/>
      <x:c r="G85" s="10"/>
      <x:c r="H85" s="12"/>
      <x:c r="I85" s="12"/>
      <x:c r="J85" s="10"/>
      <x:c r="K85" s="9" t="str">
        <x:f>IF(A85="","",IF(COUNTIFS('Definitions'!$A$8:$A$207,A85)&lt;&gt;1,"Duplicate definition ID",IF(B85="","Missing component name",IF(AND(C85&lt;&gt;"Part",C85&lt;&gt;"Assembly"),"Choose Part or Assembly",IF(OR(F85="",AND(G85&lt;&gt;"Yes",G85&lt;&gt;"No")),"Set UOM and serial tracking",IF(OR(NOT(ISNUMBER(H85)),H85&lt;1,MOD(H85,1)&lt;&gt;0,NOT(ISNUMBER(I85)),I85&lt;0,MOD(I85,1)&lt;&gt;0),"Invalid pack or stock qty",IF(AND(G85="Yes",I85&lt;&gt;0),"Serialized stock belongs in Assets",IF(AND(C85="Assembly",I85&lt;&gt;0),"Assembly stock must be zero","OK"))))))))</x:f>
      </x:c>
    </x:row>
    <x:row r="86" ht="22" customHeight="1">
      <x:c r="A86" s="10"/>
      <x:c r="B86" s="10"/>
      <x:c r="C86" s="10"/>
      <x:c r="D86" s="10"/>
      <x:c r="E86" s="10"/>
      <x:c r="F86" s="10"/>
      <x:c r="G86" s="10"/>
      <x:c r="H86" s="12"/>
      <x:c r="I86" s="12"/>
      <x:c r="J86" s="10"/>
      <x:c r="K86" s="9" t="str">
        <x:f>IF(A86="","",IF(COUNTIFS('Definitions'!$A$8:$A$207,A86)&lt;&gt;1,"Duplicate definition ID",IF(B86="","Missing component name",IF(AND(C86&lt;&gt;"Part",C86&lt;&gt;"Assembly"),"Choose Part or Assembly",IF(OR(F86="",AND(G86&lt;&gt;"Yes",G86&lt;&gt;"No")),"Set UOM and serial tracking",IF(OR(NOT(ISNUMBER(H86)),H86&lt;1,MOD(H86,1)&lt;&gt;0,NOT(ISNUMBER(I86)),I86&lt;0,MOD(I86,1)&lt;&gt;0),"Invalid pack or stock qty",IF(AND(G86="Yes",I86&lt;&gt;0),"Serialized stock belongs in Assets",IF(AND(C86="Assembly",I86&lt;&gt;0),"Assembly stock must be zero","OK"))))))))</x:f>
      </x:c>
    </x:row>
    <x:row r="87" ht="22" customHeight="1">
      <x:c r="A87" s="10"/>
      <x:c r="B87" s="10"/>
      <x:c r="C87" s="10"/>
      <x:c r="D87" s="10"/>
      <x:c r="E87" s="10"/>
      <x:c r="F87" s="10"/>
      <x:c r="G87" s="10"/>
      <x:c r="H87" s="12"/>
      <x:c r="I87" s="12"/>
      <x:c r="J87" s="10"/>
      <x:c r="K87" s="9" t="str">
        <x:f>IF(A87="","",IF(COUNTIFS('Definitions'!$A$8:$A$207,A87)&lt;&gt;1,"Duplicate definition ID",IF(B87="","Missing component name",IF(AND(C87&lt;&gt;"Part",C87&lt;&gt;"Assembly"),"Choose Part or Assembly",IF(OR(F87="",AND(G87&lt;&gt;"Yes",G87&lt;&gt;"No")),"Set UOM and serial tracking",IF(OR(NOT(ISNUMBER(H87)),H87&lt;1,MOD(H87,1)&lt;&gt;0,NOT(ISNUMBER(I87)),I87&lt;0,MOD(I87,1)&lt;&gt;0),"Invalid pack or stock qty",IF(AND(G87="Yes",I87&lt;&gt;0),"Serialized stock belongs in Assets",IF(AND(C87="Assembly",I87&lt;&gt;0),"Assembly stock must be zero","OK"))))))))</x:f>
      </x:c>
    </x:row>
    <x:row r="88" ht="22" customHeight="1">
      <x:c r="A88" s="10"/>
      <x:c r="B88" s="10"/>
      <x:c r="C88" s="10"/>
      <x:c r="D88" s="10"/>
      <x:c r="E88" s="10"/>
      <x:c r="F88" s="10"/>
      <x:c r="G88" s="10"/>
      <x:c r="H88" s="12"/>
      <x:c r="I88" s="12"/>
      <x:c r="J88" s="10"/>
      <x:c r="K88" s="9" t="str">
        <x:f>IF(A88="","",IF(COUNTIFS('Definitions'!$A$8:$A$207,A88)&lt;&gt;1,"Duplicate definition ID",IF(B88="","Missing component name",IF(AND(C88&lt;&gt;"Part",C88&lt;&gt;"Assembly"),"Choose Part or Assembly",IF(OR(F88="",AND(G88&lt;&gt;"Yes",G88&lt;&gt;"No")),"Set UOM and serial tracking",IF(OR(NOT(ISNUMBER(H88)),H88&lt;1,MOD(H88,1)&lt;&gt;0,NOT(ISNUMBER(I88)),I88&lt;0,MOD(I88,1)&lt;&gt;0),"Invalid pack or stock qty",IF(AND(G88="Yes",I88&lt;&gt;0),"Serialized stock belongs in Assets",IF(AND(C88="Assembly",I88&lt;&gt;0),"Assembly stock must be zero","OK"))))))))</x:f>
      </x:c>
    </x:row>
    <x:row r="89" ht="22" customHeight="1">
      <x:c r="A89" s="10"/>
      <x:c r="B89" s="10"/>
      <x:c r="C89" s="10"/>
      <x:c r="D89" s="10"/>
      <x:c r="E89" s="10"/>
      <x:c r="F89" s="10"/>
      <x:c r="G89" s="10"/>
      <x:c r="H89" s="12"/>
      <x:c r="I89" s="12"/>
      <x:c r="J89" s="10"/>
      <x:c r="K89" s="9" t="str">
        <x:f>IF(A89="","",IF(COUNTIFS('Definitions'!$A$8:$A$207,A89)&lt;&gt;1,"Duplicate definition ID",IF(B89="","Missing component name",IF(AND(C89&lt;&gt;"Part",C89&lt;&gt;"Assembly"),"Choose Part or Assembly",IF(OR(F89="",AND(G89&lt;&gt;"Yes",G89&lt;&gt;"No")),"Set UOM and serial tracking",IF(OR(NOT(ISNUMBER(H89)),H89&lt;1,MOD(H89,1)&lt;&gt;0,NOT(ISNUMBER(I89)),I89&lt;0,MOD(I89,1)&lt;&gt;0),"Invalid pack or stock qty",IF(AND(G89="Yes",I89&lt;&gt;0),"Serialized stock belongs in Assets",IF(AND(C89="Assembly",I89&lt;&gt;0),"Assembly stock must be zero","OK"))))))))</x:f>
      </x:c>
    </x:row>
    <x:row r="90" ht="22" customHeight="1">
      <x:c r="A90" s="10"/>
      <x:c r="B90" s="10"/>
      <x:c r="C90" s="10"/>
      <x:c r="D90" s="10"/>
      <x:c r="E90" s="10"/>
      <x:c r="F90" s="10"/>
      <x:c r="G90" s="10"/>
      <x:c r="H90" s="12"/>
      <x:c r="I90" s="12"/>
      <x:c r="J90" s="10"/>
      <x:c r="K90" s="9" t="str">
        <x:f>IF(A90="","",IF(COUNTIFS('Definitions'!$A$8:$A$207,A90)&lt;&gt;1,"Duplicate definition ID",IF(B90="","Missing component name",IF(AND(C90&lt;&gt;"Part",C90&lt;&gt;"Assembly"),"Choose Part or Assembly",IF(OR(F90="",AND(G90&lt;&gt;"Yes",G90&lt;&gt;"No")),"Set UOM and serial tracking",IF(OR(NOT(ISNUMBER(H90)),H90&lt;1,MOD(H90,1)&lt;&gt;0,NOT(ISNUMBER(I90)),I90&lt;0,MOD(I90,1)&lt;&gt;0),"Invalid pack or stock qty",IF(AND(G90="Yes",I90&lt;&gt;0),"Serialized stock belongs in Assets",IF(AND(C90="Assembly",I90&lt;&gt;0),"Assembly stock must be zero","OK"))))))))</x:f>
      </x:c>
    </x:row>
    <x:row r="91" ht="22" customHeight="1">
      <x:c r="A91" s="10"/>
      <x:c r="B91" s="10"/>
      <x:c r="C91" s="10"/>
      <x:c r="D91" s="10"/>
      <x:c r="E91" s="10"/>
      <x:c r="F91" s="10"/>
      <x:c r="G91" s="10"/>
      <x:c r="H91" s="12"/>
      <x:c r="I91" s="12"/>
      <x:c r="J91" s="10"/>
      <x:c r="K91" s="9" t="str">
        <x:f>IF(A91="","",IF(COUNTIFS('Definitions'!$A$8:$A$207,A91)&lt;&gt;1,"Duplicate definition ID",IF(B91="","Missing component name",IF(AND(C91&lt;&gt;"Part",C91&lt;&gt;"Assembly"),"Choose Part or Assembly",IF(OR(F91="",AND(G91&lt;&gt;"Yes",G91&lt;&gt;"No")),"Set UOM and serial tracking",IF(OR(NOT(ISNUMBER(H91)),H91&lt;1,MOD(H91,1)&lt;&gt;0,NOT(ISNUMBER(I91)),I91&lt;0,MOD(I91,1)&lt;&gt;0),"Invalid pack or stock qty",IF(AND(G91="Yes",I91&lt;&gt;0),"Serialized stock belongs in Assets",IF(AND(C91="Assembly",I91&lt;&gt;0),"Assembly stock must be zero","OK"))))))))</x:f>
      </x:c>
    </x:row>
    <x:row r="92" ht="22" customHeight="1">
      <x:c r="A92" s="10"/>
      <x:c r="B92" s="10"/>
      <x:c r="C92" s="10"/>
      <x:c r="D92" s="10"/>
      <x:c r="E92" s="10"/>
      <x:c r="F92" s="10"/>
      <x:c r="G92" s="10"/>
      <x:c r="H92" s="12"/>
      <x:c r="I92" s="12"/>
      <x:c r="J92" s="10"/>
      <x:c r="K92" s="9" t="str">
        <x:f>IF(A92="","",IF(COUNTIFS('Definitions'!$A$8:$A$207,A92)&lt;&gt;1,"Duplicate definition ID",IF(B92="","Missing component name",IF(AND(C92&lt;&gt;"Part",C92&lt;&gt;"Assembly"),"Choose Part or Assembly",IF(OR(F92="",AND(G92&lt;&gt;"Yes",G92&lt;&gt;"No")),"Set UOM and serial tracking",IF(OR(NOT(ISNUMBER(H92)),H92&lt;1,MOD(H92,1)&lt;&gt;0,NOT(ISNUMBER(I92)),I92&lt;0,MOD(I92,1)&lt;&gt;0),"Invalid pack or stock qty",IF(AND(G92="Yes",I92&lt;&gt;0),"Serialized stock belongs in Assets",IF(AND(C92="Assembly",I92&lt;&gt;0),"Assembly stock must be zero","OK"))))))))</x:f>
      </x:c>
    </x:row>
    <x:row r="93" ht="22" customHeight="1">
      <x:c r="A93" s="10"/>
      <x:c r="B93" s="10"/>
      <x:c r="C93" s="10"/>
      <x:c r="D93" s="10"/>
      <x:c r="E93" s="10"/>
      <x:c r="F93" s="10"/>
      <x:c r="G93" s="10"/>
      <x:c r="H93" s="12"/>
      <x:c r="I93" s="12"/>
      <x:c r="J93" s="10"/>
      <x:c r="K93" s="9" t="str">
        <x:f>IF(A93="","",IF(COUNTIFS('Definitions'!$A$8:$A$207,A93)&lt;&gt;1,"Duplicate definition ID",IF(B93="","Missing component name",IF(AND(C93&lt;&gt;"Part",C93&lt;&gt;"Assembly"),"Choose Part or Assembly",IF(OR(F93="",AND(G93&lt;&gt;"Yes",G93&lt;&gt;"No")),"Set UOM and serial tracking",IF(OR(NOT(ISNUMBER(H93)),H93&lt;1,MOD(H93,1)&lt;&gt;0,NOT(ISNUMBER(I93)),I93&lt;0,MOD(I93,1)&lt;&gt;0),"Invalid pack or stock qty",IF(AND(G93="Yes",I93&lt;&gt;0),"Serialized stock belongs in Assets",IF(AND(C93="Assembly",I93&lt;&gt;0),"Assembly stock must be zero","OK"))))))))</x:f>
      </x:c>
    </x:row>
    <x:row r="94" ht="22" customHeight="1">
      <x:c r="A94" s="10"/>
      <x:c r="B94" s="10"/>
      <x:c r="C94" s="10"/>
      <x:c r="D94" s="10"/>
      <x:c r="E94" s="10"/>
      <x:c r="F94" s="10"/>
      <x:c r="G94" s="10"/>
      <x:c r="H94" s="12"/>
      <x:c r="I94" s="12"/>
      <x:c r="J94" s="10"/>
      <x:c r="K94" s="9" t="str">
        <x:f>IF(A94="","",IF(COUNTIFS('Definitions'!$A$8:$A$207,A94)&lt;&gt;1,"Duplicate definition ID",IF(B94="","Missing component name",IF(AND(C94&lt;&gt;"Part",C94&lt;&gt;"Assembly"),"Choose Part or Assembly",IF(OR(F94="",AND(G94&lt;&gt;"Yes",G94&lt;&gt;"No")),"Set UOM and serial tracking",IF(OR(NOT(ISNUMBER(H94)),H94&lt;1,MOD(H94,1)&lt;&gt;0,NOT(ISNUMBER(I94)),I94&lt;0,MOD(I94,1)&lt;&gt;0),"Invalid pack or stock qty",IF(AND(G94="Yes",I94&lt;&gt;0),"Serialized stock belongs in Assets",IF(AND(C94="Assembly",I94&lt;&gt;0),"Assembly stock must be zero","OK"))))))))</x:f>
      </x:c>
    </x:row>
    <x:row r="95" ht="22" customHeight="1">
      <x:c r="A95" s="10"/>
      <x:c r="B95" s="10"/>
      <x:c r="C95" s="10"/>
      <x:c r="D95" s="10"/>
      <x:c r="E95" s="10"/>
      <x:c r="F95" s="10"/>
      <x:c r="G95" s="10"/>
      <x:c r="H95" s="12"/>
      <x:c r="I95" s="12"/>
      <x:c r="J95" s="10"/>
      <x:c r="K95" s="9" t="str">
        <x:f>IF(A95="","",IF(COUNTIFS('Definitions'!$A$8:$A$207,A95)&lt;&gt;1,"Duplicate definition ID",IF(B95="","Missing component name",IF(AND(C95&lt;&gt;"Part",C95&lt;&gt;"Assembly"),"Choose Part or Assembly",IF(OR(F95="",AND(G95&lt;&gt;"Yes",G95&lt;&gt;"No")),"Set UOM and serial tracking",IF(OR(NOT(ISNUMBER(H95)),H95&lt;1,MOD(H95,1)&lt;&gt;0,NOT(ISNUMBER(I95)),I95&lt;0,MOD(I95,1)&lt;&gt;0),"Invalid pack or stock qty",IF(AND(G95="Yes",I95&lt;&gt;0),"Serialized stock belongs in Assets",IF(AND(C95="Assembly",I95&lt;&gt;0),"Assembly stock must be zero","OK"))))))))</x:f>
      </x:c>
    </x:row>
    <x:row r="96" ht="22" customHeight="1">
      <x:c r="A96" s="10"/>
      <x:c r="B96" s="10"/>
      <x:c r="C96" s="10"/>
      <x:c r="D96" s="10"/>
      <x:c r="E96" s="10"/>
      <x:c r="F96" s="10"/>
      <x:c r="G96" s="10"/>
      <x:c r="H96" s="12"/>
      <x:c r="I96" s="12"/>
      <x:c r="J96" s="10"/>
      <x:c r="K96" s="9" t="str">
        <x:f>IF(A96="","",IF(COUNTIFS('Definitions'!$A$8:$A$207,A96)&lt;&gt;1,"Duplicate definition ID",IF(B96="","Missing component name",IF(AND(C96&lt;&gt;"Part",C96&lt;&gt;"Assembly"),"Choose Part or Assembly",IF(OR(F96="",AND(G96&lt;&gt;"Yes",G96&lt;&gt;"No")),"Set UOM and serial tracking",IF(OR(NOT(ISNUMBER(H96)),H96&lt;1,MOD(H96,1)&lt;&gt;0,NOT(ISNUMBER(I96)),I96&lt;0,MOD(I96,1)&lt;&gt;0),"Invalid pack or stock qty",IF(AND(G96="Yes",I96&lt;&gt;0),"Serialized stock belongs in Assets",IF(AND(C96="Assembly",I96&lt;&gt;0),"Assembly stock must be zero","OK"))))))))</x:f>
      </x:c>
    </x:row>
    <x:row r="97" ht="22" customHeight="1">
      <x:c r="A97" s="10"/>
      <x:c r="B97" s="10"/>
      <x:c r="C97" s="10"/>
      <x:c r="D97" s="10"/>
      <x:c r="E97" s="10"/>
      <x:c r="F97" s="10"/>
      <x:c r="G97" s="10"/>
      <x:c r="H97" s="12"/>
      <x:c r="I97" s="12"/>
      <x:c r="J97" s="10"/>
      <x:c r="K97" s="9" t="str">
        <x:f>IF(A97="","",IF(COUNTIFS('Definitions'!$A$8:$A$207,A97)&lt;&gt;1,"Duplicate definition ID",IF(B97="","Missing component name",IF(AND(C97&lt;&gt;"Part",C97&lt;&gt;"Assembly"),"Choose Part or Assembly",IF(OR(F97="",AND(G97&lt;&gt;"Yes",G97&lt;&gt;"No")),"Set UOM and serial tracking",IF(OR(NOT(ISNUMBER(H97)),H97&lt;1,MOD(H97,1)&lt;&gt;0,NOT(ISNUMBER(I97)),I97&lt;0,MOD(I97,1)&lt;&gt;0),"Invalid pack or stock qty",IF(AND(G97="Yes",I97&lt;&gt;0),"Serialized stock belongs in Assets",IF(AND(C97="Assembly",I97&lt;&gt;0),"Assembly stock must be zero","OK"))))))))</x:f>
      </x:c>
    </x:row>
    <x:row r="98" ht="22" customHeight="1">
      <x:c r="A98" s="10"/>
      <x:c r="B98" s="10"/>
      <x:c r="C98" s="10"/>
      <x:c r="D98" s="10"/>
      <x:c r="E98" s="10"/>
      <x:c r="F98" s="10"/>
      <x:c r="G98" s="10"/>
      <x:c r="H98" s="12"/>
      <x:c r="I98" s="12"/>
      <x:c r="J98" s="10"/>
      <x:c r="K98" s="9" t="str">
        <x:f>IF(A98="","",IF(COUNTIFS('Definitions'!$A$8:$A$207,A98)&lt;&gt;1,"Duplicate definition ID",IF(B98="","Missing component name",IF(AND(C98&lt;&gt;"Part",C98&lt;&gt;"Assembly"),"Choose Part or Assembly",IF(OR(F98="",AND(G98&lt;&gt;"Yes",G98&lt;&gt;"No")),"Set UOM and serial tracking",IF(OR(NOT(ISNUMBER(H98)),H98&lt;1,MOD(H98,1)&lt;&gt;0,NOT(ISNUMBER(I98)),I98&lt;0,MOD(I98,1)&lt;&gt;0),"Invalid pack or stock qty",IF(AND(G98="Yes",I98&lt;&gt;0),"Serialized stock belongs in Assets",IF(AND(C98="Assembly",I98&lt;&gt;0),"Assembly stock must be zero","OK"))))))))</x:f>
      </x:c>
    </x:row>
    <x:row r="99" ht="22" customHeight="1">
      <x:c r="A99" s="10"/>
      <x:c r="B99" s="10"/>
      <x:c r="C99" s="10"/>
      <x:c r="D99" s="10"/>
      <x:c r="E99" s="10"/>
      <x:c r="F99" s="10"/>
      <x:c r="G99" s="10"/>
      <x:c r="H99" s="12"/>
      <x:c r="I99" s="12"/>
      <x:c r="J99" s="10"/>
      <x:c r="K99" s="9" t="str">
        <x:f>IF(A99="","",IF(COUNTIFS('Definitions'!$A$8:$A$207,A99)&lt;&gt;1,"Duplicate definition ID",IF(B99="","Missing component name",IF(AND(C99&lt;&gt;"Part",C99&lt;&gt;"Assembly"),"Choose Part or Assembly",IF(OR(F99="",AND(G99&lt;&gt;"Yes",G99&lt;&gt;"No")),"Set UOM and serial tracking",IF(OR(NOT(ISNUMBER(H99)),H99&lt;1,MOD(H99,1)&lt;&gt;0,NOT(ISNUMBER(I99)),I99&lt;0,MOD(I99,1)&lt;&gt;0),"Invalid pack or stock qty",IF(AND(G99="Yes",I99&lt;&gt;0),"Serialized stock belongs in Assets",IF(AND(C99="Assembly",I99&lt;&gt;0),"Assembly stock must be zero","OK"))))))))</x:f>
      </x:c>
    </x:row>
    <x:row r="100" ht="22" customHeight="1">
      <x:c r="A100" s="10"/>
      <x:c r="B100" s="10"/>
      <x:c r="C100" s="10"/>
      <x:c r="D100" s="10"/>
      <x:c r="E100" s="10"/>
      <x:c r="F100" s="10"/>
      <x:c r="G100" s="10"/>
      <x:c r="H100" s="12"/>
      <x:c r="I100" s="12"/>
      <x:c r="J100" s="10"/>
      <x:c r="K100" s="9" t="str">
        <x:f>IF(A100="","",IF(COUNTIFS('Definitions'!$A$8:$A$207,A100)&lt;&gt;1,"Duplicate definition ID",IF(B100="","Missing component name",IF(AND(C100&lt;&gt;"Part",C100&lt;&gt;"Assembly"),"Choose Part or Assembly",IF(OR(F100="",AND(G100&lt;&gt;"Yes",G100&lt;&gt;"No")),"Set UOM and serial tracking",IF(OR(NOT(ISNUMBER(H100)),H100&lt;1,MOD(H100,1)&lt;&gt;0,NOT(ISNUMBER(I100)),I100&lt;0,MOD(I100,1)&lt;&gt;0),"Invalid pack or stock qty",IF(AND(G100="Yes",I100&lt;&gt;0),"Serialized stock belongs in Assets",IF(AND(C100="Assembly",I100&lt;&gt;0),"Assembly stock must be zero","OK"))))))))</x:f>
      </x:c>
    </x:row>
    <x:row r="101" ht="22" customHeight="1">
      <x:c r="A101" s="10"/>
      <x:c r="B101" s="10"/>
      <x:c r="C101" s="10"/>
      <x:c r="D101" s="10"/>
      <x:c r="E101" s="10"/>
      <x:c r="F101" s="10"/>
      <x:c r="G101" s="10"/>
      <x:c r="H101" s="12"/>
      <x:c r="I101" s="12"/>
      <x:c r="J101" s="10"/>
      <x:c r="K101" s="9" t="str">
        <x:f>IF(A101="","",IF(COUNTIFS('Definitions'!$A$8:$A$207,A101)&lt;&gt;1,"Duplicate definition ID",IF(B101="","Missing component name",IF(AND(C101&lt;&gt;"Part",C101&lt;&gt;"Assembly"),"Choose Part or Assembly",IF(OR(F101="",AND(G101&lt;&gt;"Yes",G101&lt;&gt;"No")),"Set UOM and serial tracking",IF(OR(NOT(ISNUMBER(H101)),H101&lt;1,MOD(H101,1)&lt;&gt;0,NOT(ISNUMBER(I101)),I101&lt;0,MOD(I101,1)&lt;&gt;0),"Invalid pack or stock qty",IF(AND(G101="Yes",I101&lt;&gt;0),"Serialized stock belongs in Assets",IF(AND(C101="Assembly",I101&lt;&gt;0),"Assembly stock must be zero","OK"))))))))</x:f>
      </x:c>
    </x:row>
    <x:row r="102" ht="22" customHeight="1">
      <x:c r="A102" s="10"/>
      <x:c r="B102" s="10"/>
      <x:c r="C102" s="10"/>
      <x:c r="D102" s="10"/>
      <x:c r="E102" s="10"/>
      <x:c r="F102" s="10"/>
      <x:c r="G102" s="10"/>
      <x:c r="H102" s="12"/>
      <x:c r="I102" s="12"/>
      <x:c r="J102" s="10"/>
      <x:c r="K102" s="9" t="str">
        <x:f>IF(A102="","",IF(COUNTIFS('Definitions'!$A$8:$A$207,A102)&lt;&gt;1,"Duplicate definition ID",IF(B102="","Missing component name",IF(AND(C102&lt;&gt;"Part",C102&lt;&gt;"Assembly"),"Choose Part or Assembly",IF(OR(F102="",AND(G102&lt;&gt;"Yes",G102&lt;&gt;"No")),"Set UOM and serial tracking",IF(OR(NOT(ISNUMBER(H102)),H102&lt;1,MOD(H102,1)&lt;&gt;0,NOT(ISNUMBER(I102)),I102&lt;0,MOD(I102,1)&lt;&gt;0),"Invalid pack or stock qty",IF(AND(G102="Yes",I102&lt;&gt;0),"Serialized stock belongs in Assets",IF(AND(C102="Assembly",I102&lt;&gt;0),"Assembly stock must be zero","OK"))))))))</x:f>
      </x:c>
    </x:row>
    <x:row r="103" ht="22" customHeight="1">
      <x:c r="A103" s="10"/>
      <x:c r="B103" s="10"/>
      <x:c r="C103" s="10"/>
      <x:c r="D103" s="10"/>
      <x:c r="E103" s="10"/>
      <x:c r="F103" s="10"/>
      <x:c r="G103" s="10"/>
      <x:c r="H103" s="12"/>
      <x:c r="I103" s="12"/>
      <x:c r="J103" s="10"/>
      <x:c r="K103" s="9" t="str">
        <x:f>IF(A103="","",IF(COUNTIFS('Definitions'!$A$8:$A$207,A103)&lt;&gt;1,"Duplicate definition ID",IF(B103="","Missing component name",IF(AND(C103&lt;&gt;"Part",C103&lt;&gt;"Assembly"),"Choose Part or Assembly",IF(OR(F103="",AND(G103&lt;&gt;"Yes",G103&lt;&gt;"No")),"Set UOM and serial tracking",IF(OR(NOT(ISNUMBER(H103)),H103&lt;1,MOD(H103,1)&lt;&gt;0,NOT(ISNUMBER(I103)),I103&lt;0,MOD(I103,1)&lt;&gt;0),"Invalid pack or stock qty",IF(AND(G103="Yes",I103&lt;&gt;0),"Serialized stock belongs in Assets",IF(AND(C103="Assembly",I103&lt;&gt;0),"Assembly stock must be zero","OK"))))))))</x:f>
      </x:c>
    </x:row>
    <x:row r="104" ht="22" customHeight="1">
      <x:c r="A104" s="10"/>
      <x:c r="B104" s="10"/>
      <x:c r="C104" s="10"/>
      <x:c r="D104" s="10"/>
      <x:c r="E104" s="10"/>
      <x:c r="F104" s="10"/>
      <x:c r="G104" s="10"/>
      <x:c r="H104" s="12"/>
      <x:c r="I104" s="12"/>
      <x:c r="J104" s="10"/>
      <x:c r="K104" s="9" t="str">
        <x:f>IF(A104="","",IF(COUNTIFS('Definitions'!$A$8:$A$207,A104)&lt;&gt;1,"Duplicate definition ID",IF(B104="","Missing component name",IF(AND(C104&lt;&gt;"Part",C104&lt;&gt;"Assembly"),"Choose Part or Assembly",IF(OR(F104="",AND(G104&lt;&gt;"Yes",G104&lt;&gt;"No")),"Set UOM and serial tracking",IF(OR(NOT(ISNUMBER(H104)),H104&lt;1,MOD(H104,1)&lt;&gt;0,NOT(ISNUMBER(I104)),I104&lt;0,MOD(I104,1)&lt;&gt;0),"Invalid pack or stock qty",IF(AND(G104="Yes",I104&lt;&gt;0),"Serialized stock belongs in Assets",IF(AND(C104="Assembly",I104&lt;&gt;0),"Assembly stock must be zero","OK"))))))))</x:f>
      </x:c>
    </x:row>
    <x:row r="105" ht="22" customHeight="1">
      <x:c r="A105" s="10"/>
      <x:c r="B105" s="10"/>
      <x:c r="C105" s="10"/>
      <x:c r="D105" s="10"/>
      <x:c r="E105" s="10"/>
      <x:c r="F105" s="10"/>
      <x:c r="G105" s="10"/>
      <x:c r="H105" s="12"/>
      <x:c r="I105" s="12"/>
      <x:c r="J105" s="10"/>
      <x:c r="K105" s="9" t="str">
        <x:f>IF(A105="","",IF(COUNTIFS('Definitions'!$A$8:$A$207,A105)&lt;&gt;1,"Duplicate definition ID",IF(B105="","Missing component name",IF(AND(C105&lt;&gt;"Part",C105&lt;&gt;"Assembly"),"Choose Part or Assembly",IF(OR(F105="",AND(G105&lt;&gt;"Yes",G105&lt;&gt;"No")),"Set UOM and serial tracking",IF(OR(NOT(ISNUMBER(H105)),H105&lt;1,MOD(H105,1)&lt;&gt;0,NOT(ISNUMBER(I105)),I105&lt;0,MOD(I105,1)&lt;&gt;0),"Invalid pack or stock qty",IF(AND(G105="Yes",I105&lt;&gt;0),"Serialized stock belongs in Assets",IF(AND(C105="Assembly",I105&lt;&gt;0),"Assembly stock must be zero","OK"))))))))</x:f>
      </x:c>
    </x:row>
    <x:row r="106" ht="22" customHeight="1">
      <x:c r="A106" s="10"/>
      <x:c r="B106" s="10"/>
      <x:c r="C106" s="10"/>
      <x:c r="D106" s="10"/>
      <x:c r="E106" s="10"/>
      <x:c r="F106" s="10"/>
      <x:c r="G106" s="10"/>
      <x:c r="H106" s="12"/>
      <x:c r="I106" s="12"/>
      <x:c r="J106" s="10"/>
      <x:c r="K106" s="9" t="str">
        <x:f>IF(A106="","",IF(COUNTIFS('Definitions'!$A$8:$A$207,A106)&lt;&gt;1,"Duplicate definition ID",IF(B106="","Missing component name",IF(AND(C106&lt;&gt;"Part",C106&lt;&gt;"Assembly"),"Choose Part or Assembly",IF(OR(F106="",AND(G106&lt;&gt;"Yes",G106&lt;&gt;"No")),"Set UOM and serial tracking",IF(OR(NOT(ISNUMBER(H106)),H106&lt;1,MOD(H106,1)&lt;&gt;0,NOT(ISNUMBER(I106)),I106&lt;0,MOD(I106,1)&lt;&gt;0),"Invalid pack or stock qty",IF(AND(G106="Yes",I106&lt;&gt;0),"Serialized stock belongs in Assets",IF(AND(C106="Assembly",I106&lt;&gt;0),"Assembly stock must be zero","OK"))))))))</x:f>
      </x:c>
    </x:row>
    <x:row r="107" ht="22" customHeight="1">
      <x:c r="A107" s="10"/>
      <x:c r="B107" s="10"/>
      <x:c r="C107" s="10"/>
      <x:c r="D107" s="10"/>
      <x:c r="E107" s="10"/>
      <x:c r="F107" s="10"/>
      <x:c r="G107" s="10"/>
      <x:c r="H107" s="12"/>
      <x:c r="I107" s="12"/>
      <x:c r="J107" s="10"/>
      <x:c r="K107" s="9" t="str">
        <x:f>IF(A107="","",IF(COUNTIFS('Definitions'!$A$8:$A$207,A107)&lt;&gt;1,"Duplicate definition ID",IF(B107="","Missing component name",IF(AND(C107&lt;&gt;"Part",C107&lt;&gt;"Assembly"),"Choose Part or Assembly",IF(OR(F107="",AND(G107&lt;&gt;"Yes",G107&lt;&gt;"No")),"Set UOM and serial tracking",IF(OR(NOT(ISNUMBER(H107)),H107&lt;1,MOD(H107,1)&lt;&gt;0,NOT(ISNUMBER(I107)),I107&lt;0,MOD(I107,1)&lt;&gt;0),"Invalid pack or stock qty",IF(AND(G107="Yes",I107&lt;&gt;0),"Serialized stock belongs in Assets",IF(AND(C107="Assembly",I107&lt;&gt;0),"Assembly stock must be zero","OK"))))))))</x:f>
      </x:c>
    </x:row>
    <x:row r="108" ht="22" customHeight="1">
      <x:c r="A108" s="10"/>
      <x:c r="B108" s="10"/>
      <x:c r="C108" s="10"/>
      <x:c r="D108" s="10"/>
      <x:c r="E108" s="10"/>
      <x:c r="F108" s="10"/>
      <x:c r="G108" s="10"/>
      <x:c r="H108" s="12"/>
      <x:c r="I108" s="12"/>
      <x:c r="J108" s="10"/>
      <x:c r="K108" s="9" t="str">
        <x:f>IF(A108="","",IF(COUNTIFS('Definitions'!$A$8:$A$207,A108)&lt;&gt;1,"Duplicate definition ID",IF(B108="","Missing component name",IF(AND(C108&lt;&gt;"Part",C108&lt;&gt;"Assembly"),"Choose Part or Assembly",IF(OR(F108="",AND(G108&lt;&gt;"Yes",G108&lt;&gt;"No")),"Set UOM and serial tracking",IF(OR(NOT(ISNUMBER(H108)),H108&lt;1,MOD(H108,1)&lt;&gt;0,NOT(ISNUMBER(I108)),I108&lt;0,MOD(I108,1)&lt;&gt;0),"Invalid pack or stock qty",IF(AND(G108="Yes",I108&lt;&gt;0),"Serialized stock belongs in Assets",IF(AND(C108="Assembly",I108&lt;&gt;0),"Assembly stock must be zero","OK"))))))))</x:f>
      </x:c>
    </x:row>
    <x:row r="109" ht="22" customHeight="1">
      <x:c r="A109" s="10"/>
      <x:c r="B109" s="10"/>
      <x:c r="C109" s="10"/>
      <x:c r="D109" s="10"/>
      <x:c r="E109" s="10"/>
      <x:c r="F109" s="10"/>
      <x:c r="G109" s="10"/>
      <x:c r="H109" s="12"/>
      <x:c r="I109" s="12"/>
      <x:c r="J109" s="10"/>
      <x:c r="K109" s="9" t="str">
        <x:f>IF(A109="","",IF(COUNTIFS('Definitions'!$A$8:$A$207,A109)&lt;&gt;1,"Duplicate definition ID",IF(B109="","Missing component name",IF(AND(C109&lt;&gt;"Part",C109&lt;&gt;"Assembly"),"Choose Part or Assembly",IF(OR(F109="",AND(G109&lt;&gt;"Yes",G109&lt;&gt;"No")),"Set UOM and serial tracking",IF(OR(NOT(ISNUMBER(H109)),H109&lt;1,MOD(H109,1)&lt;&gt;0,NOT(ISNUMBER(I109)),I109&lt;0,MOD(I109,1)&lt;&gt;0),"Invalid pack or stock qty",IF(AND(G109="Yes",I109&lt;&gt;0),"Serialized stock belongs in Assets",IF(AND(C109="Assembly",I109&lt;&gt;0),"Assembly stock must be zero","OK"))))))))</x:f>
      </x:c>
    </x:row>
    <x:row r="110" ht="22" customHeight="1">
      <x:c r="A110" s="10"/>
      <x:c r="B110" s="10"/>
      <x:c r="C110" s="10"/>
      <x:c r="D110" s="10"/>
      <x:c r="E110" s="10"/>
      <x:c r="F110" s="10"/>
      <x:c r="G110" s="10"/>
      <x:c r="H110" s="12"/>
      <x:c r="I110" s="12"/>
      <x:c r="J110" s="10"/>
      <x:c r="K110" s="9" t="str">
        <x:f>IF(A110="","",IF(COUNTIFS('Definitions'!$A$8:$A$207,A110)&lt;&gt;1,"Duplicate definition ID",IF(B110="","Missing component name",IF(AND(C110&lt;&gt;"Part",C110&lt;&gt;"Assembly"),"Choose Part or Assembly",IF(OR(F110="",AND(G110&lt;&gt;"Yes",G110&lt;&gt;"No")),"Set UOM and serial tracking",IF(OR(NOT(ISNUMBER(H110)),H110&lt;1,MOD(H110,1)&lt;&gt;0,NOT(ISNUMBER(I110)),I110&lt;0,MOD(I110,1)&lt;&gt;0),"Invalid pack or stock qty",IF(AND(G110="Yes",I110&lt;&gt;0),"Serialized stock belongs in Assets",IF(AND(C110="Assembly",I110&lt;&gt;0),"Assembly stock must be zero","OK"))))))))</x:f>
      </x:c>
    </x:row>
    <x:row r="111" ht="22" customHeight="1">
      <x:c r="A111" s="10"/>
      <x:c r="B111" s="10"/>
      <x:c r="C111" s="10"/>
      <x:c r="D111" s="10"/>
      <x:c r="E111" s="10"/>
      <x:c r="F111" s="10"/>
      <x:c r="G111" s="10"/>
      <x:c r="H111" s="12"/>
      <x:c r="I111" s="12"/>
      <x:c r="J111" s="10"/>
      <x:c r="K111" s="9" t="str">
        <x:f>IF(A111="","",IF(COUNTIFS('Definitions'!$A$8:$A$207,A111)&lt;&gt;1,"Duplicate definition ID",IF(B111="","Missing component name",IF(AND(C111&lt;&gt;"Part",C111&lt;&gt;"Assembly"),"Choose Part or Assembly",IF(OR(F111="",AND(G111&lt;&gt;"Yes",G111&lt;&gt;"No")),"Set UOM and serial tracking",IF(OR(NOT(ISNUMBER(H111)),H111&lt;1,MOD(H111,1)&lt;&gt;0,NOT(ISNUMBER(I111)),I111&lt;0,MOD(I111,1)&lt;&gt;0),"Invalid pack or stock qty",IF(AND(G111="Yes",I111&lt;&gt;0),"Serialized stock belongs in Assets",IF(AND(C111="Assembly",I111&lt;&gt;0),"Assembly stock must be zero","OK"))))))))</x:f>
      </x:c>
    </x:row>
    <x:row r="112" ht="22" customHeight="1">
      <x:c r="A112" s="10"/>
      <x:c r="B112" s="10"/>
      <x:c r="C112" s="10"/>
      <x:c r="D112" s="10"/>
      <x:c r="E112" s="10"/>
      <x:c r="F112" s="10"/>
      <x:c r="G112" s="10"/>
      <x:c r="H112" s="12"/>
      <x:c r="I112" s="12"/>
      <x:c r="J112" s="10"/>
      <x:c r="K112" s="9" t="str">
        <x:f>IF(A112="","",IF(COUNTIFS('Definitions'!$A$8:$A$207,A112)&lt;&gt;1,"Duplicate definition ID",IF(B112="","Missing component name",IF(AND(C112&lt;&gt;"Part",C112&lt;&gt;"Assembly"),"Choose Part or Assembly",IF(OR(F112="",AND(G112&lt;&gt;"Yes",G112&lt;&gt;"No")),"Set UOM and serial tracking",IF(OR(NOT(ISNUMBER(H112)),H112&lt;1,MOD(H112,1)&lt;&gt;0,NOT(ISNUMBER(I112)),I112&lt;0,MOD(I112,1)&lt;&gt;0),"Invalid pack or stock qty",IF(AND(G112="Yes",I112&lt;&gt;0),"Serialized stock belongs in Assets",IF(AND(C112="Assembly",I112&lt;&gt;0),"Assembly stock must be zero","OK"))))))))</x:f>
      </x:c>
    </x:row>
    <x:row r="113" ht="22" customHeight="1">
      <x:c r="A113" s="10"/>
      <x:c r="B113" s="10"/>
      <x:c r="C113" s="10"/>
      <x:c r="D113" s="10"/>
      <x:c r="E113" s="10"/>
      <x:c r="F113" s="10"/>
      <x:c r="G113" s="10"/>
      <x:c r="H113" s="12"/>
      <x:c r="I113" s="12"/>
      <x:c r="J113" s="10"/>
      <x:c r="K113" s="9" t="str">
        <x:f>IF(A113="","",IF(COUNTIFS('Definitions'!$A$8:$A$207,A113)&lt;&gt;1,"Duplicate definition ID",IF(B113="","Missing component name",IF(AND(C113&lt;&gt;"Part",C113&lt;&gt;"Assembly"),"Choose Part or Assembly",IF(OR(F113="",AND(G113&lt;&gt;"Yes",G113&lt;&gt;"No")),"Set UOM and serial tracking",IF(OR(NOT(ISNUMBER(H113)),H113&lt;1,MOD(H113,1)&lt;&gt;0,NOT(ISNUMBER(I113)),I113&lt;0,MOD(I113,1)&lt;&gt;0),"Invalid pack or stock qty",IF(AND(G113="Yes",I113&lt;&gt;0),"Serialized stock belongs in Assets",IF(AND(C113="Assembly",I113&lt;&gt;0),"Assembly stock must be zero","OK"))))))))</x:f>
      </x:c>
    </x:row>
    <x:row r="114" ht="22" customHeight="1">
      <x:c r="A114" s="10"/>
      <x:c r="B114" s="10"/>
      <x:c r="C114" s="10"/>
      <x:c r="D114" s="10"/>
      <x:c r="E114" s="10"/>
      <x:c r="F114" s="10"/>
      <x:c r="G114" s="10"/>
      <x:c r="H114" s="12"/>
      <x:c r="I114" s="12"/>
      <x:c r="J114" s="10"/>
      <x:c r="K114" s="9" t="str">
        <x:f>IF(A114="","",IF(COUNTIFS('Definitions'!$A$8:$A$207,A114)&lt;&gt;1,"Duplicate definition ID",IF(B114="","Missing component name",IF(AND(C114&lt;&gt;"Part",C114&lt;&gt;"Assembly"),"Choose Part or Assembly",IF(OR(F114="",AND(G114&lt;&gt;"Yes",G114&lt;&gt;"No")),"Set UOM and serial tracking",IF(OR(NOT(ISNUMBER(H114)),H114&lt;1,MOD(H114,1)&lt;&gt;0,NOT(ISNUMBER(I114)),I114&lt;0,MOD(I114,1)&lt;&gt;0),"Invalid pack or stock qty",IF(AND(G114="Yes",I114&lt;&gt;0),"Serialized stock belongs in Assets",IF(AND(C114="Assembly",I114&lt;&gt;0),"Assembly stock must be zero","OK"))))))))</x:f>
      </x:c>
    </x:row>
    <x:row r="115" ht="22" customHeight="1">
      <x:c r="A115" s="10"/>
      <x:c r="B115" s="10"/>
      <x:c r="C115" s="10"/>
      <x:c r="D115" s="10"/>
      <x:c r="E115" s="10"/>
      <x:c r="F115" s="10"/>
      <x:c r="G115" s="10"/>
      <x:c r="H115" s="12"/>
      <x:c r="I115" s="12"/>
      <x:c r="J115" s="10"/>
      <x:c r="K115" s="9" t="str">
        <x:f>IF(A115="","",IF(COUNTIFS('Definitions'!$A$8:$A$207,A115)&lt;&gt;1,"Duplicate definition ID",IF(B115="","Missing component name",IF(AND(C115&lt;&gt;"Part",C115&lt;&gt;"Assembly"),"Choose Part or Assembly",IF(OR(F115="",AND(G115&lt;&gt;"Yes",G115&lt;&gt;"No")),"Set UOM and serial tracking",IF(OR(NOT(ISNUMBER(H115)),H115&lt;1,MOD(H115,1)&lt;&gt;0,NOT(ISNUMBER(I115)),I115&lt;0,MOD(I115,1)&lt;&gt;0),"Invalid pack or stock qty",IF(AND(G115="Yes",I115&lt;&gt;0),"Serialized stock belongs in Assets",IF(AND(C115="Assembly",I115&lt;&gt;0),"Assembly stock must be zero","OK"))))))))</x:f>
      </x:c>
    </x:row>
    <x:row r="116" ht="22" customHeight="1">
      <x:c r="A116" s="10"/>
      <x:c r="B116" s="10"/>
      <x:c r="C116" s="10"/>
      <x:c r="D116" s="10"/>
      <x:c r="E116" s="10"/>
      <x:c r="F116" s="10"/>
      <x:c r="G116" s="10"/>
      <x:c r="H116" s="12"/>
      <x:c r="I116" s="12"/>
      <x:c r="J116" s="10"/>
      <x:c r="K116" s="9" t="str">
        <x:f>IF(A116="","",IF(COUNTIFS('Definitions'!$A$8:$A$207,A116)&lt;&gt;1,"Duplicate definition ID",IF(B116="","Missing component name",IF(AND(C116&lt;&gt;"Part",C116&lt;&gt;"Assembly"),"Choose Part or Assembly",IF(OR(F116="",AND(G116&lt;&gt;"Yes",G116&lt;&gt;"No")),"Set UOM and serial tracking",IF(OR(NOT(ISNUMBER(H116)),H116&lt;1,MOD(H116,1)&lt;&gt;0,NOT(ISNUMBER(I116)),I116&lt;0,MOD(I116,1)&lt;&gt;0),"Invalid pack or stock qty",IF(AND(G116="Yes",I116&lt;&gt;0),"Serialized stock belongs in Assets",IF(AND(C116="Assembly",I116&lt;&gt;0),"Assembly stock must be zero","OK"))))))))</x:f>
      </x:c>
    </x:row>
    <x:row r="117" ht="22" customHeight="1">
      <x:c r="A117" s="10"/>
      <x:c r="B117" s="10"/>
      <x:c r="C117" s="10"/>
      <x:c r="D117" s="10"/>
      <x:c r="E117" s="10"/>
      <x:c r="F117" s="10"/>
      <x:c r="G117" s="10"/>
      <x:c r="H117" s="12"/>
      <x:c r="I117" s="12"/>
      <x:c r="J117" s="10"/>
      <x:c r="K117" s="9" t="str">
        <x:f>IF(A117="","",IF(COUNTIFS('Definitions'!$A$8:$A$207,A117)&lt;&gt;1,"Duplicate definition ID",IF(B117="","Missing component name",IF(AND(C117&lt;&gt;"Part",C117&lt;&gt;"Assembly"),"Choose Part or Assembly",IF(OR(F117="",AND(G117&lt;&gt;"Yes",G117&lt;&gt;"No")),"Set UOM and serial tracking",IF(OR(NOT(ISNUMBER(H117)),H117&lt;1,MOD(H117,1)&lt;&gt;0,NOT(ISNUMBER(I117)),I117&lt;0,MOD(I117,1)&lt;&gt;0),"Invalid pack or stock qty",IF(AND(G117="Yes",I117&lt;&gt;0),"Serialized stock belongs in Assets",IF(AND(C117="Assembly",I117&lt;&gt;0),"Assembly stock must be zero","OK"))))))))</x:f>
      </x:c>
    </x:row>
    <x:row r="118" ht="22" customHeight="1">
      <x:c r="A118" s="10"/>
      <x:c r="B118" s="10"/>
      <x:c r="C118" s="10"/>
      <x:c r="D118" s="10"/>
      <x:c r="E118" s="10"/>
      <x:c r="F118" s="10"/>
      <x:c r="G118" s="10"/>
      <x:c r="H118" s="12"/>
      <x:c r="I118" s="12"/>
      <x:c r="J118" s="10"/>
      <x:c r="K118" s="9" t="str">
        <x:f>IF(A118="","",IF(COUNTIFS('Definitions'!$A$8:$A$207,A118)&lt;&gt;1,"Duplicate definition ID",IF(B118="","Missing component name",IF(AND(C118&lt;&gt;"Part",C118&lt;&gt;"Assembly"),"Choose Part or Assembly",IF(OR(F118="",AND(G118&lt;&gt;"Yes",G118&lt;&gt;"No")),"Set UOM and serial tracking",IF(OR(NOT(ISNUMBER(H118)),H118&lt;1,MOD(H118,1)&lt;&gt;0,NOT(ISNUMBER(I118)),I118&lt;0,MOD(I118,1)&lt;&gt;0),"Invalid pack or stock qty",IF(AND(G118="Yes",I118&lt;&gt;0),"Serialized stock belongs in Assets",IF(AND(C118="Assembly",I118&lt;&gt;0),"Assembly stock must be zero","OK"))))))))</x:f>
      </x:c>
    </x:row>
    <x:row r="119" ht="22" customHeight="1">
      <x:c r="A119" s="10"/>
      <x:c r="B119" s="10"/>
      <x:c r="C119" s="10"/>
      <x:c r="D119" s="10"/>
      <x:c r="E119" s="10"/>
      <x:c r="F119" s="10"/>
      <x:c r="G119" s="10"/>
      <x:c r="H119" s="12"/>
      <x:c r="I119" s="12"/>
      <x:c r="J119" s="10"/>
      <x:c r="K119" s="9" t="str">
        <x:f>IF(A119="","",IF(COUNTIFS('Definitions'!$A$8:$A$207,A119)&lt;&gt;1,"Duplicate definition ID",IF(B119="","Missing component name",IF(AND(C119&lt;&gt;"Part",C119&lt;&gt;"Assembly"),"Choose Part or Assembly",IF(OR(F119="",AND(G119&lt;&gt;"Yes",G119&lt;&gt;"No")),"Set UOM and serial tracking",IF(OR(NOT(ISNUMBER(H119)),H119&lt;1,MOD(H119,1)&lt;&gt;0,NOT(ISNUMBER(I119)),I119&lt;0,MOD(I119,1)&lt;&gt;0),"Invalid pack or stock qty",IF(AND(G119="Yes",I119&lt;&gt;0),"Serialized stock belongs in Assets",IF(AND(C119="Assembly",I119&lt;&gt;0),"Assembly stock must be zero","OK"))))))))</x:f>
      </x:c>
    </x:row>
    <x:row r="120" ht="22" customHeight="1">
      <x:c r="A120" s="10"/>
      <x:c r="B120" s="10"/>
      <x:c r="C120" s="10"/>
      <x:c r="D120" s="10"/>
      <x:c r="E120" s="10"/>
      <x:c r="F120" s="10"/>
      <x:c r="G120" s="10"/>
      <x:c r="H120" s="12"/>
      <x:c r="I120" s="12"/>
      <x:c r="J120" s="10"/>
      <x:c r="K120" s="9" t="str">
        <x:f>IF(A120="","",IF(COUNTIFS('Definitions'!$A$8:$A$207,A120)&lt;&gt;1,"Duplicate definition ID",IF(B120="","Missing component name",IF(AND(C120&lt;&gt;"Part",C120&lt;&gt;"Assembly"),"Choose Part or Assembly",IF(OR(F120="",AND(G120&lt;&gt;"Yes",G120&lt;&gt;"No")),"Set UOM and serial tracking",IF(OR(NOT(ISNUMBER(H120)),H120&lt;1,MOD(H120,1)&lt;&gt;0,NOT(ISNUMBER(I120)),I120&lt;0,MOD(I120,1)&lt;&gt;0),"Invalid pack or stock qty",IF(AND(G120="Yes",I120&lt;&gt;0),"Serialized stock belongs in Assets",IF(AND(C120="Assembly",I120&lt;&gt;0),"Assembly stock must be zero","OK"))))))))</x:f>
      </x:c>
    </x:row>
    <x:row r="121" ht="22" customHeight="1">
      <x:c r="A121" s="10"/>
      <x:c r="B121" s="10"/>
      <x:c r="C121" s="10"/>
      <x:c r="D121" s="10"/>
      <x:c r="E121" s="10"/>
      <x:c r="F121" s="10"/>
      <x:c r="G121" s="10"/>
      <x:c r="H121" s="12"/>
      <x:c r="I121" s="12"/>
      <x:c r="J121" s="10"/>
      <x:c r="K121" s="9" t="str">
        <x:f>IF(A121="","",IF(COUNTIFS('Definitions'!$A$8:$A$207,A121)&lt;&gt;1,"Duplicate definition ID",IF(B121="","Missing component name",IF(AND(C121&lt;&gt;"Part",C121&lt;&gt;"Assembly"),"Choose Part or Assembly",IF(OR(F121="",AND(G121&lt;&gt;"Yes",G121&lt;&gt;"No")),"Set UOM and serial tracking",IF(OR(NOT(ISNUMBER(H121)),H121&lt;1,MOD(H121,1)&lt;&gt;0,NOT(ISNUMBER(I121)),I121&lt;0,MOD(I121,1)&lt;&gt;0),"Invalid pack or stock qty",IF(AND(G121="Yes",I121&lt;&gt;0),"Serialized stock belongs in Assets",IF(AND(C121="Assembly",I121&lt;&gt;0),"Assembly stock must be zero","OK"))))))))</x:f>
      </x:c>
    </x:row>
    <x:row r="122" ht="22" customHeight="1">
      <x:c r="A122" s="10"/>
      <x:c r="B122" s="10"/>
      <x:c r="C122" s="10"/>
      <x:c r="D122" s="10"/>
      <x:c r="E122" s="10"/>
      <x:c r="F122" s="10"/>
      <x:c r="G122" s="10"/>
      <x:c r="H122" s="12"/>
      <x:c r="I122" s="12"/>
      <x:c r="J122" s="10"/>
      <x:c r="K122" s="9" t="str">
        <x:f>IF(A122="","",IF(COUNTIFS('Definitions'!$A$8:$A$207,A122)&lt;&gt;1,"Duplicate definition ID",IF(B122="","Missing component name",IF(AND(C122&lt;&gt;"Part",C122&lt;&gt;"Assembly"),"Choose Part or Assembly",IF(OR(F122="",AND(G122&lt;&gt;"Yes",G122&lt;&gt;"No")),"Set UOM and serial tracking",IF(OR(NOT(ISNUMBER(H122)),H122&lt;1,MOD(H122,1)&lt;&gt;0,NOT(ISNUMBER(I122)),I122&lt;0,MOD(I122,1)&lt;&gt;0),"Invalid pack or stock qty",IF(AND(G122="Yes",I122&lt;&gt;0),"Serialized stock belongs in Assets",IF(AND(C122="Assembly",I122&lt;&gt;0),"Assembly stock must be zero","OK"))))))))</x:f>
      </x:c>
    </x:row>
    <x:row r="123" ht="22" customHeight="1">
      <x:c r="A123" s="10"/>
      <x:c r="B123" s="10"/>
      <x:c r="C123" s="10"/>
      <x:c r="D123" s="10"/>
      <x:c r="E123" s="10"/>
      <x:c r="F123" s="10"/>
      <x:c r="G123" s="10"/>
      <x:c r="H123" s="12"/>
      <x:c r="I123" s="12"/>
      <x:c r="J123" s="10"/>
      <x:c r="K123" s="9" t="str">
        <x:f>IF(A123="","",IF(COUNTIFS('Definitions'!$A$8:$A$207,A123)&lt;&gt;1,"Duplicate definition ID",IF(B123="","Missing component name",IF(AND(C123&lt;&gt;"Part",C123&lt;&gt;"Assembly"),"Choose Part or Assembly",IF(OR(F123="",AND(G123&lt;&gt;"Yes",G123&lt;&gt;"No")),"Set UOM and serial tracking",IF(OR(NOT(ISNUMBER(H123)),H123&lt;1,MOD(H123,1)&lt;&gt;0,NOT(ISNUMBER(I123)),I123&lt;0,MOD(I123,1)&lt;&gt;0),"Invalid pack or stock qty",IF(AND(G123="Yes",I123&lt;&gt;0),"Serialized stock belongs in Assets",IF(AND(C123="Assembly",I123&lt;&gt;0),"Assembly stock must be zero","OK"))))))))</x:f>
      </x:c>
    </x:row>
    <x:row r="124" ht="22" customHeight="1">
      <x:c r="A124" s="10"/>
      <x:c r="B124" s="10"/>
      <x:c r="C124" s="10"/>
      <x:c r="D124" s="10"/>
      <x:c r="E124" s="10"/>
      <x:c r="F124" s="10"/>
      <x:c r="G124" s="10"/>
      <x:c r="H124" s="12"/>
      <x:c r="I124" s="12"/>
      <x:c r="J124" s="10"/>
      <x:c r="K124" s="9" t="str">
        <x:f>IF(A124="","",IF(COUNTIFS('Definitions'!$A$8:$A$207,A124)&lt;&gt;1,"Duplicate definition ID",IF(B124="","Missing component name",IF(AND(C124&lt;&gt;"Part",C124&lt;&gt;"Assembly"),"Choose Part or Assembly",IF(OR(F124="",AND(G124&lt;&gt;"Yes",G124&lt;&gt;"No")),"Set UOM and serial tracking",IF(OR(NOT(ISNUMBER(H124)),H124&lt;1,MOD(H124,1)&lt;&gt;0,NOT(ISNUMBER(I124)),I124&lt;0,MOD(I124,1)&lt;&gt;0),"Invalid pack or stock qty",IF(AND(G124="Yes",I124&lt;&gt;0),"Serialized stock belongs in Assets",IF(AND(C124="Assembly",I124&lt;&gt;0),"Assembly stock must be zero","OK"))))))))</x:f>
      </x:c>
    </x:row>
    <x:row r="125" ht="22" customHeight="1">
      <x:c r="A125" s="10"/>
      <x:c r="B125" s="10"/>
      <x:c r="C125" s="10"/>
      <x:c r="D125" s="10"/>
      <x:c r="E125" s="10"/>
      <x:c r="F125" s="10"/>
      <x:c r="G125" s="10"/>
      <x:c r="H125" s="12"/>
      <x:c r="I125" s="12"/>
      <x:c r="J125" s="10"/>
      <x:c r="K125" s="9" t="str">
        <x:f>IF(A125="","",IF(COUNTIFS('Definitions'!$A$8:$A$207,A125)&lt;&gt;1,"Duplicate definition ID",IF(B125="","Missing component name",IF(AND(C125&lt;&gt;"Part",C125&lt;&gt;"Assembly"),"Choose Part or Assembly",IF(OR(F125="",AND(G125&lt;&gt;"Yes",G125&lt;&gt;"No")),"Set UOM and serial tracking",IF(OR(NOT(ISNUMBER(H125)),H125&lt;1,MOD(H125,1)&lt;&gt;0,NOT(ISNUMBER(I125)),I125&lt;0,MOD(I125,1)&lt;&gt;0),"Invalid pack or stock qty",IF(AND(G125="Yes",I125&lt;&gt;0),"Serialized stock belongs in Assets",IF(AND(C125="Assembly",I125&lt;&gt;0),"Assembly stock must be zero","OK"))))))))</x:f>
      </x:c>
    </x:row>
    <x:row r="126" ht="22" customHeight="1">
      <x:c r="A126" s="10"/>
      <x:c r="B126" s="10"/>
      <x:c r="C126" s="10"/>
      <x:c r="D126" s="10"/>
      <x:c r="E126" s="10"/>
      <x:c r="F126" s="10"/>
      <x:c r="G126" s="10"/>
      <x:c r="H126" s="12"/>
      <x:c r="I126" s="12"/>
      <x:c r="J126" s="10"/>
      <x:c r="K126" s="9" t="str">
        <x:f>IF(A126="","",IF(COUNTIFS('Definitions'!$A$8:$A$207,A126)&lt;&gt;1,"Duplicate definition ID",IF(B126="","Missing component name",IF(AND(C126&lt;&gt;"Part",C126&lt;&gt;"Assembly"),"Choose Part or Assembly",IF(OR(F126="",AND(G126&lt;&gt;"Yes",G126&lt;&gt;"No")),"Set UOM and serial tracking",IF(OR(NOT(ISNUMBER(H126)),H126&lt;1,MOD(H126,1)&lt;&gt;0,NOT(ISNUMBER(I126)),I126&lt;0,MOD(I126,1)&lt;&gt;0),"Invalid pack or stock qty",IF(AND(G126="Yes",I126&lt;&gt;0),"Serialized stock belongs in Assets",IF(AND(C126="Assembly",I126&lt;&gt;0),"Assembly stock must be zero","OK"))))))))</x:f>
      </x:c>
    </x:row>
    <x:row r="127" ht="22" customHeight="1">
      <x:c r="A127" s="10"/>
      <x:c r="B127" s="10"/>
      <x:c r="C127" s="10"/>
      <x:c r="D127" s="10"/>
      <x:c r="E127" s="10"/>
      <x:c r="F127" s="10"/>
      <x:c r="G127" s="10"/>
      <x:c r="H127" s="12"/>
      <x:c r="I127" s="12"/>
      <x:c r="J127" s="10"/>
      <x:c r="K127" s="9" t="str">
        <x:f>IF(A127="","",IF(COUNTIFS('Definitions'!$A$8:$A$207,A127)&lt;&gt;1,"Duplicate definition ID",IF(B127="","Missing component name",IF(AND(C127&lt;&gt;"Part",C127&lt;&gt;"Assembly"),"Choose Part or Assembly",IF(OR(F127="",AND(G127&lt;&gt;"Yes",G127&lt;&gt;"No")),"Set UOM and serial tracking",IF(OR(NOT(ISNUMBER(H127)),H127&lt;1,MOD(H127,1)&lt;&gt;0,NOT(ISNUMBER(I127)),I127&lt;0,MOD(I127,1)&lt;&gt;0),"Invalid pack or stock qty",IF(AND(G127="Yes",I127&lt;&gt;0),"Serialized stock belongs in Assets",IF(AND(C127="Assembly",I127&lt;&gt;0),"Assembly stock must be zero","OK"))))))))</x:f>
      </x:c>
    </x:row>
    <x:row r="128" ht="22" customHeight="1">
      <x:c r="A128" s="10"/>
      <x:c r="B128" s="10"/>
      <x:c r="C128" s="10"/>
      <x:c r="D128" s="10"/>
      <x:c r="E128" s="10"/>
      <x:c r="F128" s="10"/>
      <x:c r="G128" s="10"/>
      <x:c r="H128" s="12"/>
      <x:c r="I128" s="12"/>
      <x:c r="J128" s="10"/>
      <x:c r="K128" s="9" t="str">
        <x:f>IF(A128="","",IF(COUNTIFS('Definitions'!$A$8:$A$207,A128)&lt;&gt;1,"Duplicate definition ID",IF(B128="","Missing component name",IF(AND(C128&lt;&gt;"Part",C128&lt;&gt;"Assembly"),"Choose Part or Assembly",IF(OR(F128="",AND(G128&lt;&gt;"Yes",G128&lt;&gt;"No")),"Set UOM and serial tracking",IF(OR(NOT(ISNUMBER(H128)),H128&lt;1,MOD(H128,1)&lt;&gt;0,NOT(ISNUMBER(I128)),I128&lt;0,MOD(I128,1)&lt;&gt;0),"Invalid pack or stock qty",IF(AND(G128="Yes",I128&lt;&gt;0),"Serialized stock belongs in Assets",IF(AND(C128="Assembly",I128&lt;&gt;0),"Assembly stock must be zero","OK"))))))))</x:f>
      </x:c>
    </x:row>
    <x:row r="129" ht="22" customHeight="1">
      <x:c r="A129" s="10"/>
      <x:c r="B129" s="10"/>
      <x:c r="C129" s="10"/>
      <x:c r="D129" s="10"/>
      <x:c r="E129" s="10"/>
      <x:c r="F129" s="10"/>
      <x:c r="G129" s="10"/>
      <x:c r="H129" s="12"/>
      <x:c r="I129" s="12"/>
      <x:c r="J129" s="10"/>
      <x:c r="K129" s="9" t="str">
        <x:f>IF(A129="","",IF(COUNTIFS('Definitions'!$A$8:$A$207,A129)&lt;&gt;1,"Duplicate definition ID",IF(B129="","Missing component name",IF(AND(C129&lt;&gt;"Part",C129&lt;&gt;"Assembly"),"Choose Part or Assembly",IF(OR(F129="",AND(G129&lt;&gt;"Yes",G129&lt;&gt;"No")),"Set UOM and serial tracking",IF(OR(NOT(ISNUMBER(H129)),H129&lt;1,MOD(H129,1)&lt;&gt;0,NOT(ISNUMBER(I129)),I129&lt;0,MOD(I129,1)&lt;&gt;0),"Invalid pack or stock qty",IF(AND(G129="Yes",I129&lt;&gt;0),"Serialized stock belongs in Assets",IF(AND(C129="Assembly",I129&lt;&gt;0),"Assembly stock must be zero","OK"))))))))</x:f>
      </x:c>
    </x:row>
    <x:row r="130" ht="22" customHeight="1">
      <x:c r="A130" s="10"/>
      <x:c r="B130" s="10"/>
      <x:c r="C130" s="10"/>
      <x:c r="D130" s="10"/>
      <x:c r="E130" s="10"/>
      <x:c r="F130" s="10"/>
      <x:c r="G130" s="10"/>
      <x:c r="H130" s="12"/>
      <x:c r="I130" s="12"/>
      <x:c r="J130" s="10"/>
      <x:c r="K130" s="9" t="str">
        <x:f>IF(A130="","",IF(COUNTIFS('Definitions'!$A$8:$A$207,A130)&lt;&gt;1,"Duplicate definition ID",IF(B130="","Missing component name",IF(AND(C130&lt;&gt;"Part",C130&lt;&gt;"Assembly"),"Choose Part or Assembly",IF(OR(F130="",AND(G130&lt;&gt;"Yes",G130&lt;&gt;"No")),"Set UOM and serial tracking",IF(OR(NOT(ISNUMBER(H130)),H130&lt;1,MOD(H130,1)&lt;&gt;0,NOT(ISNUMBER(I130)),I130&lt;0,MOD(I130,1)&lt;&gt;0),"Invalid pack or stock qty",IF(AND(G130="Yes",I130&lt;&gt;0),"Serialized stock belongs in Assets",IF(AND(C130="Assembly",I130&lt;&gt;0),"Assembly stock must be zero","OK"))))))))</x:f>
      </x:c>
    </x:row>
    <x:row r="131" ht="22" customHeight="1">
      <x:c r="A131" s="10"/>
      <x:c r="B131" s="10"/>
      <x:c r="C131" s="10"/>
      <x:c r="D131" s="10"/>
      <x:c r="E131" s="10"/>
      <x:c r="F131" s="10"/>
      <x:c r="G131" s="10"/>
      <x:c r="H131" s="12"/>
      <x:c r="I131" s="12"/>
      <x:c r="J131" s="10"/>
      <x:c r="K131" s="9" t="str">
        <x:f>IF(A131="","",IF(COUNTIFS('Definitions'!$A$8:$A$207,A131)&lt;&gt;1,"Duplicate definition ID",IF(B131="","Missing component name",IF(AND(C131&lt;&gt;"Part",C131&lt;&gt;"Assembly"),"Choose Part or Assembly",IF(OR(F131="",AND(G131&lt;&gt;"Yes",G131&lt;&gt;"No")),"Set UOM and serial tracking",IF(OR(NOT(ISNUMBER(H131)),H131&lt;1,MOD(H131,1)&lt;&gt;0,NOT(ISNUMBER(I131)),I131&lt;0,MOD(I131,1)&lt;&gt;0),"Invalid pack or stock qty",IF(AND(G131="Yes",I131&lt;&gt;0),"Serialized stock belongs in Assets",IF(AND(C131="Assembly",I131&lt;&gt;0),"Assembly stock must be zero","OK"))))))))</x:f>
      </x:c>
    </x:row>
    <x:row r="132" ht="22" customHeight="1">
      <x:c r="A132" s="10"/>
      <x:c r="B132" s="10"/>
      <x:c r="C132" s="10"/>
      <x:c r="D132" s="10"/>
      <x:c r="E132" s="10"/>
      <x:c r="F132" s="10"/>
      <x:c r="G132" s="10"/>
      <x:c r="H132" s="12"/>
      <x:c r="I132" s="12"/>
      <x:c r="J132" s="10"/>
      <x:c r="K132" s="9" t="str">
        <x:f>IF(A132="","",IF(COUNTIFS('Definitions'!$A$8:$A$207,A132)&lt;&gt;1,"Duplicate definition ID",IF(B132="","Missing component name",IF(AND(C132&lt;&gt;"Part",C132&lt;&gt;"Assembly"),"Choose Part or Assembly",IF(OR(F132="",AND(G132&lt;&gt;"Yes",G132&lt;&gt;"No")),"Set UOM and serial tracking",IF(OR(NOT(ISNUMBER(H132)),H132&lt;1,MOD(H132,1)&lt;&gt;0,NOT(ISNUMBER(I132)),I132&lt;0,MOD(I132,1)&lt;&gt;0),"Invalid pack or stock qty",IF(AND(G132="Yes",I132&lt;&gt;0),"Serialized stock belongs in Assets",IF(AND(C132="Assembly",I132&lt;&gt;0),"Assembly stock must be zero","OK"))))))))</x:f>
      </x:c>
    </x:row>
    <x:row r="133" ht="22" customHeight="1">
      <x:c r="A133" s="10"/>
      <x:c r="B133" s="10"/>
      <x:c r="C133" s="10"/>
      <x:c r="D133" s="10"/>
      <x:c r="E133" s="10"/>
      <x:c r="F133" s="10"/>
      <x:c r="G133" s="10"/>
      <x:c r="H133" s="12"/>
      <x:c r="I133" s="12"/>
      <x:c r="J133" s="10"/>
      <x:c r="K133" s="9" t="str">
        <x:f>IF(A133="","",IF(COUNTIFS('Definitions'!$A$8:$A$207,A133)&lt;&gt;1,"Duplicate definition ID",IF(B133="","Missing component name",IF(AND(C133&lt;&gt;"Part",C133&lt;&gt;"Assembly"),"Choose Part or Assembly",IF(OR(F133="",AND(G133&lt;&gt;"Yes",G133&lt;&gt;"No")),"Set UOM and serial tracking",IF(OR(NOT(ISNUMBER(H133)),H133&lt;1,MOD(H133,1)&lt;&gt;0,NOT(ISNUMBER(I133)),I133&lt;0,MOD(I133,1)&lt;&gt;0),"Invalid pack or stock qty",IF(AND(G133="Yes",I133&lt;&gt;0),"Serialized stock belongs in Assets",IF(AND(C133="Assembly",I133&lt;&gt;0),"Assembly stock must be zero","OK"))))))))</x:f>
      </x:c>
    </x:row>
    <x:row r="134" ht="22" customHeight="1">
      <x:c r="A134" s="10"/>
      <x:c r="B134" s="10"/>
      <x:c r="C134" s="10"/>
      <x:c r="D134" s="10"/>
      <x:c r="E134" s="10"/>
      <x:c r="F134" s="10"/>
      <x:c r="G134" s="10"/>
      <x:c r="H134" s="12"/>
      <x:c r="I134" s="12"/>
      <x:c r="J134" s="10"/>
      <x:c r="K134" s="9" t="str">
        <x:f>IF(A134="","",IF(COUNTIFS('Definitions'!$A$8:$A$207,A134)&lt;&gt;1,"Duplicate definition ID",IF(B134="","Missing component name",IF(AND(C134&lt;&gt;"Part",C134&lt;&gt;"Assembly"),"Choose Part or Assembly",IF(OR(F134="",AND(G134&lt;&gt;"Yes",G134&lt;&gt;"No")),"Set UOM and serial tracking",IF(OR(NOT(ISNUMBER(H134)),H134&lt;1,MOD(H134,1)&lt;&gt;0,NOT(ISNUMBER(I134)),I134&lt;0,MOD(I134,1)&lt;&gt;0),"Invalid pack or stock qty",IF(AND(G134="Yes",I134&lt;&gt;0),"Serialized stock belongs in Assets",IF(AND(C134="Assembly",I134&lt;&gt;0),"Assembly stock must be zero","OK"))))))))</x:f>
      </x:c>
    </x:row>
    <x:row r="135" ht="22" customHeight="1">
      <x:c r="A135" s="10"/>
      <x:c r="B135" s="10"/>
      <x:c r="C135" s="10"/>
      <x:c r="D135" s="10"/>
      <x:c r="E135" s="10"/>
      <x:c r="F135" s="10"/>
      <x:c r="G135" s="10"/>
      <x:c r="H135" s="12"/>
      <x:c r="I135" s="12"/>
      <x:c r="J135" s="10"/>
      <x:c r="K135" s="9" t="str">
        <x:f>IF(A135="","",IF(COUNTIFS('Definitions'!$A$8:$A$207,A135)&lt;&gt;1,"Duplicate definition ID",IF(B135="","Missing component name",IF(AND(C135&lt;&gt;"Part",C135&lt;&gt;"Assembly"),"Choose Part or Assembly",IF(OR(F135="",AND(G135&lt;&gt;"Yes",G135&lt;&gt;"No")),"Set UOM and serial tracking",IF(OR(NOT(ISNUMBER(H135)),H135&lt;1,MOD(H135,1)&lt;&gt;0,NOT(ISNUMBER(I135)),I135&lt;0,MOD(I135,1)&lt;&gt;0),"Invalid pack or stock qty",IF(AND(G135="Yes",I135&lt;&gt;0),"Serialized stock belongs in Assets",IF(AND(C135="Assembly",I135&lt;&gt;0),"Assembly stock must be zero","OK"))))))))</x:f>
      </x:c>
    </x:row>
    <x:row r="136" ht="22" customHeight="1">
      <x:c r="A136" s="10"/>
      <x:c r="B136" s="10"/>
      <x:c r="C136" s="10"/>
      <x:c r="D136" s="10"/>
      <x:c r="E136" s="10"/>
      <x:c r="F136" s="10"/>
      <x:c r="G136" s="10"/>
      <x:c r="H136" s="12"/>
      <x:c r="I136" s="12"/>
      <x:c r="J136" s="10"/>
      <x:c r="K136" s="9" t="str">
        <x:f>IF(A136="","",IF(COUNTIFS('Definitions'!$A$8:$A$207,A136)&lt;&gt;1,"Duplicate definition ID",IF(B136="","Missing component name",IF(AND(C136&lt;&gt;"Part",C136&lt;&gt;"Assembly"),"Choose Part or Assembly",IF(OR(F136="",AND(G136&lt;&gt;"Yes",G136&lt;&gt;"No")),"Set UOM and serial tracking",IF(OR(NOT(ISNUMBER(H136)),H136&lt;1,MOD(H136,1)&lt;&gt;0,NOT(ISNUMBER(I136)),I136&lt;0,MOD(I136,1)&lt;&gt;0),"Invalid pack or stock qty",IF(AND(G136="Yes",I136&lt;&gt;0),"Serialized stock belongs in Assets",IF(AND(C136="Assembly",I136&lt;&gt;0),"Assembly stock must be zero","OK"))))))))</x:f>
      </x:c>
    </x:row>
    <x:row r="137" ht="22" customHeight="1">
      <x:c r="A137" s="10"/>
      <x:c r="B137" s="10"/>
      <x:c r="C137" s="10"/>
      <x:c r="D137" s="10"/>
      <x:c r="E137" s="10"/>
      <x:c r="F137" s="10"/>
      <x:c r="G137" s="10"/>
      <x:c r="H137" s="12"/>
      <x:c r="I137" s="12"/>
      <x:c r="J137" s="10"/>
      <x:c r="K137" s="9" t="str">
        <x:f>IF(A137="","",IF(COUNTIFS('Definitions'!$A$8:$A$207,A137)&lt;&gt;1,"Duplicate definition ID",IF(B137="","Missing component name",IF(AND(C137&lt;&gt;"Part",C137&lt;&gt;"Assembly"),"Choose Part or Assembly",IF(OR(F137="",AND(G137&lt;&gt;"Yes",G137&lt;&gt;"No")),"Set UOM and serial tracking",IF(OR(NOT(ISNUMBER(H137)),H137&lt;1,MOD(H137,1)&lt;&gt;0,NOT(ISNUMBER(I137)),I137&lt;0,MOD(I137,1)&lt;&gt;0),"Invalid pack or stock qty",IF(AND(G137="Yes",I137&lt;&gt;0),"Serialized stock belongs in Assets",IF(AND(C137="Assembly",I137&lt;&gt;0),"Assembly stock must be zero","OK"))))))))</x:f>
      </x:c>
    </x:row>
    <x:row r="138" ht="22" customHeight="1">
      <x:c r="A138" s="10"/>
      <x:c r="B138" s="10"/>
      <x:c r="C138" s="10"/>
      <x:c r="D138" s="10"/>
      <x:c r="E138" s="10"/>
      <x:c r="F138" s="10"/>
      <x:c r="G138" s="10"/>
      <x:c r="H138" s="12"/>
      <x:c r="I138" s="12"/>
      <x:c r="J138" s="10"/>
      <x:c r="K138" s="9" t="str">
        <x:f>IF(A138="","",IF(COUNTIFS('Definitions'!$A$8:$A$207,A138)&lt;&gt;1,"Duplicate definition ID",IF(B138="","Missing component name",IF(AND(C138&lt;&gt;"Part",C138&lt;&gt;"Assembly"),"Choose Part or Assembly",IF(OR(F138="",AND(G138&lt;&gt;"Yes",G138&lt;&gt;"No")),"Set UOM and serial tracking",IF(OR(NOT(ISNUMBER(H138)),H138&lt;1,MOD(H138,1)&lt;&gt;0,NOT(ISNUMBER(I138)),I138&lt;0,MOD(I138,1)&lt;&gt;0),"Invalid pack or stock qty",IF(AND(G138="Yes",I138&lt;&gt;0),"Serialized stock belongs in Assets",IF(AND(C138="Assembly",I138&lt;&gt;0),"Assembly stock must be zero","OK"))))))))</x:f>
      </x:c>
    </x:row>
    <x:row r="139" ht="22" customHeight="1">
      <x:c r="A139" s="10"/>
      <x:c r="B139" s="10"/>
      <x:c r="C139" s="10"/>
      <x:c r="D139" s="10"/>
      <x:c r="E139" s="10"/>
      <x:c r="F139" s="10"/>
      <x:c r="G139" s="10"/>
      <x:c r="H139" s="12"/>
      <x:c r="I139" s="12"/>
      <x:c r="J139" s="10"/>
      <x:c r="K139" s="9" t="str">
        <x:f>IF(A139="","",IF(COUNTIFS('Definitions'!$A$8:$A$207,A139)&lt;&gt;1,"Duplicate definition ID",IF(B139="","Missing component name",IF(AND(C139&lt;&gt;"Part",C139&lt;&gt;"Assembly"),"Choose Part or Assembly",IF(OR(F139="",AND(G139&lt;&gt;"Yes",G139&lt;&gt;"No")),"Set UOM and serial tracking",IF(OR(NOT(ISNUMBER(H139)),H139&lt;1,MOD(H139,1)&lt;&gt;0,NOT(ISNUMBER(I139)),I139&lt;0,MOD(I139,1)&lt;&gt;0),"Invalid pack or stock qty",IF(AND(G139="Yes",I139&lt;&gt;0),"Serialized stock belongs in Assets",IF(AND(C139="Assembly",I139&lt;&gt;0),"Assembly stock must be zero","OK"))))))))</x:f>
      </x:c>
    </x:row>
    <x:row r="140" ht="22" customHeight="1">
      <x:c r="A140" s="10"/>
      <x:c r="B140" s="10"/>
      <x:c r="C140" s="10"/>
      <x:c r="D140" s="10"/>
      <x:c r="E140" s="10"/>
      <x:c r="F140" s="10"/>
      <x:c r="G140" s="10"/>
      <x:c r="H140" s="12"/>
      <x:c r="I140" s="12"/>
      <x:c r="J140" s="10"/>
      <x:c r="K140" s="9" t="str">
        <x:f>IF(A140="","",IF(COUNTIFS('Definitions'!$A$8:$A$207,A140)&lt;&gt;1,"Duplicate definition ID",IF(B140="","Missing component name",IF(AND(C140&lt;&gt;"Part",C140&lt;&gt;"Assembly"),"Choose Part or Assembly",IF(OR(F140="",AND(G140&lt;&gt;"Yes",G140&lt;&gt;"No")),"Set UOM and serial tracking",IF(OR(NOT(ISNUMBER(H140)),H140&lt;1,MOD(H140,1)&lt;&gt;0,NOT(ISNUMBER(I140)),I140&lt;0,MOD(I140,1)&lt;&gt;0),"Invalid pack or stock qty",IF(AND(G140="Yes",I140&lt;&gt;0),"Serialized stock belongs in Assets",IF(AND(C140="Assembly",I140&lt;&gt;0),"Assembly stock must be zero","OK"))))))))</x:f>
      </x:c>
    </x:row>
    <x:row r="141" ht="22" customHeight="1">
      <x:c r="A141" s="10"/>
      <x:c r="B141" s="10"/>
      <x:c r="C141" s="10"/>
      <x:c r="D141" s="10"/>
      <x:c r="E141" s="10"/>
      <x:c r="F141" s="10"/>
      <x:c r="G141" s="10"/>
      <x:c r="H141" s="12"/>
      <x:c r="I141" s="12"/>
      <x:c r="J141" s="10"/>
      <x:c r="K141" s="9" t="str">
        <x:f>IF(A141="","",IF(COUNTIFS('Definitions'!$A$8:$A$207,A141)&lt;&gt;1,"Duplicate definition ID",IF(B141="","Missing component name",IF(AND(C141&lt;&gt;"Part",C141&lt;&gt;"Assembly"),"Choose Part or Assembly",IF(OR(F141="",AND(G141&lt;&gt;"Yes",G141&lt;&gt;"No")),"Set UOM and serial tracking",IF(OR(NOT(ISNUMBER(H141)),H141&lt;1,MOD(H141,1)&lt;&gt;0,NOT(ISNUMBER(I141)),I141&lt;0,MOD(I141,1)&lt;&gt;0),"Invalid pack or stock qty",IF(AND(G141="Yes",I141&lt;&gt;0),"Serialized stock belongs in Assets",IF(AND(C141="Assembly",I141&lt;&gt;0),"Assembly stock must be zero","OK"))))))))</x:f>
      </x:c>
    </x:row>
    <x:row r="142" ht="22" customHeight="1">
      <x:c r="A142" s="10"/>
      <x:c r="B142" s="10"/>
      <x:c r="C142" s="10"/>
      <x:c r="D142" s="10"/>
      <x:c r="E142" s="10"/>
      <x:c r="F142" s="10"/>
      <x:c r="G142" s="10"/>
      <x:c r="H142" s="12"/>
      <x:c r="I142" s="12"/>
      <x:c r="J142" s="10"/>
      <x:c r="K142" s="9" t="str">
        <x:f>IF(A142="","",IF(COUNTIFS('Definitions'!$A$8:$A$207,A142)&lt;&gt;1,"Duplicate definition ID",IF(B142="","Missing component name",IF(AND(C142&lt;&gt;"Part",C142&lt;&gt;"Assembly"),"Choose Part or Assembly",IF(OR(F142="",AND(G142&lt;&gt;"Yes",G142&lt;&gt;"No")),"Set UOM and serial tracking",IF(OR(NOT(ISNUMBER(H142)),H142&lt;1,MOD(H142,1)&lt;&gt;0,NOT(ISNUMBER(I142)),I142&lt;0,MOD(I142,1)&lt;&gt;0),"Invalid pack or stock qty",IF(AND(G142="Yes",I142&lt;&gt;0),"Serialized stock belongs in Assets",IF(AND(C142="Assembly",I142&lt;&gt;0),"Assembly stock must be zero","OK"))))))))</x:f>
      </x:c>
    </x:row>
    <x:row r="143" ht="22" customHeight="1">
      <x:c r="A143" s="10"/>
      <x:c r="B143" s="10"/>
      <x:c r="C143" s="10"/>
      <x:c r="D143" s="10"/>
      <x:c r="E143" s="10"/>
      <x:c r="F143" s="10"/>
      <x:c r="G143" s="10"/>
      <x:c r="H143" s="12"/>
      <x:c r="I143" s="12"/>
      <x:c r="J143" s="10"/>
      <x:c r="K143" s="9" t="str">
        <x:f>IF(A143="","",IF(COUNTIFS('Definitions'!$A$8:$A$207,A143)&lt;&gt;1,"Duplicate definition ID",IF(B143="","Missing component name",IF(AND(C143&lt;&gt;"Part",C143&lt;&gt;"Assembly"),"Choose Part or Assembly",IF(OR(F143="",AND(G143&lt;&gt;"Yes",G143&lt;&gt;"No")),"Set UOM and serial tracking",IF(OR(NOT(ISNUMBER(H143)),H143&lt;1,MOD(H143,1)&lt;&gt;0,NOT(ISNUMBER(I143)),I143&lt;0,MOD(I143,1)&lt;&gt;0),"Invalid pack or stock qty",IF(AND(G143="Yes",I143&lt;&gt;0),"Serialized stock belongs in Assets",IF(AND(C143="Assembly",I143&lt;&gt;0),"Assembly stock must be zero","OK"))))))))</x:f>
      </x:c>
    </x:row>
    <x:row r="144" ht="22" customHeight="1">
      <x:c r="A144" s="10"/>
      <x:c r="B144" s="10"/>
      <x:c r="C144" s="10"/>
      <x:c r="D144" s="10"/>
      <x:c r="E144" s="10"/>
      <x:c r="F144" s="10"/>
      <x:c r="G144" s="10"/>
      <x:c r="H144" s="12"/>
      <x:c r="I144" s="12"/>
      <x:c r="J144" s="10"/>
      <x:c r="K144" s="9" t="str">
        <x:f>IF(A144="","",IF(COUNTIFS('Definitions'!$A$8:$A$207,A144)&lt;&gt;1,"Duplicate definition ID",IF(B144="","Missing component name",IF(AND(C144&lt;&gt;"Part",C144&lt;&gt;"Assembly"),"Choose Part or Assembly",IF(OR(F144="",AND(G144&lt;&gt;"Yes",G144&lt;&gt;"No")),"Set UOM and serial tracking",IF(OR(NOT(ISNUMBER(H144)),H144&lt;1,MOD(H144,1)&lt;&gt;0,NOT(ISNUMBER(I144)),I144&lt;0,MOD(I144,1)&lt;&gt;0),"Invalid pack or stock qty",IF(AND(G144="Yes",I144&lt;&gt;0),"Serialized stock belongs in Assets",IF(AND(C144="Assembly",I144&lt;&gt;0),"Assembly stock must be zero","OK"))))))))</x:f>
      </x:c>
    </x:row>
    <x:row r="145" ht="22" customHeight="1">
      <x:c r="A145" s="10"/>
      <x:c r="B145" s="10"/>
      <x:c r="C145" s="10"/>
      <x:c r="D145" s="10"/>
      <x:c r="E145" s="10"/>
      <x:c r="F145" s="10"/>
      <x:c r="G145" s="10"/>
      <x:c r="H145" s="12"/>
      <x:c r="I145" s="12"/>
      <x:c r="J145" s="10"/>
      <x:c r="K145" s="9" t="str">
        <x:f>IF(A145="","",IF(COUNTIFS('Definitions'!$A$8:$A$207,A145)&lt;&gt;1,"Duplicate definition ID",IF(B145="","Missing component name",IF(AND(C145&lt;&gt;"Part",C145&lt;&gt;"Assembly"),"Choose Part or Assembly",IF(OR(F145="",AND(G145&lt;&gt;"Yes",G145&lt;&gt;"No")),"Set UOM and serial tracking",IF(OR(NOT(ISNUMBER(H145)),H145&lt;1,MOD(H145,1)&lt;&gt;0,NOT(ISNUMBER(I145)),I145&lt;0,MOD(I145,1)&lt;&gt;0),"Invalid pack or stock qty",IF(AND(G145="Yes",I145&lt;&gt;0),"Serialized stock belongs in Assets",IF(AND(C145="Assembly",I145&lt;&gt;0),"Assembly stock must be zero","OK"))))))))</x:f>
      </x:c>
    </x:row>
    <x:row r="146" ht="22" customHeight="1">
      <x:c r="A146" s="10"/>
      <x:c r="B146" s="10"/>
      <x:c r="C146" s="10"/>
      <x:c r="D146" s="10"/>
      <x:c r="E146" s="10"/>
      <x:c r="F146" s="10"/>
      <x:c r="G146" s="10"/>
      <x:c r="H146" s="12"/>
      <x:c r="I146" s="12"/>
      <x:c r="J146" s="10"/>
      <x:c r="K146" s="9" t="str">
        <x:f>IF(A146="","",IF(COUNTIFS('Definitions'!$A$8:$A$207,A146)&lt;&gt;1,"Duplicate definition ID",IF(B146="","Missing component name",IF(AND(C146&lt;&gt;"Part",C146&lt;&gt;"Assembly"),"Choose Part or Assembly",IF(OR(F146="",AND(G146&lt;&gt;"Yes",G146&lt;&gt;"No")),"Set UOM and serial tracking",IF(OR(NOT(ISNUMBER(H146)),H146&lt;1,MOD(H146,1)&lt;&gt;0,NOT(ISNUMBER(I146)),I146&lt;0,MOD(I146,1)&lt;&gt;0),"Invalid pack or stock qty",IF(AND(G146="Yes",I146&lt;&gt;0),"Serialized stock belongs in Assets",IF(AND(C146="Assembly",I146&lt;&gt;0),"Assembly stock must be zero","OK"))))))))</x:f>
      </x:c>
    </x:row>
    <x:row r="147" ht="22" customHeight="1">
      <x:c r="A147" s="10"/>
      <x:c r="B147" s="10"/>
      <x:c r="C147" s="10"/>
      <x:c r="D147" s="10"/>
      <x:c r="E147" s="10"/>
      <x:c r="F147" s="10"/>
      <x:c r="G147" s="10"/>
      <x:c r="H147" s="12"/>
      <x:c r="I147" s="12"/>
      <x:c r="J147" s="10"/>
      <x:c r="K147" s="9" t="str">
        <x:f>IF(A147="","",IF(COUNTIFS('Definitions'!$A$8:$A$207,A147)&lt;&gt;1,"Duplicate definition ID",IF(B147="","Missing component name",IF(AND(C147&lt;&gt;"Part",C147&lt;&gt;"Assembly"),"Choose Part or Assembly",IF(OR(F147="",AND(G147&lt;&gt;"Yes",G147&lt;&gt;"No")),"Set UOM and serial tracking",IF(OR(NOT(ISNUMBER(H147)),H147&lt;1,MOD(H147,1)&lt;&gt;0,NOT(ISNUMBER(I147)),I147&lt;0,MOD(I147,1)&lt;&gt;0),"Invalid pack or stock qty",IF(AND(G147="Yes",I147&lt;&gt;0),"Serialized stock belongs in Assets",IF(AND(C147="Assembly",I147&lt;&gt;0),"Assembly stock must be zero","OK"))))))))</x:f>
      </x:c>
    </x:row>
    <x:row r="148" ht="22" customHeight="1">
      <x:c r="A148" s="10"/>
      <x:c r="B148" s="10"/>
      <x:c r="C148" s="10"/>
      <x:c r="D148" s="10"/>
      <x:c r="E148" s="10"/>
      <x:c r="F148" s="10"/>
      <x:c r="G148" s="10"/>
      <x:c r="H148" s="12"/>
      <x:c r="I148" s="12"/>
      <x:c r="J148" s="10"/>
      <x:c r="K148" s="9" t="str">
        <x:f>IF(A148="","",IF(COUNTIFS('Definitions'!$A$8:$A$207,A148)&lt;&gt;1,"Duplicate definition ID",IF(B148="","Missing component name",IF(AND(C148&lt;&gt;"Part",C148&lt;&gt;"Assembly"),"Choose Part or Assembly",IF(OR(F148="",AND(G148&lt;&gt;"Yes",G148&lt;&gt;"No")),"Set UOM and serial tracking",IF(OR(NOT(ISNUMBER(H148)),H148&lt;1,MOD(H148,1)&lt;&gt;0,NOT(ISNUMBER(I148)),I148&lt;0,MOD(I148,1)&lt;&gt;0),"Invalid pack or stock qty",IF(AND(G148="Yes",I148&lt;&gt;0),"Serialized stock belongs in Assets",IF(AND(C148="Assembly",I148&lt;&gt;0),"Assembly stock must be zero","OK"))))))))</x:f>
      </x:c>
    </x:row>
    <x:row r="149" ht="22" customHeight="1">
      <x:c r="A149" s="10"/>
      <x:c r="B149" s="10"/>
      <x:c r="C149" s="10"/>
      <x:c r="D149" s="10"/>
      <x:c r="E149" s="10"/>
      <x:c r="F149" s="10"/>
      <x:c r="G149" s="10"/>
      <x:c r="H149" s="12"/>
      <x:c r="I149" s="12"/>
      <x:c r="J149" s="10"/>
      <x:c r="K149" s="9" t="str">
        <x:f>IF(A149="","",IF(COUNTIFS('Definitions'!$A$8:$A$207,A149)&lt;&gt;1,"Duplicate definition ID",IF(B149="","Missing component name",IF(AND(C149&lt;&gt;"Part",C149&lt;&gt;"Assembly"),"Choose Part or Assembly",IF(OR(F149="",AND(G149&lt;&gt;"Yes",G149&lt;&gt;"No")),"Set UOM and serial tracking",IF(OR(NOT(ISNUMBER(H149)),H149&lt;1,MOD(H149,1)&lt;&gt;0,NOT(ISNUMBER(I149)),I149&lt;0,MOD(I149,1)&lt;&gt;0),"Invalid pack or stock qty",IF(AND(G149="Yes",I149&lt;&gt;0),"Serialized stock belongs in Assets",IF(AND(C149="Assembly",I149&lt;&gt;0),"Assembly stock must be zero","OK"))))))))</x:f>
      </x:c>
    </x:row>
    <x:row r="150" ht="22" customHeight="1">
      <x:c r="A150" s="10"/>
      <x:c r="B150" s="10"/>
      <x:c r="C150" s="10"/>
      <x:c r="D150" s="10"/>
      <x:c r="E150" s="10"/>
      <x:c r="F150" s="10"/>
      <x:c r="G150" s="10"/>
      <x:c r="H150" s="12"/>
      <x:c r="I150" s="12"/>
      <x:c r="J150" s="10"/>
      <x:c r="K150" s="9" t="str">
        <x:f>IF(A150="","",IF(COUNTIFS('Definitions'!$A$8:$A$207,A150)&lt;&gt;1,"Duplicate definition ID",IF(B150="","Missing component name",IF(AND(C150&lt;&gt;"Part",C150&lt;&gt;"Assembly"),"Choose Part or Assembly",IF(OR(F150="",AND(G150&lt;&gt;"Yes",G150&lt;&gt;"No")),"Set UOM and serial tracking",IF(OR(NOT(ISNUMBER(H150)),H150&lt;1,MOD(H150,1)&lt;&gt;0,NOT(ISNUMBER(I150)),I150&lt;0,MOD(I150,1)&lt;&gt;0),"Invalid pack or stock qty",IF(AND(G150="Yes",I150&lt;&gt;0),"Serialized stock belongs in Assets",IF(AND(C150="Assembly",I150&lt;&gt;0),"Assembly stock must be zero","OK"))))))))</x:f>
      </x:c>
    </x:row>
    <x:row r="151" ht="22" customHeight="1">
      <x:c r="A151" s="10"/>
      <x:c r="B151" s="10"/>
      <x:c r="C151" s="10"/>
      <x:c r="D151" s="10"/>
      <x:c r="E151" s="10"/>
      <x:c r="F151" s="10"/>
      <x:c r="G151" s="10"/>
      <x:c r="H151" s="12"/>
      <x:c r="I151" s="12"/>
      <x:c r="J151" s="10"/>
      <x:c r="K151" s="9" t="str">
        <x:f>IF(A151="","",IF(COUNTIFS('Definitions'!$A$8:$A$207,A151)&lt;&gt;1,"Duplicate definition ID",IF(B151="","Missing component name",IF(AND(C151&lt;&gt;"Part",C151&lt;&gt;"Assembly"),"Choose Part or Assembly",IF(OR(F151="",AND(G151&lt;&gt;"Yes",G151&lt;&gt;"No")),"Set UOM and serial tracking",IF(OR(NOT(ISNUMBER(H151)),H151&lt;1,MOD(H151,1)&lt;&gt;0,NOT(ISNUMBER(I151)),I151&lt;0,MOD(I151,1)&lt;&gt;0),"Invalid pack or stock qty",IF(AND(G151="Yes",I151&lt;&gt;0),"Serialized stock belongs in Assets",IF(AND(C151="Assembly",I151&lt;&gt;0),"Assembly stock must be zero","OK"))))))))</x:f>
      </x:c>
    </x:row>
    <x:row r="152" ht="22" customHeight="1">
      <x:c r="A152" s="10"/>
      <x:c r="B152" s="10"/>
      <x:c r="C152" s="10"/>
      <x:c r="D152" s="10"/>
      <x:c r="E152" s="10"/>
      <x:c r="F152" s="10"/>
      <x:c r="G152" s="10"/>
      <x:c r="H152" s="12"/>
      <x:c r="I152" s="12"/>
      <x:c r="J152" s="10"/>
      <x:c r="K152" s="9" t="str">
        <x:f>IF(A152="","",IF(COUNTIFS('Definitions'!$A$8:$A$207,A152)&lt;&gt;1,"Duplicate definition ID",IF(B152="","Missing component name",IF(AND(C152&lt;&gt;"Part",C152&lt;&gt;"Assembly"),"Choose Part or Assembly",IF(OR(F152="",AND(G152&lt;&gt;"Yes",G152&lt;&gt;"No")),"Set UOM and serial tracking",IF(OR(NOT(ISNUMBER(H152)),H152&lt;1,MOD(H152,1)&lt;&gt;0,NOT(ISNUMBER(I152)),I152&lt;0,MOD(I152,1)&lt;&gt;0),"Invalid pack or stock qty",IF(AND(G152="Yes",I152&lt;&gt;0),"Serialized stock belongs in Assets",IF(AND(C152="Assembly",I152&lt;&gt;0),"Assembly stock must be zero","OK"))))))))</x:f>
      </x:c>
    </x:row>
    <x:row r="153" ht="22" customHeight="1">
      <x:c r="A153" s="10"/>
      <x:c r="B153" s="10"/>
      <x:c r="C153" s="10"/>
      <x:c r="D153" s="10"/>
      <x:c r="E153" s="10"/>
      <x:c r="F153" s="10"/>
      <x:c r="G153" s="10"/>
      <x:c r="H153" s="12"/>
      <x:c r="I153" s="12"/>
      <x:c r="J153" s="10"/>
      <x:c r="K153" s="9" t="str">
        <x:f>IF(A153="","",IF(COUNTIFS('Definitions'!$A$8:$A$207,A153)&lt;&gt;1,"Duplicate definition ID",IF(B153="","Missing component name",IF(AND(C153&lt;&gt;"Part",C153&lt;&gt;"Assembly"),"Choose Part or Assembly",IF(OR(F153="",AND(G153&lt;&gt;"Yes",G153&lt;&gt;"No")),"Set UOM and serial tracking",IF(OR(NOT(ISNUMBER(H153)),H153&lt;1,MOD(H153,1)&lt;&gt;0,NOT(ISNUMBER(I153)),I153&lt;0,MOD(I153,1)&lt;&gt;0),"Invalid pack or stock qty",IF(AND(G153="Yes",I153&lt;&gt;0),"Serialized stock belongs in Assets",IF(AND(C153="Assembly",I153&lt;&gt;0),"Assembly stock must be zero","OK"))))))))</x:f>
      </x:c>
    </x:row>
    <x:row r="154" ht="22" customHeight="1">
      <x:c r="A154" s="10"/>
      <x:c r="B154" s="10"/>
      <x:c r="C154" s="10"/>
      <x:c r="D154" s="10"/>
      <x:c r="E154" s="10"/>
      <x:c r="F154" s="10"/>
      <x:c r="G154" s="10"/>
      <x:c r="H154" s="12"/>
      <x:c r="I154" s="12"/>
      <x:c r="J154" s="10"/>
      <x:c r="K154" s="9" t="str">
        <x:f>IF(A154="","",IF(COUNTIFS('Definitions'!$A$8:$A$207,A154)&lt;&gt;1,"Duplicate definition ID",IF(B154="","Missing component name",IF(AND(C154&lt;&gt;"Part",C154&lt;&gt;"Assembly"),"Choose Part or Assembly",IF(OR(F154="",AND(G154&lt;&gt;"Yes",G154&lt;&gt;"No")),"Set UOM and serial tracking",IF(OR(NOT(ISNUMBER(H154)),H154&lt;1,MOD(H154,1)&lt;&gt;0,NOT(ISNUMBER(I154)),I154&lt;0,MOD(I154,1)&lt;&gt;0),"Invalid pack or stock qty",IF(AND(G154="Yes",I154&lt;&gt;0),"Serialized stock belongs in Assets",IF(AND(C154="Assembly",I154&lt;&gt;0),"Assembly stock must be zero","OK"))))))))</x:f>
      </x:c>
    </x:row>
    <x:row r="155" ht="22" customHeight="1">
      <x:c r="A155" s="10"/>
      <x:c r="B155" s="10"/>
      <x:c r="C155" s="10"/>
      <x:c r="D155" s="10"/>
      <x:c r="E155" s="10"/>
      <x:c r="F155" s="10"/>
      <x:c r="G155" s="10"/>
      <x:c r="H155" s="12"/>
      <x:c r="I155" s="12"/>
      <x:c r="J155" s="10"/>
      <x:c r="K155" s="9" t="str">
        <x:f>IF(A155="","",IF(COUNTIFS('Definitions'!$A$8:$A$207,A155)&lt;&gt;1,"Duplicate definition ID",IF(B155="","Missing component name",IF(AND(C155&lt;&gt;"Part",C155&lt;&gt;"Assembly"),"Choose Part or Assembly",IF(OR(F155="",AND(G155&lt;&gt;"Yes",G155&lt;&gt;"No")),"Set UOM and serial tracking",IF(OR(NOT(ISNUMBER(H155)),H155&lt;1,MOD(H155,1)&lt;&gt;0,NOT(ISNUMBER(I155)),I155&lt;0,MOD(I155,1)&lt;&gt;0),"Invalid pack or stock qty",IF(AND(G155="Yes",I155&lt;&gt;0),"Serialized stock belongs in Assets",IF(AND(C155="Assembly",I155&lt;&gt;0),"Assembly stock must be zero","OK"))))))))</x:f>
      </x:c>
    </x:row>
    <x:row r="156" ht="22" customHeight="1">
      <x:c r="A156" s="10"/>
      <x:c r="B156" s="10"/>
      <x:c r="C156" s="10"/>
      <x:c r="D156" s="10"/>
      <x:c r="E156" s="10"/>
      <x:c r="F156" s="10"/>
      <x:c r="G156" s="10"/>
      <x:c r="H156" s="12"/>
      <x:c r="I156" s="12"/>
      <x:c r="J156" s="10"/>
      <x:c r="K156" s="9" t="str">
        <x:f>IF(A156="","",IF(COUNTIFS('Definitions'!$A$8:$A$207,A156)&lt;&gt;1,"Duplicate definition ID",IF(B156="","Missing component name",IF(AND(C156&lt;&gt;"Part",C156&lt;&gt;"Assembly"),"Choose Part or Assembly",IF(OR(F156="",AND(G156&lt;&gt;"Yes",G156&lt;&gt;"No")),"Set UOM and serial tracking",IF(OR(NOT(ISNUMBER(H156)),H156&lt;1,MOD(H156,1)&lt;&gt;0,NOT(ISNUMBER(I156)),I156&lt;0,MOD(I156,1)&lt;&gt;0),"Invalid pack or stock qty",IF(AND(G156="Yes",I156&lt;&gt;0),"Serialized stock belongs in Assets",IF(AND(C156="Assembly",I156&lt;&gt;0),"Assembly stock must be zero","OK"))))))))</x:f>
      </x:c>
    </x:row>
    <x:row r="157" ht="22" customHeight="1">
      <x:c r="A157" s="10"/>
      <x:c r="B157" s="10"/>
      <x:c r="C157" s="10"/>
      <x:c r="D157" s="10"/>
      <x:c r="E157" s="10"/>
      <x:c r="F157" s="10"/>
      <x:c r="G157" s="10"/>
      <x:c r="H157" s="12"/>
      <x:c r="I157" s="12"/>
      <x:c r="J157" s="10"/>
      <x:c r="K157" s="9" t="str">
        <x:f>IF(A157="","",IF(COUNTIFS('Definitions'!$A$8:$A$207,A157)&lt;&gt;1,"Duplicate definition ID",IF(B157="","Missing component name",IF(AND(C157&lt;&gt;"Part",C157&lt;&gt;"Assembly"),"Choose Part or Assembly",IF(OR(F157="",AND(G157&lt;&gt;"Yes",G157&lt;&gt;"No")),"Set UOM and serial tracking",IF(OR(NOT(ISNUMBER(H157)),H157&lt;1,MOD(H157,1)&lt;&gt;0,NOT(ISNUMBER(I157)),I157&lt;0,MOD(I157,1)&lt;&gt;0),"Invalid pack or stock qty",IF(AND(G157="Yes",I157&lt;&gt;0),"Serialized stock belongs in Assets",IF(AND(C157="Assembly",I157&lt;&gt;0),"Assembly stock must be zero","OK"))))))))</x:f>
      </x:c>
    </x:row>
    <x:row r="158" ht="22" customHeight="1">
      <x:c r="A158" s="10"/>
      <x:c r="B158" s="10"/>
      <x:c r="C158" s="10"/>
      <x:c r="D158" s="10"/>
      <x:c r="E158" s="10"/>
      <x:c r="F158" s="10"/>
      <x:c r="G158" s="10"/>
      <x:c r="H158" s="12"/>
      <x:c r="I158" s="12"/>
      <x:c r="J158" s="10"/>
      <x:c r="K158" s="9" t="str">
        <x:f>IF(A158="","",IF(COUNTIFS('Definitions'!$A$8:$A$207,A158)&lt;&gt;1,"Duplicate definition ID",IF(B158="","Missing component name",IF(AND(C158&lt;&gt;"Part",C158&lt;&gt;"Assembly"),"Choose Part or Assembly",IF(OR(F158="",AND(G158&lt;&gt;"Yes",G158&lt;&gt;"No")),"Set UOM and serial tracking",IF(OR(NOT(ISNUMBER(H158)),H158&lt;1,MOD(H158,1)&lt;&gt;0,NOT(ISNUMBER(I158)),I158&lt;0,MOD(I158,1)&lt;&gt;0),"Invalid pack or stock qty",IF(AND(G158="Yes",I158&lt;&gt;0),"Serialized stock belongs in Assets",IF(AND(C158="Assembly",I158&lt;&gt;0),"Assembly stock must be zero","OK"))))))))</x:f>
      </x:c>
    </x:row>
    <x:row r="159" ht="22" customHeight="1">
      <x:c r="A159" s="10"/>
      <x:c r="B159" s="10"/>
      <x:c r="C159" s="10"/>
      <x:c r="D159" s="10"/>
      <x:c r="E159" s="10"/>
      <x:c r="F159" s="10"/>
      <x:c r="G159" s="10"/>
      <x:c r="H159" s="12"/>
      <x:c r="I159" s="12"/>
      <x:c r="J159" s="10"/>
      <x:c r="K159" s="9" t="str">
        <x:f>IF(A159="","",IF(COUNTIFS('Definitions'!$A$8:$A$207,A159)&lt;&gt;1,"Duplicate definition ID",IF(B159="","Missing component name",IF(AND(C159&lt;&gt;"Part",C159&lt;&gt;"Assembly"),"Choose Part or Assembly",IF(OR(F159="",AND(G159&lt;&gt;"Yes",G159&lt;&gt;"No")),"Set UOM and serial tracking",IF(OR(NOT(ISNUMBER(H159)),H159&lt;1,MOD(H159,1)&lt;&gt;0,NOT(ISNUMBER(I159)),I159&lt;0,MOD(I159,1)&lt;&gt;0),"Invalid pack or stock qty",IF(AND(G159="Yes",I159&lt;&gt;0),"Serialized stock belongs in Assets",IF(AND(C159="Assembly",I159&lt;&gt;0),"Assembly stock must be zero","OK"))))))))</x:f>
      </x:c>
    </x:row>
    <x:row r="160" ht="22" customHeight="1">
      <x:c r="A160" s="10"/>
      <x:c r="B160" s="10"/>
      <x:c r="C160" s="10"/>
      <x:c r="D160" s="10"/>
      <x:c r="E160" s="10"/>
      <x:c r="F160" s="10"/>
      <x:c r="G160" s="10"/>
      <x:c r="H160" s="12"/>
      <x:c r="I160" s="12"/>
      <x:c r="J160" s="10"/>
      <x:c r="K160" s="9" t="str">
        <x:f>IF(A160="","",IF(COUNTIFS('Definitions'!$A$8:$A$207,A160)&lt;&gt;1,"Duplicate definition ID",IF(B160="","Missing component name",IF(AND(C160&lt;&gt;"Part",C160&lt;&gt;"Assembly"),"Choose Part or Assembly",IF(OR(F160="",AND(G160&lt;&gt;"Yes",G160&lt;&gt;"No")),"Set UOM and serial tracking",IF(OR(NOT(ISNUMBER(H160)),H160&lt;1,MOD(H160,1)&lt;&gt;0,NOT(ISNUMBER(I160)),I160&lt;0,MOD(I160,1)&lt;&gt;0),"Invalid pack or stock qty",IF(AND(G160="Yes",I160&lt;&gt;0),"Serialized stock belongs in Assets",IF(AND(C160="Assembly",I160&lt;&gt;0),"Assembly stock must be zero","OK"))))))))</x:f>
      </x:c>
    </x:row>
    <x:row r="161" ht="22" customHeight="1">
      <x:c r="A161" s="10"/>
      <x:c r="B161" s="10"/>
      <x:c r="C161" s="10"/>
      <x:c r="D161" s="10"/>
      <x:c r="E161" s="10"/>
      <x:c r="F161" s="10"/>
      <x:c r="G161" s="10"/>
      <x:c r="H161" s="12"/>
      <x:c r="I161" s="12"/>
      <x:c r="J161" s="10"/>
      <x:c r="K161" s="9" t="str">
        <x:f>IF(A161="","",IF(COUNTIFS('Definitions'!$A$8:$A$207,A161)&lt;&gt;1,"Duplicate definition ID",IF(B161="","Missing component name",IF(AND(C161&lt;&gt;"Part",C161&lt;&gt;"Assembly"),"Choose Part or Assembly",IF(OR(F161="",AND(G161&lt;&gt;"Yes",G161&lt;&gt;"No")),"Set UOM and serial tracking",IF(OR(NOT(ISNUMBER(H161)),H161&lt;1,MOD(H161,1)&lt;&gt;0,NOT(ISNUMBER(I161)),I161&lt;0,MOD(I161,1)&lt;&gt;0),"Invalid pack or stock qty",IF(AND(G161="Yes",I161&lt;&gt;0),"Serialized stock belongs in Assets",IF(AND(C161="Assembly",I161&lt;&gt;0),"Assembly stock must be zero","OK"))))))))</x:f>
      </x:c>
    </x:row>
    <x:row r="162" ht="22" customHeight="1">
      <x:c r="A162" s="10"/>
      <x:c r="B162" s="10"/>
      <x:c r="C162" s="10"/>
      <x:c r="D162" s="10"/>
      <x:c r="E162" s="10"/>
      <x:c r="F162" s="10"/>
      <x:c r="G162" s="10"/>
      <x:c r="H162" s="12"/>
      <x:c r="I162" s="12"/>
      <x:c r="J162" s="10"/>
      <x:c r="K162" s="9" t="str">
        <x:f>IF(A162="","",IF(COUNTIFS('Definitions'!$A$8:$A$207,A162)&lt;&gt;1,"Duplicate definition ID",IF(B162="","Missing component name",IF(AND(C162&lt;&gt;"Part",C162&lt;&gt;"Assembly"),"Choose Part or Assembly",IF(OR(F162="",AND(G162&lt;&gt;"Yes",G162&lt;&gt;"No")),"Set UOM and serial tracking",IF(OR(NOT(ISNUMBER(H162)),H162&lt;1,MOD(H162,1)&lt;&gt;0,NOT(ISNUMBER(I162)),I162&lt;0,MOD(I162,1)&lt;&gt;0),"Invalid pack or stock qty",IF(AND(G162="Yes",I162&lt;&gt;0),"Serialized stock belongs in Assets",IF(AND(C162="Assembly",I162&lt;&gt;0),"Assembly stock must be zero","OK"))))))))</x:f>
      </x:c>
    </x:row>
    <x:row r="163" ht="22" customHeight="1">
      <x:c r="A163" s="10"/>
      <x:c r="B163" s="10"/>
      <x:c r="C163" s="10"/>
      <x:c r="D163" s="10"/>
      <x:c r="E163" s="10"/>
      <x:c r="F163" s="10"/>
      <x:c r="G163" s="10"/>
      <x:c r="H163" s="12"/>
      <x:c r="I163" s="12"/>
      <x:c r="J163" s="10"/>
      <x:c r="K163" s="9" t="str">
        <x:f>IF(A163="","",IF(COUNTIFS('Definitions'!$A$8:$A$207,A163)&lt;&gt;1,"Duplicate definition ID",IF(B163="","Missing component name",IF(AND(C163&lt;&gt;"Part",C163&lt;&gt;"Assembly"),"Choose Part or Assembly",IF(OR(F163="",AND(G163&lt;&gt;"Yes",G163&lt;&gt;"No")),"Set UOM and serial tracking",IF(OR(NOT(ISNUMBER(H163)),H163&lt;1,MOD(H163,1)&lt;&gt;0,NOT(ISNUMBER(I163)),I163&lt;0,MOD(I163,1)&lt;&gt;0),"Invalid pack or stock qty",IF(AND(G163="Yes",I163&lt;&gt;0),"Serialized stock belongs in Assets",IF(AND(C163="Assembly",I163&lt;&gt;0),"Assembly stock must be zero","OK"))))))))</x:f>
      </x:c>
    </x:row>
    <x:row r="164" ht="22" customHeight="1">
      <x:c r="A164" s="10"/>
      <x:c r="B164" s="10"/>
      <x:c r="C164" s="10"/>
      <x:c r="D164" s="10"/>
      <x:c r="E164" s="10"/>
      <x:c r="F164" s="10"/>
      <x:c r="G164" s="10"/>
      <x:c r="H164" s="12"/>
      <x:c r="I164" s="12"/>
      <x:c r="J164" s="10"/>
      <x:c r="K164" s="9" t="str">
        <x:f>IF(A164="","",IF(COUNTIFS('Definitions'!$A$8:$A$207,A164)&lt;&gt;1,"Duplicate definition ID",IF(B164="","Missing component name",IF(AND(C164&lt;&gt;"Part",C164&lt;&gt;"Assembly"),"Choose Part or Assembly",IF(OR(F164="",AND(G164&lt;&gt;"Yes",G164&lt;&gt;"No")),"Set UOM and serial tracking",IF(OR(NOT(ISNUMBER(H164)),H164&lt;1,MOD(H164,1)&lt;&gt;0,NOT(ISNUMBER(I164)),I164&lt;0,MOD(I164,1)&lt;&gt;0),"Invalid pack or stock qty",IF(AND(G164="Yes",I164&lt;&gt;0),"Serialized stock belongs in Assets",IF(AND(C164="Assembly",I164&lt;&gt;0),"Assembly stock must be zero","OK"))))))))</x:f>
      </x:c>
    </x:row>
    <x:row r="165" ht="22" customHeight="1">
      <x:c r="A165" s="10"/>
      <x:c r="B165" s="10"/>
      <x:c r="C165" s="10"/>
      <x:c r="D165" s="10"/>
      <x:c r="E165" s="10"/>
      <x:c r="F165" s="10"/>
      <x:c r="G165" s="10"/>
      <x:c r="H165" s="12"/>
      <x:c r="I165" s="12"/>
      <x:c r="J165" s="10"/>
      <x:c r="K165" s="9" t="str">
        <x:f>IF(A165="","",IF(COUNTIFS('Definitions'!$A$8:$A$207,A165)&lt;&gt;1,"Duplicate definition ID",IF(B165="","Missing component name",IF(AND(C165&lt;&gt;"Part",C165&lt;&gt;"Assembly"),"Choose Part or Assembly",IF(OR(F165="",AND(G165&lt;&gt;"Yes",G165&lt;&gt;"No")),"Set UOM and serial tracking",IF(OR(NOT(ISNUMBER(H165)),H165&lt;1,MOD(H165,1)&lt;&gt;0,NOT(ISNUMBER(I165)),I165&lt;0,MOD(I165,1)&lt;&gt;0),"Invalid pack or stock qty",IF(AND(G165="Yes",I165&lt;&gt;0),"Serialized stock belongs in Assets",IF(AND(C165="Assembly",I165&lt;&gt;0),"Assembly stock must be zero","OK"))))))))</x:f>
      </x:c>
    </x:row>
    <x:row r="166" ht="22" customHeight="1">
      <x:c r="A166" s="10"/>
      <x:c r="B166" s="10"/>
      <x:c r="C166" s="10"/>
      <x:c r="D166" s="10"/>
      <x:c r="E166" s="10"/>
      <x:c r="F166" s="10"/>
      <x:c r="G166" s="10"/>
      <x:c r="H166" s="12"/>
      <x:c r="I166" s="12"/>
      <x:c r="J166" s="10"/>
      <x:c r="K166" s="9" t="str">
        <x:f>IF(A166="","",IF(COUNTIFS('Definitions'!$A$8:$A$207,A166)&lt;&gt;1,"Duplicate definition ID",IF(B166="","Missing component name",IF(AND(C166&lt;&gt;"Part",C166&lt;&gt;"Assembly"),"Choose Part or Assembly",IF(OR(F166="",AND(G166&lt;&gt;"Yes",G166&lt;&gt;"No")),"Set UOM and serial tracking",IF(OR(NOT(ISNUMBER(H166)),H166&lt;1,MOD(H166,1)&lt;&gt;0,NOT(ISNUMBER(I166)),I166&lt;0,MOD(I166,1)&lt;&gt;0),"Invalid pack or stock qty",IF(AND(G166="Yes",I166&lt;&gt;0),"Serialized stock belongs in Assets",IF(AND(C166="Assembly",I166&lt;&gt;0),"Assembly stock must be zero","OK"))))))))</x:f>
      </x:c>
    </x:row>
    <x:row r="167" ht="22" customHeight="1">
      <x:c r="A167" s="10"/>
      <x:c r="B167" s="10"/>
      <x:c r="C167" s="10"/>
      <x:c r="D167" s="10"/>
      <x:c r="E167" s="10"/>
      <x:c r="F167" s="10"/>
      <x:c r="G167" s="10"/>
      <x:c r="H167" s="12"/>
      <x:c r="I167" s="12"/>
      <x:c r="J167" s="10"/>
      <x:c r="K167" s="9" t="str">
        <x:f>IF(A167="","",IF(COUNTIFS('Definitions'!$A$8:$A$207,A167)&lt;&gt;1,"Duplicate definition ID",IF(B167="","Missing component name",IF(AND(C167&lt;&gt;"Part",C167&lt;&gt;"Assembly"),"Choose Part or Assembly",IF(OR(F167="",AND(G167&lt;&gt;"Yes",G167&lt;&gt;"No")),"Set UOM and serial tracking",IF(OR(NOT(ISNUMBER(H167)),H167&lt;1,MOD(H167,1)&lt;&gt;0,NOT(ISNUMBER(I167)),I167&lt;0,MOD(I167,1)&lt;&gt;0),"Invalid pack or stock qty",IF(AND(G167="Yes",I167&lt;&gt;0),"Serialized stock belongs in Assets",IF(AND(C167="Assembly",I167&lt;&gt;0),"Assembly stock must be zero","OK"))))))))</x:f>
      </x:c>
    </x:row>
    <x:row r="168" ht="22" customHeight="1">
      <x:c r="A168" s="10"/>
      <x:c r="B168" s="10"/>
      <x:c r="C168" s="10"/>
      <x:c r="D168" s="10"/>
      <x:c r="E168" s="10"/>
      <x:c r="F168" s="10"/>
      <x:c r="G168" s="10"/>
      <x:c r="H168" s="12"/>
      <x:c r="I168" s="12"/>
      <x:c r="J168" s="10"/>
      <x:c r="K168" s="9" t="str">
        <x:f>IF(A168="","",IF(COUNTIFS('Definitions'!$A$8:$A$207,A168)&lt;&gt;1,"Duplicate definition ID",IF(B168="","Missing component name",IF(AND(C168&lt;&gt;"Part",C168&lt;&gt;"Assembly"),"Choose Part or Assembly",IF(OR(F168="",AND(G168&lt;&gt;"Yes",G168&lt;&gt;"No")),"Set UOM and serial tracking",IF(OR(NOT(ISNUMBER(H168)),H168&lt;1,MOD(H168,1)&lt;&gt;0,NOT(ISNUMBER(I168)),I168&lt;0,MOD(I168,1)&lt;&gt;0),"Invalid pack or stock qty",IF(AND(G168="Yes",I168&lt;&gt;0),"Serialized stock belongs in Assets",IF(AND(C168="Assembly",I168&lt;&gt;0),"Assembly stock must be zero","OK"))))))))</x:f>
      </x:c>
    </x:row>
    <x:row r="169" ht="22" customHeight="1">
      <x:c r="A169" s="10"/>
      <x:c r="B169" s="10"/>
      <x:c r="C169" s="10"/>
      <x:c r="D169" s="10"/>
      <x:c r="E169" s="10"/>
      <x:c r="F169" s="10"/>
      <x:c r="G169" s="10"/>
      <x:c r="H169" s="12"/>
      <x:c r="I169" s="12"/>
      <x:c r="J169" s="10"/>
      <x:c r="K169" s="9" t="str">
        <x:f>IF(A169="","",IF(COUNTIFS('Definitions'!$A$8:$A$207,A169)&lt;&gt;1,"Duplicate definition ID",IF(B169="","Missing component name",IF(AND(C169&lt;&gt;"Part",C169&lt;&gt;"Assembly"),"Choose Part or Assembly",IF(OR(F169="",AND(G169&lt;&gt;"Yes",G169&lt;&gt;"No")),"Set UOM and serial tracking",IF(OR(NOT(ISNUMBER(H169)),H169&lt;1,MOD(H169,1)&lt;&gt;0,NOT(ISNUMBER(I169)),I169&lt;0,MOD(I169,1)&lt;&gt;0),"Invalid pack or stock qty",IF(AND(G169="Yes",I169&lt;&gt;0),"Serialized stock belongs in Assets",IF(AND(C169="Assembly",I169&lt;&gt;0),"Assembly stock must be zero","OK"))))))))</x:f>
      </x:c>
    </x:row>
    <x:row r="170" ht="22" customHeight="1">
      <x:c r="A170" s="10"/>
      <x:c r="B170" s="10"/>
      <x:c r="C170" s="10"/>
      <x:c r="D170" s="10"/>
      <x:c r="E170" s="10"/>
      <x:c r="F170" s="10"/>
      <x:c r="G170" s="10"/>
      <x:c r="H170" s="12"/>
      <x:c r="I170" s="12"/>
      <x:c r="J170" s="10"/>
      <x:c r="K170" s="9" t="str">
        <x:f>IF(A170="","",IF(COUNTIFS('Definitions'!$A$8:$A$207,A170)&lt;&gt;1,"Duplicate definition ID",IF(B170="","Missing component name",IF(AND(C170&lt;&gt;"Part",C170&lt;&gt;"Assembly"),"Choose Part or Assembly",IF(OR(F170="",AND(G170&lt;&gt;"Yes",G170&lt;&gt;"No")),"Set UOM and serial tracking",IF(OR(NOT(ISNUMBER(H170)),H170&lt;1,MOD(H170,1)&lt;&gt;0,NOT(ISNUMBER(I170)),I170&lt;0,MOD(I170,1)&lt;&gt;0),"Invalid pack or stock qty",IF(AND(G170="Yes",I170&lt;&gt;0),"Serialized stock belongs in Assets",IF(AND(C170="Assembly",I170&lt;&gt;0),"Assembly stock must be zero","OK"))))))))</x:f>
      </x:c>
    </x:row>
    <x:row r="171" ht="22" customHeight="1">
      <x:c r="A171" s="10"/>
      <x:c r="B171" s="10"/>
      <x:c r="C171" s="10"/>
      <x:c r="D171" s="10"/>
      <x:c r="E171" s="10"/>
      <x:c r="F171" s="10"/>
      <x:c r="G171" s="10"/>
      <x:c r="H171" s="12"/>
      <x:c r="I171" s="12"/>
      <x:c r="J171" s="10"/>
      <x:c r="K171" s="9" t="str">
        <x:f>IF(A171="","",IF(COUNTIFS('Definitions'!$A$8:$A$207,A171)&lt;&gt;1,"Duplicate definition ID",IF(B171="","Missing component name",IF(AND(C171&lt;&gt;"Part",C171&lt;&gt;"Assembly"),"Choose Part or Assembly",IF(OR(F171="",AND(G171&lt;&gt;"Yes",G171&lt;&gt;"No")),"Set UOM and serial tracking",IF(OR(NOT(ISNUMBER(H171)),H171&lt;1,MOD(H171,1)&lt;&gt;0,NOT(ISNUMBER(I171)),I171&lt;0,MOD(I171,1)&lt;&gt;0),"Invalid pack or stock qty",IF(AND(G171="Yes",I171&lt;&gt;0),"Serialized stock belongs in Assets",IF(AND(C171="Assembly",I171&lt;&gt;0),"Assembly stock must be zero","OK"))))))))</x:f>
      </x:c>
    </x:row>
    <x:row r="172" ht="22" customHeight="1">
      <x:c r="A172" s="10"/>
      <x:c r="B172" s="10"/>
      <x:c r="C172" s="10"/>
      <x:c r="D172" s="10"/>
      <x:c r="E172" s="10"/>
      <x:c r="F172" s="10"/>
      <x:c r="G172" s="10"/>
      <x:c r="H172" s="12"/>
      <x:c r="I172" s="12"/>
      <x:c r="J172" s="10"/>
      <x:c r="K172" s="9" t="str">
        <x:f>IF(A172="","",IF(COUNTIFS('Definitions'!$A$8:$A$207,A172)&lt;&gt;1,"Duplicate definition ID",IF(B172="","Missing component name",IF(AND(C172&lt;&gt;"Part",C172&lt;&gt;"Assembly"),"Choose Part or Assembly",IF(OR(F172="",AND(G172&lt;&gt;"Yes",G172&lt;&gt;"No")),"Set UOM and serial tracking",IF(OR(NOT(ISNUMBER(H172)),H172&lt;1,MOD(H172,1)&lt;&gt;0,NOT(ISNUMBER(I172)),I172&lt;0,MOD(I172,1)&lt;&gt;0),"Invalid pack or stock qty",IF(AND(G172="Yes",I172&lt;&gt;0),"Serialized stock belongs in Assets",IF(AND(C172="Assembly",I172&lt;&gt;0),"Assembly stock must be zero","OK"))))))))</x:f>
      </x:c>
    </x:row>
    <x:row r="173" ht="22" customHeight="1">
      <x:c r="A173" s="10"/>
      <x:c r="B173" s="10"/>
      <x:c r="C173" s="10"/>
      <x:c r="D173" s="10"/>
      <x:c r="E173" s="10"/>
      <x:c r="F173" s="10"/>
      <x:c r="G173" s="10"/>
      <x:c r="H173" s="12"/>
      <x:c r="I173" s="12"/>
      <x:c r="J173" s="10"/>
      <x:c r="K173" s="9" t="str">
        <x:f>IF(A173="","",IF(COUNTIFS('Definitions'!$A$8:$A$207,A173)&lt;&gt;1,"Duplicate definition ID",IF(B173="","Missing component name",IF(AND(C173&lt;&gt;"Part",C173&lt;&gt;"Assembly"),"Choose Part or Assembly",IF(OR(F173="",AND(G173&lt;&gt;"Yes",G173&lt;&gt;"No")),"Set UOM and serial tracking",IF(OR(NOT(ISNUMBER(H173)),H173&lt;1,MOD(H173,1)&lt;&gt;0,NOT(ISNUMBER(I173)),I173&lt;0,MOD(I173,1)&lt;&gt;0),"Invalid pack or stock qty",IF(AND(G173="Yes",I173&lt;&gt;0),"Serialized stock belongs in Assets",IF(AND(C173="Assembly",I173&lt;&gt;0),"Assembly stock must be zero","OK"))))))))</x:f>
      </x:c>
    </x:row>
    <x:row r="174" ht="22" customHeight="1">
      <x:c r="A174" s="10"/>
      <x:c r="B174" s="10"/>
      <x:c r="C174" s="10"/>
      <x:c r="D174" s="10"/>
      <x:c r="E174" s="10"/>
      <x:c r="F174" s="10"/>
      <x:c r="G174" s="10"/>
      <x:c r="H174" s="12"/>
      <x:c r="I174" s="12"/>
      <x:c r="J174" s="10"/>
      <x:c r="K174" s="9" t="str">
        <x:f>IF(A174="","",IF(COUNTIFS('Definitions'!$A$8:$A$207,A174)&lt;&gt;1,"Duplicate definition ID",IF(B174="","Missing component name",IF(AND(C174&lt;&gt;"Part",C174&lt;&gt;"Assembly"),"Choose Part or Assembly",IF(OR(F174="",AND(G174&lt;&gt;"Yes",G174&lt;&gt;"No")),"Set UOM and serial tracking",IF(OR(NOT(ISNUMBER(H174)),H174&lt;1,MOD(H174,1)&lt;&gt;0,NOT(ISNUMBER(I174)),I174&lt;0,MOD(I174,1)&lt;&gt;0),"Invalid pack or stock qty",IF(AND(G174="Yes",I174&lt;&gt;0),"Serialized stock belongs in Assets",IF(AND(C174="Assembly",I174&lt;&gt;0),"Assembly stock must be zero","OK"))))))))</x:f>
      </x:c>
    </x:row>
    <x:row r="175" ht="22" customHeight="1">
      <x:c r="A175" s="10"/>
      <x:c r="B175" s="10"/>
      <x:c r="C175" s="10"/>
      <x:c r="D175" s="10"/>
      <x:c r="E175" s="10"/>
      <x:c r="F175" s="10"/>
      <x:c r="G175" s="10"/>
      <x:c r="H175" s="12"/>
      <x:c r="I175" s="12"/>
      <x:c r="J175" s="10"/>
      <x:c r="K175" s="9" t="str">
        <x:f>IF(A175="","",IF(COUNTIFS('Definitions'!$A$8:$A$207,A175)&lt;&gt;1,"Duplicate definition ID",IF(B175="","Missing component name",IF(AND(C175&lt;&gt;"Part",C175&lt;&gt;"Assembly"),"Choose Part or Assembly",IF(OR(F175="",AND(G175&lt;&gt;"Yes",G175&lt;&gt;"No")),"Set UOM and serial tracking",IF(OR(NOT(ISNUMBER(H175)),H175&lt;1,MOD(H175,1)&lt;&gt;0,NOT(ISNUMBER(I175)),I175&lt;0,MOD(I175,1)&lt;&gt;0),"Invalid pack or stock qty",IF(AND(G175="Yes",I175&lt;&gt;0),"Serialized stock belongs in Assets",IF(AND(C175="Assembly",I175&lt;&gt;0),"Assembly stock must be zero","OK"))))))))</x:f>
      </x:c>
    </x:row>
    <x:row r="176" ht="22" customHeight="1">
      <x:c r="A176" s="10"/>
      <x:c r="B176" s="10"/>
      <x:c r="C176" s="10"/>
      <x:c r="D176" s="10"/>
      <x:c r="E176" s="10"/>
      <x:c r="F176" s="10"/>
      <x:c r="G176" s="10"/>
      <x:c r="H176" s="12"/>
      <x:c r="I176" s="12"/>
      <x:c r="J176" s="10"/>
      <x:c r="K176" s="9" t="str">
        <x:f>IF(A176="","",IF(COUNTIFS('Definitions'!$A$8:$A$207,A176)&lt;&gt;1,"Duplicate definition ID",IF(B176="","Missing component name",IF(AND(C176&lt;&gt;"Part",C176&lt;&gt;"Assembly"),"Choose Part or Assembly",IF(OR(F176="",AND(G176&lt;&gt;"Yes",G176&lt;&gt;"No")),"Set UOM and serial tracking",IF(OR(NOT(ISNUMBER(H176)),H176&lt;1,MOD(H176,1)&lt;&gt;0,NOT(ISNUMBER(I176)),I176&lt;0,MOD(I176,1)&lt;&gt;0),"Invalid pack or stock qty",IF(AND(G176="Yes",I176&lt;&gt;0),"Serialized stock belongs in Assets",IF(AND(C176="Assembly",I176&lt;&gt;0),"Assembly stock must be zero","OK"))))))))</x:f>
      </x:c>
    </x:row>
    <x:row r="177" ht="22" customHeight="1">
      <x:c r="A177" s="10"/>
      <x:c r="B177" s="10"/>
      <x:c r="C177" s="10"/>
      <x:c r="D177" s="10"/>
      <x:c r="E177" s="10"/>
      <x:c r="F177" s="10"/>
      <x:c r="G177" s="10"/>
      <x:c r="H177" s="12"/>
      <x:c r="I177" s="12"/>
      <x:c r="J177" s="10"/>
      <x:c r="K177" s="9" t="str">
        <x:f>IF(A177="","",IF(COUNTIFS('Definitions'!$A$8:$A$207,A177)&lt;&gt;1,"Duplicate definition ID",IF(B177="","Missing component name",IF(AND(C177&lt;&gt;"Part",C177&lt;&gt;"Assembly"),"Choose Part or Assembly",IF(OR(F177="",AND(G177&lt;&gt;"Yes",G177&lt;&gt;"No")),"Set UOM and serial tracking",IF(OR(NOT(ISNUMBER(H177)),H177&lt;1,MOD(H177,1)&lt;&gt;0,NOT(ISNUMBER(I177)),I177&lt;0,MOD(I177,1)&lt;&gt;0),"Invalid pack or stock qty",IF(AND(G177="Yes",I177&lt;&gt;0),"Serialized stock belongs in Assets",IF(AND(C177="Assembly",I177&lt;&gt;0),"Assembly stock must be zero","OK"))))))))</x:f>
      </x:c>
    </x:row>
    <x:row r="178" ht="22" customHeight="1">
      <x:c r="A178" s="10"/>
      <x:c r="B178" s="10"/>
      <x:c r="C178" s="10"/>
      <x:c r="D178" s="10"/>
      <x:c r="E178" s="10"/>
      <x:c r="F178" s="10"/>
      <x:c r="G178" s="10"/>
      <x:c r="H178" s="12"/>
      <x:c r="I178" s="12"/>
      <x:c r="J178" s="10"/>
      <x:c r="K178" s="9" t="str">
        <x:f>IF(A178="","",IF(COUNTIFS('Definitions'!$A$8:$A$207,A178)&lt;&gt;1,"Duplicate definition ID",IF(B178="","Missing component name",IF(AND(C178&lt;&gt;"Part",C178&lt;&gt;"Assembly"),"Choose Part or Assembly",IF(OR(F178="",AND(G178&lt;&gt;"Yes",G178&lt;&gt;"No")),"Set UOM and serial tracking",IF(OR(NOT(ISNUMBER(H178)),H178&lt;1,MOD(H178,1)&lt;&gt;0,NOT(ISNUMBER(I178)),I178&lt;0,MOD(I178,1)&lt;&gt;0),"Invalid pack or stock qty",IF(AND(G178="Yes",I178&lt;&gt;0),"Serialized stock belongs in Assets",IF(AND(C178="Assembly",I178&lt;&gt;0),"Assembly stock must be zero","OK"))))))))</x:f>
      </x:c>
    </x:row>
    <x:row r="179" ht="22" customHeight="1">
      <x:c r="A179" s="10"/>
      <x:c r="B179" s="10"/>
      <x:c r="C179" s="10"/>
      <x:c r="D179" s="10"/>
      <x:c r="E179" s="10"/>
      <x:c r="F179" s="10"/>
      <x:c r="G179" s="10"/>
      <x:c r="H179" s="12"/>
      <x:c r="I179" s="12"/>
      <x:c r="J179" s="10"/>
      <x:c r="K179" s="9" t="str">
        <x:f>IF(A179="","",IF(COUNTIFS('Definitions'!$A$8:$A$207,A179)&lt;&gt;1,"Duplicate definition ID",IF(B179="","Missing component name",IF(AND(C179&lt;&gt;"Part",C179&lt;&gt;"Assembly"),"Choose Part or Assembly",IF(OR(F179="",AND(G179&lt;&gt;"Yes",G179&lt;&gt;"No")),"Set UOM and serial tracking",IF(OR(NOT(ISNUMBER(H179)),H179&lt;1,MOD(H179,1)&lt;&gt;0,NOT(ISNUMBER(I179)),I179&lt;0,MOD(I179,1)&lt;&gt;0),"Invalid pack or stock qty",IF(AND(G179="Yes",I179&lt;&gt;0),"Serialized stock belongs in Assets",IF(AND(C179="Assembly",I179&lt;&gt;0),"Assembly stock must be zero","OK"))))))))</x:f>
      </x:c>
    </x:row>
    <x:row r="180" ht="22" customHeight="1">
      <x:c r="A180" s="10"/>
      <x:c r="B180" s="10"/>
      <x:c r="C180" s="10"/>
      <x:c r="D180" s="10"/>
      <x:c r="E180" s="10"/>
      <x:c r="F180" s="10"/>
      <x:c r="G180" s="10"/>
      <x:c r="H180" s="12"/>
      <x:c r="I180" s="12"/>
      <x:c r="J180" s="10"/>
      <x:c r="K180" s="9" t="str">
        <x:f>IF(A180="","",IF(COUNTIFS('Definitions'!$A$8:$A$207,A180)&lt;&gt;1,"Duplicate definition ID",IF(B180="","Missing component name",IF(AND(C180&lt;&gt;"Part",C180&lt;&gt;"Assembly"),"Choose Part or Assembly",IF(OR(F180="",AND(G180&lt;&gt;"Yes",G180&lt;&gt;"No")),"Set UOM and serial tracking",IF(OR(NOT(ISNUMBER(H180)),H180&lt;1,MOD(H180,1)&lt;&gt;0,NOT(ISNUMBER(I180)),I180&lt;0,MOD(I180,1)&lt;&gt;0),"Invalid pack or stock qty",IF(AND(G180="Yes",I180&lt;&gt;0),"Serialized stock belongs in Assets",IF(AND(C180="Assembly",I180&lt;&gt;0),"Assembly stock must be zero","OK"))))))))</x:f>
      </x:c>
    </x:row>
    <x:row r="181" ht="22" customHeight="1">
      <x:c r="A181" s="10"/>
      <x:c r="B181" s="10"/>
      <x:c r="C181" s="10"/>
      <x:c r="D181" s="10"/>
      <x:c r="E181" s="10"/>
      <x:c r="F181" s="10"/>
      <x:c r="G181" s="10"/>
      <x:c r="H181" s="12"/>
      <x:c r="I181" s="12"/>
      <x:c r="J181" s="10"/>
      <x:c r="K181" s="9" t="str">
        <x:f>IF(A181="","",IF(COUNTIFS('Definitions'!$A$8:$A$207,A181)&lt;&gt;1,"Duplicate definition ID",IF(B181="","Missing component name",IF(AND(C181&lt;&gt;"Part",C181&lt;&gt;"Assembly"),"Choose Part or Assembly",IF(OR(F181="",AND(G181&lt;&gt;"Yes",G181&lt;&gt;"No")),"Set UOM and serial tracking",IF(OR(NOT(ISNUMBER(H181)),H181&lt;1,MOD(H181,1)&lt;&gt;0,NOT(ISNUMBER(I181)),I181&lt;0,MOD(I181,1)&lt;&gt;0),"Invalid pack or stock qty",IF(AND(G181="Yes",I181&lt;&gt;0),"Serialized stock belongs in Assets",IF(AND(C181="Assembly",I181&lt;&gt;0),"Assembly stock must be zero","OK"))))))))</x:f>
      </x:c>
    </x:row>
    <x:row r="182" ht="22" customHeight="1">
      <x:c r="A182" s="10"/>
      <x:c r="B182" s="10"/>
      <x:c r="C182" s="10"/>
      <x:c r="D182" s="10"/>
      <x:c r="E182" s="10"/>
      <x:c r="F182" s="10"/>
      <x:c r="G182" s="10"/>
      <x:c r="H182" s="12"/>
      <x:c r="I182" s="12"/>
      <x:c r="J182" s="10"/>
      <x:c r="K182" s="9" t="str">
        <x:f>IF(A182="","",IF(COUNTIFS('Definitions'!$A$8:$A$207,A182)&lt;&gt;1,"Duplicate definition ID",IF(B182="","Missing component name",IF(AND(C182&lt;&gt;"Part",C182&lt;&gt;"Assembly"),"Choose Part or Assembly",IF(OR(F182="",AND(G182&lt;&gt;"Yes",G182&lt;&gt;"No")),"Set UOM and serial tracking",IF(OR(NOT(ISNUMBER(H182)),H182&lt;1,MOD(H182,1)&lt;&gt;0,NOT(ISNUMBER(I182)),I182&lt;0,MOD(I182,1)&lt;&gt;0),"Invalid pack or stock qty",IF(AND(G182="Yes",I182&lt;&gt;0),"Serialized stock belongs in Assets",IF(AND(C182="Assembly",I182&lt;&gt;0),"Assembly stock must be zero","OK"))))))))</x:f>
      </x:c>
    </x:row>
    <x:row r="183" ht="22" customHeight="1">
      <x:c r="A183" s="10"/>
      <x:c r="B183" s="10"/>
      <x:c r="C183" s="10"/>
      <x:c r="D183" s="10"/>
      <x:c r="E183" s="10"/>
      <x:c r="F183" s="10"/>
      <x:c r="G183" s="10"/>
      <x:c r="H183" s="12"/>
      <x:c r="I183" s="12"/>
      <x:c r="J183" s="10"/>
      <x:c r="K183" s="9" t="str">
        <x:f>IF(A183="","",IF(COUNTIFS('Definitions'!$A$8:$A$207,A183)&lt;&gt;1,"Duplicate definition ID",IF(B183="","Missing component name",IF(AND(C183&lt;&gt;"Part",C183&lt;&gt;"Assembly"),"Choose Part or Assembly",IF(OR(F183="",AND(G183&lt;&gt;"Yes",G183&lt;&gt;"No")),"Set UOM and serial tracking",IF(OR(NOT(ISNUMBER(H183)),H183&lt;1,MOD(H183,1)&lt;&gt;0,NOT(ISNUMBER(I183)),I183&lt;0,MOD(I183,1)&lt;&gt;0),"Invalid pack or stock qty",IF(AND(G183="Yes",I183&lt;&gt;0),"Serialized stock belongs in Assets",IF(AND(C183="Assembly",I183&lt;&gt;0),"Assembly stock must be zero","OK"))))))))</x:f>
      </x:c>
    </x:row>
    <x:row r="184" ht="22" customHeight="1">
      <x:c r="A184" s="10"/>
      <x:c r="B184" s="10"/>
      <x:c r="C184" s="10"/>
      <x:c r="D184" s="10"/>
      <x:c r="E184" s="10"/>
      <x:c r="F184" s="10"/>
      <x:c r="G184" s="10"/>
      <x:c r="H184" s="12"/>
      <x:c r="I184" s="12"/>
      <x:c r="J184" s="10"/>
      <x:c r="K184" s="9" t="str">
        <x:f>IF(A184="","",IF(COUNTIFS('Definitions'!$A$8:$A$207,A184)&lt;&gt;1,"Duplicate definition ID",IF(B184="","Missing component name",IF(AND(C184&lt;&gt;"Part",C184&lt;&gt;"Assembly"),"Choose Part or Assembly",IF(OR(F184="",AND(G184&lt;&gt;"Yes",G184&lt;&gt;"No")),"Set UOM and serial tracking",IF(OR(NOT(ISNUMBER(H184)),H184&lt;1,MOD(H184,1)&lt;&gt;0,NOT(ISNUMBER(I184)),I184&lt;0,MOD(I184,1)&lt;&gt;0),"Invalid pack or stock qty",IF(AND(G184="Yes",I184&lt;&gt;0),"Serialized stock belongs in Assets",IF(AND(C184="Assembly",I184&lt;&gt;0),"Assembly stock must be zero","OK"))))))))</x:f>
      </x:c>
    </x:row>
    <x:row r="185" ht="22" customHeight="1">
      <x:c r="A185" s="10"/>
      <x:c r="B185" s="10"/>
      <x:c r="C185" s="10"/>
      <x:c r="D185" s="10"/>
      <x:c r="E185" s="10"/>
      <x:c r="F185" s="10"/>
      <x:c r="G185" s="10"/>
      <x:c r="H185" s="12"/>
      <x:c r="I185" s="12"/>
      <x:c r="J185" s="10"/>
      <x:c r="K185" s="9" t="str">
        <x:f>IF(A185="","",IF(COUNTIFS('Definitions'!$A$8:$A$207,A185)&lt;&gt;1,"Duplicate definition ID",IF(B185="","Missing component name",IF(AND(C185&lt;&gt;"Part",C185&lt;&gt;"Assembly"),"Choose Part or Assembly",IF(OR(F185="",AND(G185&lt;&gt;"Yes",G185&lt;&gt;"No")),"Set UOM and serial tracking",IF(OR(NOT(ISNUMBER(H185)),H185&lt;1,MOD(H185,1)&lt;&gt;0,NOT(ISNUMBER(I185)),I185&lt;0,MOD(I185,1)&lt;&gt;0),"Invalid pack or stock qty",IF(AND(G185="Yes",I185&lt;&gt;0),"Serialized stock belongs in Assets",IF(AND(C185="Assembly",I185&lt;&gt;0),"Assembly stock must be zero","OK"))))))))</x:f>
      </x:c>
    </x:row>
    <x:row r="186" ht="22" customHeight="1">
      <x:c r="A186" s="10"/>
      <x:c r="B186" s="10"/>
      <x:c r="C186" s="10"/>
      <x:c r="D186" s="10"/>
      <x:c r="E186" s="10"/>
      <x:c r="F186" s="10"/>
      <x:c r="G186" s="10"/>
      <x:c r="H186" s="12"/>
      <x:c r="I186" s="12"/>
      <x:c r="J186" s="10"/>
      <x:c r="K186" s="9" t="str">
        <x:f>IF(A186="","",IF(COUNTIFS('Definitions'!$A$8:$A$207,A186)&lt;&gt;1,"Duplicate definition ID",IF(B186="","Missing component name",IF(AND(C186&lt;&gt;"Part",C186&lt;&gt;"Assembly"),"Choose Part or Assembly",IF(OR(F186="",AND(G186&lt;&gt;"Yes",G186&lt;&gt;"No")),"Set UOM and serial tracking",IF(OR(NOT(ISNUMBER(H186)),H186&lt;1,MOD(H186,1)&lt;&gt;0,NOT(ISNUMBER(I186)),I186&lt;0,MOD(I186,1)&lt;&gt;0),"Invalid pack or stock qty",IF(AND(G186="Yes",I186&lt;&gt;0),"Serialized stock belongs in Assets",IF(AND(C186="Assembly",I186&lt;&gt;0),"Assembly stock must be zero","OK"))))))))</x:f>
      </x:c>
    </x:row>
    <x:row r="187" ht="22" customHeight="1">
      <x:c r="A187" s="10"/>
      <x:c r="B187" s="10"/>
      <x:c r="C187" s="10"/>
      <x:c r="D187" s="10"/>
      <x:c r="E187" s="10"/>
      <x:c r="F187" s="10"/>
      <x:c r="G187" s="10"/>
      <x:c r="H187" s="12"/>
      <x:c r="I187" s="12"/>
      <x:c r="J187" s="10"/>
      <x:c r="K187" s="9" t="str">
        <x:f>IF(A187="","",IF(COUNTIFS('Definitions'!$A$8:$A$207,A187)&lt;&gt;1,"Duplicate definition ID",IF(B187="","Missing component name",IF(AND(C187&lt;&gt;"Part",C187&lt;&gt;"Assembly"),"Choose Part or Assembly",IF(OR(F187="",AND(G187&lt;&gt;"Yes",G187&lt;&gt;"No")),"Set UOM and serial tracking",IF(OR(NOT(ISNUMBER(H187)),H187&lt;1,MOD(H187,1)&lt;&gt;0,NOT(ISNUMBER(I187)),I187&lt;0,MOD(I187,1)&lt;&gt;0),"Invalid pack or stock qty",IF(AND(G187="Yes",I187&lt;&gt;0),"Serialized stock belongs in Assets",IF(AND(C187="Assembly",I187&lt;&gt;0),"Assembly stock must be zero","OK"))))))))</x:f>
      </x:c>
    </x:row>
    <x:row r="188" ht="22" customHeight="1">
      <x:c r="A188" s="10"/>
      <x:c r="B188" s="10"/>
      <x:c r="C188" s="10"/>
      <x:c r="D188" s="10"/>
      <x:c r="E188" s="10"/>
      <x:c r="F188" s="10"/>
      <x:c r="G188" s="10"/>
      <x:c r="H188" s="12"/>
      <x:c r="I188" s="12"/>
      <x:c r="J188" s="10"/>
      <x:c r="K188" s="9" t="str">
        <x:f>IF(A188="","",IF(COUNTIFS('Definitions'!$A$8:$A$207,A188)&lt;&gt;1,"Duplicate definition ID",IF(B188="","Missing component name",IF(AND(C188&lt;&gt;"Part",C188&lt;&gt;"Assembly"),"Choose Part or Assembly",IF(OR(F188="",AND(G188&lt;&gt;"Yes",G188&lt;&gt;"No")),"Set UOM and serial tracking",IF(OR(NOT(ISNUMBER(H188)),H188&lt;1,MOD(H188,1)&lt;&gt;0,NOT(ISNUMBER(I188)),I188&lt;0,MOD(I188,1)&lt;&gt;0),"Invalid pack or stock qty",IF(AND(G188="Yes",I188&lt;&gt;0),"Serialized stock belongs in Assets",IF(AND(C188="Assembly",I188&lt;&gt;0),"Assembly stock must be zero","OK"))))))))</x:f>
      </x:c>
    </x:row>
    <x:row r="189" ht="22" customHeight="1">
      <x:c r="A189" s="10"/>
      <x:c r="B189" s="10"/>
      <x:c r="C189" s="10"/>
      <x:c r="D189" s="10"/>
      <x:c r="E189" s="10"/>
      <x:c r="F189" s="10"/>
      <x:c r="G189" s="10"/>
      <x:c r="H189" s="12"/>
      <x:c r="I189" s="12"/>
      <x:c r="J189" s="10"/>
      <x:c r="K189" s="9" t="str">
        <x:f>IF(A189="","",IF(COUNTIFS('Definitions'!$A$8:$A$207,A189)&lt;&gt;1,"Duplicate definition ID",IF(B189="","Missing component name",IF(AND(C189&lt;&gt;"Part",C189&lt;&gt;"Assembly"),"Choose Part or Assembly",IF(OR(F189="",AND(G189&lt;&gt;"Yes",G189&lt;&gt;"No")),"Set UOM and serial tracking",IF(OR(NOT(ISNUMBER(H189)),H189&lt;1,MOD(H189,1)&lt;&gt;0,NOT(ISNUMBER(I189)),I189&lt;0,MOD(I189,1)&lt;&gt;0),"Invalid pack or stock qty",IF(AND(G189="Yes",I189&lt;&gt;0),"Serialized stock belongs in Assets",IF(AND(C189="Assembly",I189&lt;&gt;0),"Assembly stock must be zero","OK"))))))))</x:f>
      </x:c>
    </x:row>
    <x:row r="190" ht="22" customHeight="1">
      <x:c r="A190" s="10"/>
      <x:c r="B190" s="10"/>
      <x:c r="C190" s="10"/>
      <x:c r="D190" s="10"/>
      <x:c r="E190" s="10"/>
      <x:c r="F190" s="10"/>
      <x:c r="G190" s="10"/>
      <x:c r="H190" s="12"/>
      <x:c r="I190" s="12"/>
      <x:c r="J190" s="10"/>
      <x:c r="K190" s="9" t="str">
        <x:f>IF(A190="","",IF(COUNTIFS('Definitions'!$A$8:$A$207,A190)&lt;&gt;1,"Duplicate definition ID",IF(B190="","Missing component name",IF(AND(C190&lt;&gt;"Part",C190&lt;&gt;"Assembly"),"Choose Part or Assembly",IF(OR(F190="",AND(G190&lt;&gt;"Yes",G190&lt;&gt;"No")),"Set UOM and serial tracking",IF(OR(NOT(ISNUMBER(H190)),H190&lt;1,MOD(H190,1)&lt;&gt;0,NOT(ISNUMBER(I190)),I190&lt;0,MOD(I190,1)&lt;&gt;0),"Invalid pack or stock qty",IF(AND(G190="Yes",I190&lt;&gt;0),"Serialized stock belongs in Assets",IF(AND(C190="Assembly",I190&lt;&gt;0),"Assembly stock must be zero","OK"))))))))</x:f>
      </x:c>
    </x:row>
    <x:row r="191" ht="22" customHeight="1">
      <x:c r="A191" s="10"/>
      <x:c r="B191" s="10"/>
      <x:c r="C191" s="10"/>
      <x:c r="D191" s="10"/>
      <x:c r="E191" s="10"/>
      <x:c r="F191" s="10"/>
      <x:c r="G191" s="10"/>
      <x:c r="H191" s="12"/>
      <x:c r="I191" s="12"/>
      <x:c r="J191" s="10"/>
      <x:c r="K191" s="9" t="str">
        <x:f>IF(A191="","",IF(COUNTIFS('Definitions'!$A$8:$A$207,A191)&lt;&gt;1,"Duplicate definition ID",IF(B191="","Missing component name",IF(AND(C191&lt;&gt;"Part",C191&lt;&gt;"Assembly"),"Choose Part or Assembly",IF(OR(F191="",AND(G191&lt;&gt;"Yes",G191&lt;&gt;"No")),"Set UOM and serial tracking",IF(OR(NOT(ISNUMBER(H191)),H191&lt;1,MOD(H191,1)&lt;&gt;0,NOT(ISNUMBER(I191)),I191&lt;0,MOD(I191,1)&lt;&gt;0),"Invalid pack or stock qty",IF(AND(G191="Yes",I191&lt;&gt;0),"Serialized stock belongs in Assets",IF(AND(C191="Assembly",I191&lt;&gt;0),"Assembly stock must be zero","OK"))))))))</x:f>
      </x:c>
    </x:row>
    <x:row r="192" ht="22" customHeight="1">
      <x:c r="A192" s="10"/>
      <x:c r="B192" s="10"/>
      <x:c r="C192" s="10"/>
      <x:c r="D192" s="10"/>
      <x:c r="E192" s="10"/>
      <x:c r="F192" s="10"/>
      <x:c r="G192" s="10"/>
      <x:c r="H192" s="12"/>
      <x:c r="I192" s="12"/>
      <x:c r="J192" s="10"/>
      <x:c r="K192" s="9" t="str">
        <x:f>IF(A192="","",IF(COUNTIFS('Definitions'!$A$8:$A$207,A192)&lt;&gt;1,"Duplicate definition ID",IF(B192="","Missing component name",IF(AND(C192&lt;&gt;"Part",C192&lt;&gt;"Assembly"),"Choose Part or Assembly",IF(OR(F192="",AND(G192&lt;&gt;"Yes",G192&lt;&gt;"No")),"Set UOM and serial tracking",IF(OR(NOT(ISNUMBER(H192)),H192&lt;1,MOD(H192,1)&lt;&gt;0,NOT(ISNUMBER(I192)),I192&lt;0,MOD(I192,1)&lt;&gt;0),"Invalid pack or stock qty",IF(AND(G192="Yes",I192&lt;&gt;0),"Serialized stock belongs in Assets",IF(AND(C192="Assembly",I192&lt;&gt;0),"Assembly stock must be zero","OK"))))))))</x:f>
      </x:c>
    </x:row>
    <x:row r="193" ht="22" customHeight="1">
      <x:c r="A193" s="10"/>
      <x:c r="B193" s="10"/>
      <x:c r="C193" s="10"/>
      <x:c r="D193" s="10"/>
      <x:c r="E193" s="10"/>
      <x:c r="F193" s="10"/>
      <x:c r="G193" s="10"/>
      <x:c r="H193" s="12"/>
      <x:c r="I193" s="12"/>
      <x:c r="J193" s="10"/>
      <x:c r="K193" s="9" t="str">
        <x:f>IF(A193="","",IF(COUNTIFS('Definitions'!$A$8:$A$207,A193)&lt;&gt;1,"Duplicate definition ID",IF(B193="","Missing component name",IF(AND(C193&lt;&gt;"Part",C193&lt;&gt;"Assembly"),"Choose Part or Assembly",IF(OR(F193="",AND(G193&lt;&gt;"Yes",G193&lt;&gt;"No")),"Set UOM and serial tracking",IF(OR(NOT(ISNUMBER(H193)),H193&lt;1,MOD(H193,1)&lt;&gt;0,NOT(ISNUMBER(I193)),I193&lt;0,MOD(I193,1)&lt;&gt;0),"Invalid pack or stock qty",IF(AND(G193="Yes",I193&lt;&gt;0),"Serialized stock belongs in Assets",IF(AND(C193="Assembly",I193&lt;&gt;0),"Assembly stock must be zero","OK"))))))))</x:f>
      </x:c>
    </x:row>
    <x:row r="194" ht="22" customHeight="1">
      <x:c r="A194" s="10"/>
      <x:c r="B194" s="10"/>
      <x:c r="C194" s="10"/>
      <x:c r="D194" s="10"/>
      <x:c r="E194" s="10"/>
      <x:c r="F194" s="10"/>
      <x:c r="G194" s="10"/>
      <x:c r="H194" s="12"/>
      <x:c r="I194" s="12"/>
      <x:c r="J194" s="10"/>
      <x:c r="K194" s="9" t="str">
        <x:f>IF(A194="","",IF(COUNTIFS('Definitions'!$A$8:$A$207,A194)&lt;&gt;1,"Duplicate definition ID",IF(B194="","Missing component name",IF(AND(C194&lt;&gt;"Part",C194&lt;&gt;"Assembly"),"Choose Part or Assembly",IF(OR(F194="",AND(G194&lt;&gt;"Yes",G194&lt;&gt;"No")),"Set UOM and serial tracking",IF(OR(NOT(ISNUMBER(H194)),H194&lt;1,MOD(H194,1)&lt;&gt;0,NOT(ISNUMBER(I194)),I194&lt;0,MOD(I194,1)&lt;&gt;0),"Invalid pack or stock qty",IF(AND(G194="Yes",I194&lt;&gt;0),"Serialized stock belongs in Assets",IF(AND(C194="Assembly",I194&lt;&gt;0),"Assembly stock must be zero","OK"))))))))</x:f>
      </x:c>
    </x:row>
    <x:row r="195" ht="22" customHeight="1">
      <x:c r="A195" s="10"/>
      <x:c r="B195" s="10"/>
      <x:c r="C195" s="10"/>
      <x:c r="D195" s="10"/>
      <x:c r="E195" s="10"/>
      <x:c r="F195" s="10"/>
      <x:c r="G195" s="10"/>
      <x:c r="H195" s="12"/>
      <x:c r="I195" s="12"/>
      <x:c r="J195" s="10"/>
      <x:c r="K195" s="9" t="str">
        <x:f>IF(A195="","",IF(COUNTIFS('Definitions'!$A$8:$A$207,A195)&lt;&gt;1,"Duplicate definition ID",IF(B195="","Missing component name",IF(AND(C195&lt;&gt;"Part",C195&lt;&gt;"Assembly"),"Choose Part or Assembly",IF(OR(F195="",AND(G195&lt;&gt;"Yes",G195&lt;&gt;"No")),"Set UOM and serial tracking",IF(OR(NOT(ISNUMBER(H195)),H195&lt;1,MOD(H195,1)&lt;&gt;0,NOT(ISNUMBER(I195)),I195&lt;0,MOD(I195,1)&lt;&gt;0),"Invalid pack or stock qty",IF(AND(G195="Yes",I195&lt;&gt;0),"Serialized stock belongs in Assets",IF(AND(C195="Assembly",I195&lt;&gt;0),"Assembly stock must be zero","OK"))))))))</x:f>
      </x:c>
    </x:row>
    <x:row r="196" ht="22" customHeight="1">
      <x:c r="A196" s="10"/>
      <x:c r="B196" s="10"/>
      <x:c r="C196" s="10"/>
      <x:c r="D196" s="10"/>
      <x:c r="E196" s="10"/>
      <x:c r="F196" s="10"/>
      <x:c r="G196" s="10"/>
      <x:c r="H196" s="12"/>
      <x:c r="I196" s="12"/>
      <x:c r="J196" s="10"/>
      <x:c r="K196" s="9" t="str">
        <x:f>IF(A196="","",IF(COUNTIFS('Definitions'!$A$8:$A$207,A196)&lt;&gt;1,"Duplicate definition ID",IF(B196="","Missing component name",IF(AND(C196&lt;&gt;"Part",C196&lt;&gt;"Assembly"),"Choose Part or Assembly",IF(OR(F196="",AND(G196&lt;&gt;"Yes",G196&lt;&gt;"No")),"Set UOM and serial tracking",IF(OR(NOT(ISNUMBER(H196)),H196&lt;1,MOD(H196,1)&lt;&gt;0,NOT(ISNUMBER(I196)),I196&lt;0,MOD(I196,1)&lt;&gt;0),"Invalid pack or stock qty",IF(AND(G196="Yes",I196&lt;&gt;0),"Serialized stock belongs in Assets",IF(AND(C196="Assembly",I196&lt;&gt;0),"Assembly stock must be zero","OK"))))))))</x:f>
      </x:c>
    </x:row>
    <x:row r="197" ht="22" customHeight="1">
      <x:c r="A197" s="10"/>
      <x:c r="B197" s="10"/>
      <x:c r="C197" s="10"/>
      <x:c r="D197" s="10"/>
      <x:c r="E197" s="10"/>
      <x:c r="F197" s="10"/>
      <x:c r="G197" s="10"/>
      <x:c r="H197" s="12"/>
      <x:c r="I197" s="12"/>
      <x:c r="J197" s="10"/>
      <x:c r="K197" s="9" t="str">
        <x:f>IF(A197="","",IF(COUNTIFS('Definitions'!$A$8:$A$207,A197)&lt;&gt;1,"Duplicate definition ID",IF(B197="","Missing component name",IF(AND(C197&lt;&gt;"Part",C197&lt;&gt;"Assembly"),"Choose Part or Assembly",IF(OR(F197="",AND(G197&lt;&gt;"Yes",G197&lt;&gt;"No")),"Set UOM and serial tracking",IF(OR(NOT(ISNUMBER(H197)),H197&lt;1,MOD(H197,1)&lt;&gt;0,NOT(ISNUMBER(I197)),I197&lt;0,MOD(I197,1)&lt;&gt;0),"Invalid pack or stock qty",IF(AND(G197="Yes",I197&lt;&gt;0),"Serialized stock belongs in Assets",IF(AND(C197="Assembly",I197&lt;&gt;0),"Assembly stock must be zero","OK"))))))))</x:f>
      </x:c>
    </x:row>
    <x:row r="198" ht="22" customHeight="1">
      <x:c r="A198" s="10"/>
      <x:c r="B198" s="10"/>
      <x:c r="C198" s="10"/>
      <x:c r="D198" s="10"/>
      <x:c r="E198" s="10"/>
      <x:c r="F198" s="10"/>
      <x:c r="G198" s="10"/>
      <x:c r="H198" s="12"/>
      <x:c r="I198" s="12"/>
      <x:c r="J198" s="10"/>
      <x:c r="K198" s="9" t="str">
        <x:f>IF(A198="","",IF(COUNTIFS('Definitions'!$A$8:$A$207,A198)&lt;&gt;1,"Duplicate definition ID",IF(B198="","Missing component name",IF(AND(C198&lt;&gt;"Part",C198&lt;&gt;"Assembly"),"Choose Part or Assembly",IF(OR(F198="",AND(G198&lt;&gt;"Yes",G198&lt;&gt;"No")),"Set UOM and serial tracking",IF(OR(NOT(ISNUMBER(H198)),H198&lt;1,MOD(H198,1)&lt;&gt;0,NOT(ISNUMBER(I198)),I198&lt;0,MOD(I198,1)&lt;&gt;0),"Invalid pack or stock qty",IF(AND(G198="Yes",I198&lt;&gt;0),"Serialized stock belongs in Assets",IF(AND(C198="Assembly",I198&lt;&gt;0),"Assembly stock must be zero","OK"))))))))</x:f>
      </x:c>
    </x:row>
    <x:row r="199" ht="22" customHeight="1">
      <x:c r="A199" s="10"/>
      <x:c r="B199" s="10"/>
      <x:c r="C199" s="10"/>
      <x:c r="D199" s="10"/>
      <x:c r="E199" s="10"/>
      <x:c r="F199" s="10"/>
      <x:c r="G199" s="10"/>
      <x:c r="H199" s="12"/>
      <x:c r="I199" s="12"/>
      <x:c r="J199" s="10"/>
      <x:c r="K199" s="9" t="str">
        <x:f>IF(A199="","",IF(COUNTIFS('Definitions'!$A$8:$A$207,A199)&lt;&gt;1,"Duplicate definition ID",IF(B199="","Missing component name",IF(AND(C199&lt;&gt;"Part",C199&lt;&gt;"Assembly"),"Choose Part or Assembly",IF(OR(F199="",AND(G199&lt;&gt;"Yes",G199&lt;&gt;"No")),"Set UOM and serial tracking",IF(OR(NOT(ISNUMBER(H199)),H199&lt;1,MOD(H199,1)&lt;&gt;0,NOT(ISNUMBER(I199)),I199&lt;0,MOD(I199,1)&lt;&gt;0),"Invalid pack or stock qty",IF(AND(G199="Yes",I199&lt;&gt;0),"Serialized stock belongs in Assets",IF(AND(C199="Assembly",I199&lt;&gt;0),"Assembly stock must be zero","OK"))))))))</x:f>
      </x:c>
    </x:row>
    <x:row r="200" ht="22" customHeight="1">
      <x:c r="A200" s="10"/>
      <x:c r="B200" s="10"/>
      <x:c r="C200" s="10"/>
      <x:c r="D200" s="10"/>
      <x:c r="E200" s="10"/>
      <x:c r="F200" s="10"/>
      <x:c r="G200" s="10"/>
      <x:c r="H200" s="12"/>
      <x:c r="I200" s="12"/>
      <x:c r="J200" s="10"/>
      <x:c r="K200" s="9" t="str">
        <x:f>IF(A200="","",IF(COUNTIFS('Definitions'!$A$8:$A$207,A200)&lt;&gt;1,"Duplicate definition ID",IF(B200="","Missing component name",IF(AND(C200&lt;&gt;"Part",C200&lt;&gt;"Assembly"),"Choose Part or Assembly",IF(OR(F200="",AND(G200&lt;&gt;"Yes",G200&lt;&gt;"No")),"Set UOM and serial tracking",IF(OR(NOT(ISNUMBER(H200)),H200&lt;1,MOD(H200,1)&lt;&gt;0,NOT(ISNUMBER(I200)),I200&lt;0,MOD(I200,1)&lt;&gt;0),"Invalid pack or stock qty",IF(AND(G200="Yes",I200&lt;&gt;0),"Serialized stock belongs in Assets",IF(AND(C200="Assembly",I200&lt;&gt;0),"Assembly stock must be zero","OK"))))))))</x:f>
      </x:c>
    </x:row>
    <x:row r="201" ht="22" customHeight="1">
      <x:c r="A201" s="10"/>
      <x:c r="B201" s="10"/>
      <x:c r="C201" s="10"/>
      <x:c r="D201" s="10"/>
      <x:c r="E201" s="10"/>
      <x:c r="F201" s="10"/>
      <x:c r="G201" s="10"/>
      <x:c r="H201" s="12"/>
      <x:c r="I201" s="12"/>
      <x:c r="J201" s="10"/>
      <x:c r="K201" s="9" t="str">
        <x:f>IF(A201="","",IF(COUNTIFS('Definitions'!$A$8:$A$207,A201)&lt;&gt;1,"Duplicate definition ID",IF(B201="","Missing component name",IF(AND(C201&lt;&gt;"Part",C201&lt;&gt;"Assembly"),"Choose Part or Assembly",IF(OR(F201="",AND(G201&lt;&gt;"Yes",G201&lt;&gt;"No")),"Set UOM and serial tracking",IF(OR(NOT(ISNUMBER(H201)),H201&lt;1,MOD(H201,1)&lt;&gt;0,NOT(ISNUMBER(I201)),I201&lt;0,MOD(I201,1)&lt;&gt;0),"Invalid pack or stock qty",IF(AND(G201="Yes",I201&lt;&gt;0),"Serialized stock belongs in Assets",IF(AND(C201="Assembly",I201&lt;&gt;0),"Assembly stock must be zero","OK"))))))))</x:f>
      </x:c>
    </x:row>
    <x:row r="202" ht="22" customHeight="1">
      <x:c r="A202" s="10"/>
      <x:c r="B202" s="10"/>
      <x:c r="C202" s="10"/>
      <x:c r="D202" s="10"/>
      <x:c r="E202" s="10"/>
      <x:c r="F202" s="10"/>
      <x:c r="G202" s="10"/>
      <x:c r="H202" s="12"/>
      <x:c r="I202" s="12"/>
      <x:c r="J202" s="10"/>
      <x:c r="K202" s="9" t="str">
        <x:f>IF(A202="","",IF(COUNTIFS('Definitions'!$A$8:$A$207,A202)&lt;&gt;1,"Duplicate definition ID",IF(B202="","Missing component name",IF(AND(C202&lt;&gt;"Part",C202&lt;&gt;"Assembly"),"Choose Part or Assembly",IF(OR(F202="",AND(G202&lt;&gt;"Yes",G202&lt;&gt;"No")),"Set UOM and serial tracking",IF(OR(NOT(ISNUMBER(H202)),H202&lt;1,MOD(H202,1)&lt;&gt;0,NOT(ISNUMBER(I202)),I202&lt;0,MOD(I202,1)&lt;&gt;0),"Invalid pack or stock qty",IF(AND(G202="Yes",I202&lt;&gt;0),"Serialized stock belongs in Assets",IF(AND(C202="Assembly",I202&lt;&gt;0),"Assembly stock must be zero","OK"))))))))</x:f>
      </x:c>
    </x:row>
    <x:row r="203" ht="22" customHeight="1">
      <x:c r="A203" s="10"/>
      <x:c r="B203" s="10"/>
      <x:c r="C203" s="10"/>
      <x:c r="D203" s="10"/>
      <x:c r="E203" s="10"/>
      <x:c r="F203" s="10"/>
      <x:c r="G203" s="10"/>
      <x:c r="H203" s="12"/>
      <x:c r="I203" s="12"/>
      <x:c r="J203" s="10"/>
      <x:c r="K203" s="9" t="str">
        <x:f>IF(A203="","",IF(COUNTIFS('Definitions'!$A$8:$A$207,A203)&lt;&gt;1,"Duplicate definition ID",IF(B203="","Missing component name",IF(AND(C203&lt;&gt;"Part",C203&lt;&gt;"Assembly"),"Choose Part or Assembly",IF(OR(F203="",AND(G203&lt;&gt;"Yes",G203&lt;&gt;"No")),"Set UOM and serial tracking",IF(OR(NOT(ISNUMBER(H203)),H203&lt;1,MOD(H203,1)&lt;&gt;0,NOT(ISNUMBER(I203)),I203&lt;0,MOD(I203,1)&lt;&gt;0),"Invalid pack or stock qty",IF(AND(G203="Yes",I203&lt;&gt;0),"Serialized stock belongs in Assets",IF(AND(C203="Assembly",I203&lt;&gt;0),"Assembly stock must be zero","OK"))))))))</x:f>
      </x:c>
    </x:row>
    <x:row r="204" ht="22" customHeight="1">
      <x:c r="A204" s="10"/>
      <x:c r="B204" s="10"/>
      <x:c r="C204" s="10"/>
      <x:c r="D204" s="10"/>
      <x:c r="E204" s="10"/>
      <x:c r="F204" s="10"/>
      <x:c r="G204" s="10"/>
      <x:c r="H204" s="12"/>
      <x:c r="I204" s="12"/>
      <x:c r="J204" s="10"/>
      <x:c r="K204" s="9" t="str">
        <x:f>IF(A204="","",IF(COUNTIFS('Definitions'!$A$8:$A$207,A204)&lt;&gt;1,"Duplicate definition ID",IF(B204="","Missing component name",IF(AND(C204&lt;&gt;"Part",C204&lt;&gt;"Assembly"),"Choose Part or Assembly",IF(OR(F204="",AND(G204&lt;&gt;"Yes",G204&lt;&gt;"No")),"Set UOM and serial tracking",IF(OR(NOT(ISNUMBER(H204)),H204&lt;1,MOD(H204,1)&lt;&gt;0,NOT(ISNUMBER(I204)),I204&lt;0,MOD(I204,1)&lt;&gt;0),"Invalid pack or stock qty",IF(AND(G204="Yes",I204&lt;&gt;0),"Serialized stock belongs in Assets",IF(AND(C204="Assembly",I204&lt;&gt;0),"Assembly stock must be zero","OK"))))))))</x:f>
      </x:c>
    </x:row>
    <x:row r="205" ht="22" customHeight="1">
      <x:c r="A205" s="10"/>
      <x:c r="B205" s="10"/>
      <x:c r="C205" s="10"/>
      <x:c r="D205" s="10"/>
      <x:c r="E205" s="10"/>
      <x:c r="F205" s="10"/>
      <x:c r="G205" s="10"/>
      <x:c r="H205" s="12"/>
      <x:c r="I205" s="12"/>
      <x:c r="J205" s="10"/>
      <x:c r="K205" s="9" t="str">
        <x:f>IF(A205="","",IF(COUNTIFS('Definitions'!$A$8:$A$207,A205)&lt;&gt;1,"Duplicate definition ID",IF(B205="","Missing component name",IF(AND(C205&lt;&gt;"Part",C205&lt;&gt;"Assembly"),"Choose Part or Assembly",IF(OR(F205="",AND(G205&lt;&gt;"Yes",G205&lt;&gt;"No")),"Set UOM and serial tracking",IF(OR(NOT(ISNUMBER(H205)),H205&lt;1,MOD(H205,1)&lt;&gt;0,NOT(ISNUMBER(I205)),I205&lt;0,MOD(I205,1)&lt;&gt;0),"Invalid pack or stock qty",IF(AND(G205="Yes",I205&lt;&gt;0),"Serialized stock belongs in Assets",IF(AND(C205="Assembly",I205&lt;&gt;0),"Assembly stock must be zero","OK"))))))))</x:f>
      </x:c>
    </x:row>
    <x:row r="206" ht="22" customHeight="1">
      <x:c r="A206" s="10"/>
      <x:c r="B206" s="10"/>
      <x:c r="C206" s="10"/>
      <x:c r="D206" s="10"/>
      <x:c r="E206" s="10"/>
      <x:c r="F206" s="10"/>
      <x:c r="G206" s="10"/>
      <x:c r="H206" s="12"/>
      <x:c r="I206" s="12"/>
      <x:c r="J206" s="10"/>
      <x:c r="K206" s="9" t="str">
        <x:f>IF(A206="","",IF(COUNTIFS('Definitions'!$A$8:$A$207,A206)&lt;&gt;1,"Duplicate definition ID",IF(B206="","Missing component name",IF(AND(C206&lt;&gt;"Part",C206&lt;&gt;"Assembly"),"Choose Part or Assembly",IF(OR(F206="",AND(G206&lt;&gt;"Yes",G206&lt;&gt;"No")),"Set UOM and serial tracking",IF(OR(NOT(ISNUMBER(H206)),H206&lt;1,MOD(H206,1)&lt;&gt;0,NOT(ISNUMBER(I206)),I206&lt;0,MOD(I206,1)&lt;&gt;0),"Invalid pack or stock qty",IF(AND(G206="Yes",I206&lt;&gt;0),"Serialized stock belongs in Assets",IF(AND(C206="Assembly",I206&lt;&gt;0),"Assembly stock must be zero","OK"))))))))</x:f>
      </x:c>
    </x:row>
    <x:row r="207" ht="22" customHeight="1">
      <x:c r="A207" s="10"/>
      <x:c r="B207" s="10"/>
      <x:c r="C207" s="10"/>
      <x:c r="D207" s="10"/>
      <x:c r="E207" s="10"/>
      <x:c r="F207" s="10"/>
      <x:c r="G207" s="10"/>
      <x:c r="H207" s="12"/>
      <x:c r="I207" s="12"/>
      <x:c r="J207" s="10"/>
      <x:c r="K207" s="9" t="str">
        <x:f>IF(A207="","",IF(COUNTIFS('Definitions'!$A$8:$A$207,A207)&lt;&gt;1,"Duplicate definition ID",IF(B207="","Missing component name",IF(AND(C207&lt;&gt;"Part",C207&lt;&gt;"Assembly"),"Choose Part or Assembly",IF(OR(F207="",AND(G207&lt;&gt;"Yes",G207&lt;&gt;"No")),"Set UOM and serial tracking",IF(OR(NOT(ISNUMBER(H207)),H207&lt;1,MOD(H207,1)&lt;&gt;0,NOT(ISNUMBER(I207)),I207&lt;0,MOD(I207,1)&lt;&gt;0),"Invalid pack or stock qty",IF(AND(G207="Yes",I207&lt;&gt;0),"Serialized stock belongs in Assets",IF(AND(C207="Assembly",I207&lt;&gt;0),"Assembly stock must be zero","OK"))))))))</x:f>
      </x:c>
    </x:row>
  </x:sheetData>
  <x:conditionalFormatting sqref="K8:K207">
    <x:cfRule type="expression" dxfId="2" priority="1">
      <x:formula>AND($A8&lt;&gt;"",K8&lt;&gt;"OK")</x:formula>
    </x:cfRule>
  </x:conditionalFormatting>
  <x:dataValidations count="4">
    <x:dataValidation type="list" sqref="C8:C207">
      <x:formula1>"Part,Assembly"</x:formula1>
    </x:dataValidation>
    <x:dataValidation type="list" sqref="G8:G207">
      <x:formula1>"Yes,No"</x:formula1>
    </x:dataValidation>
    <x:dataValidation type="whole" operator="between" sqref="H8:H207">
      <x:formula1>1</x:formula1>
      <x:formula2>1000000</x:formula2>
    </x:dataValidation>
    <x:dataValidation type="whole" operator="between" sqref="I8:I207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a4b00fa518e4c16"/>
  </x:tableParts>
</x:worksheet>
</file>

<file path=xl/worksheets/sheet5.xml><?xml version="1.0" encoding="utf-8"?>
<x:worksheet xmlns:x="http://schemas.openxmlformats.org/spreadsheetml/2006/main">
  <x:sheetPr>
    <x:tabColor rgb="FFCAD4DF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18" hidden="0" customWidth="1"/>
    <x:col min="5" max="5" width="28" hidden="0" customWidth="1"/>
    <x:col min="6" max="6" width="60" hidden="0" customWidth="1"/>
    <x:col min="7" max="7" width="3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22" customHeight="1">
      <x:c r="A2" s="3" t="str">
        <x:v>Reusable component recipes</x:v>
      </x:c>
      <x:c r="B2" s="2"/>
      <x:c r="C2" s="2"/>
      <x:c r="D2" s="2"/>
      <x:c r="E2" s="2"/>
      <x:c r="F2" s="2"/>
      <x:c r="G2" s="2"/>
    </x:row>
    <x:row r="3" ht="22" customHeight="1">
      <x:c r="A3" s="2"/>
      <x:c r="B3" s="2"/>
      <x:c r="C3" s="2"/>
      <x:c r="D3" s="2"/>
      <x:c r="E3" s="2"/>
      <x:c r="F3" s="2"/>
      <x:c r="G3" s="2"/>
    </x:row>
    <x:row r="4" ht="22" customHeight="1">
      <x:c r="A4" s="4" t="str">
        <x:v>A line defines one child position or a bulk quantity. A new line must also be placed under each applicable Layout role.</x:v>
      </x:c>
      <x:c r="B4" s="2"/>
      <x:c r="C4" s="2"/>
      <x:c r="D4" s="2"/>
      <x:c r="E4" s="2"/>
      <x:c r="F4" s="2"/>
      <x:c r="G4" s="2"/>
    </x:row>
    <x:row r="5" ht="22" customHeight="1">
      <x:c r="A5" s="4" t="str">
        <x:v>Amber cells are editable. Grey cells contain formulas. All populated records are illustrative.</x:v>
      </x:c>
      <x:c r="B5" s="2"/>
      <x:c r="C5" s="2"/>
      <x:c r="D5" s="2"/>
      <x:c r="E5" s="2"/>
      <x:c r="F5" s="2"/>
      <x:c r="G5" s="2"/>
    </x:row>
    <x:row r="6" ht="22" customHeight="1">
      <x:c r="A6" s="2"/>
      <x:c r="B6" s="2"/>
      <x:c r="C6" s="2"/>
      <x:c r="D6" s="2"/>
      <x:c r="E6" s="2"/>
      <x:c r="F6" s="2"/>
      <x:c r="G6" s="2"/>
    </x:row>
    <x:row r="7" ht="40" customHeight="1">
      <x:c r="A7" s="8" t="str">
        <x:v>Recipe line ID</x:v>
      </x:c>
      <x:c r="B7" s="8" t="str">
        <x:v>Parent definition ID</x:v>
      </x:c>
      <x:c r="C7" s="8" t="str">
        <x:v>Child definition ID</x:v>
      </x:c>
      <x:c r="D7" s="8" t="str">
        <x:v>Qty per parent</x:v>
      </x:c>
      <x:c r="E7" s="8" t="str">
        <x:v>Suggested child role suffix</x:v>
      </x:c>
      <x:c r="F7" s="8" t="str">
        <x:v>Notes</x:v>
      </x:c>
      <x:c r="G7" s="8" t="str">
        <x:v>Check</x:v>
      </x:c>
    </x:row>
    <x:row r="8" ht="22" customHeight="1">
      <x:c r="A8" s="10" t="str">
        <x:v>R-V-SW</x:v>
      </x:c>
      <x:c r="B8" s="10" t="str">
        <x:v>A-VCCU</x:v>
      </x:c>
      <x:c r="C8" s="10" t="str">
        <x:v>P-SWITCH</x:v>
      </x:c>
      <x:c r="D8" s="12" t="n">
        <x:v>1</x:v>
      </x:c>
      <x:c r="E8" s="10" t="str">
        <x:v>switch1</x:v>
      </x:c>
      <x:c r="F8" s="10" t="str"/>
      <x:c r="G8" s="9" t="str">
        <x:f>IF(A8="","",IF(COUNTIFS('Recipes'!$A$8:$A$207,A8)&lt;&gt;1,"Duplicate recipe ID",IF(OR(COUNTIFS('Definitions'!$A$8:$A$207,B8)&lt;&gt;1,COUNTIFS('Definitions'!$A$8:$A$207,C8)&lt;&gt;1),"Unknown / duplicate definition",IF(B8=C8,"Self reference",IF(OR(NOT(ISNUMBER(D8)),D8&lt;=0,MOD(D8,1)&lt;&gt;0),"Set positive whole quantity",IF(E8="","Set child role suffix","OK"))))))</x:f>
        <x:v>OK</x:v>
      </x:c>
    </x:row>
    <x:row r="9" ht="22" customHeight="1">
      <x:c r="A9" s="10" t="str">
        <x:v>R-V-FHS1</x:v>
      </x:c>
      <x:c r="B9" s="10" t="str">
        <x:v>A-VCCU</x:v>
      </x:c>
      <x:c r="C9" s="10" t="str">
        <x:v>P-FHS</x:v>
      </x:c>
      <x:c r="D9" s="12" t="n">
        <x:v>1</x:v>
      </x:c>
      <x:c r="E9" s="10" t="str">
        <x:v>fhs1</x:v>
      </x:c>
      <x:c r="F9" s="10" t="str"/>
      <x:c r="G9" s="9" t="str">
        <x:f>IF(A9="","",IF(COUNTIFS('Recipes'!$A$8:$A$207,A9)&lt;&gt;1,"Duplicate recipe ID",IF(OR(COUNTIFS('Definitions'!$A$8:$A$207,B9)&lt;&gt;1,COUNTIFS('Definitions'!$A$8:$A$207,C9)&lt;&gt;1),"Unknown / duplicate definition",IF(B9=C9,"Self reference",IF(OR(NOT(ISNUMBER(D9)),D9&lt;=0,MOD(D9,1)&lt;&gt;0),"Set positive whole quantity",IF(E9="","Set child role suffix","OK"))))))</x:f>
        <x:v>OK</x:v>
      </x:c>
    </x:row>
    <x:row r="10" ht="22" customHeight="1">
      <x:c r="A10" s="10" t="str">
        <x:v>R-V-FHS2</x:v>
      </x:c>
      <x:c r="B10" s="10" t="str">
        <x:v>A-VCCU</x:v>
      </x:c>
      <x:c r="C10" s="10" t="str">
        <x:v>P-FHS</x:v>
      </x:c>
      <x:c r="D10" s="12" t="n">
        <x:v>1</x:v>
      </x:c>
      <x:c r="E10" s="10" t="str">
        <x:v>fhs2</x:v>
      </x:c>
      <x:c r="F10" s="10" t="str">
        <x:v>Separate role for a separately assignable server.</x:v>
      </x:c>
      <x:c r="G10" s="9" t="str">
        <x:f>IF(A10="","",IF(COUNTIFS('Recipes'!$A$8:$A$207,A10)&lt;&gt;1,"Duplicate recipe ID",IF(OR(COUNTIFS('Definitions'!$A$8:$A$207,B10)&lt;&gt;1,COUNTIFS('Definitions'!$A$8:$A$207,C10)&lt;&gt;1),"Unknown / duplicate definition",IF(B10=C10,"Self reference",IF(OR(NOT(ISNUMBER(D10)),D10&lt;=0,MOD(D10,1)&lt;&gt;0),"Set positive whole quantity",IF(E10="","Set child role suffix","OK"))))))</x:f>
        <x:v>OK</x:v>
      </x:c>
    </x:row>
    <x:row r="11" ht="22" customHeight="1">
      <x:c r="A11" s="10" t="str">
        <x:v>R-SW-LINK</x:v>
      </x:c>
      <x:c r="B11" s="10" t="str">
        <x:v>P-SWITCH</x:v>
      </x:c>
      <x:c r="C11" s="10" t="str">
        <x:v>A-LINK</x:v>
      </x:c>
      <x:c r="D11" s="12" t="n">
        <x:v>4</x:v>
      </x:c>
      <x:c r="E11" s="10" t="str">
        <x:v>links</x:v>
      </x:c>
      <x:c r="F11" s="10" t="str">
        <x:v>Illustrative four complete optical links.</x:v>
      </x:c>
      <x:c r="G11" s="9" t="str">
        <x:f>IF(A11="","",IF(COUNTIFS('Recipes'!$A$8:$A$207,A11)&lt;&gt;1,"Duplicate recipe ID",IF(OR(COUNTIFS('Definitions'!$A$8:$A$207,B11)&lt;&gt;1,COUNTIFS('Definitions'!$A$8:$A$207,C11)&lt;&gt;1),"Unknown / duplicate definition",IF(B11=C11,"Self reference",IF(OR(NOT(ISNUMBER(D11)),D11&lt;=0,MOD(D11,1)&lt;&gt;0),"Set positive whole quantity",IF(E11="","Set child role suffix","OK"))))))</x:f>
        <x:v>OK</x:v>
      </x:c>
    </x:row>
    <x:row r="12" ht="22" customHeight="1">
      <x:c r="A12" s="10" t="str">
        <x:v>R-LINK-OPT</x:v>
      </x:c>
      <x:c r="B12" s="10" t="str">
        <x:v>A-LINK</x:v>
      </x:c>
      <x:c r="C12" s="10" t="str">
        <x:v>P-OPTIC</x:v>
      </x:c>
      <x:c r="D12" s="12" t="n">
        <x:v>2</x:v>
      </x:c>
      <x:c r="E12" s="10" t="str">
        <x:v>transceivers</x:v>
      </x:c>
      <x:c r="F12" s="10" t="str">
        <x:v>Includes both ends.</x:v>
      </x:c>
      <x:c r="G12" s="9" t="str">
        <x:f>IF(A12="","",IF(COUNTIFS('Recipes'!$A$8:$A$207,A12)&lt;&gt;1,"Duplicate recipe ID",IF(OR(COUNTIFS('Definitions'!$A$8:$A$207,B12)&lt;&gt;1,COUNTIFS('Definitions'!$A$8:$A$207,C12)&lt;&gt;1),"Unknown / duplicate definition",IF(B12=C12,"Self reference",IF(OR(NOT(ISNUMBER(D12)),D12&lt;=0,MOD(D12,1)&lt;&gt;0),"Set positive whole quantity",IF(E12="","Set child role suffix","OK"))))))</x:f>
        <x:v>OK</x:v>
      </x:c>
    </x:row>
    <x:row r="13" ht="22" customHeight="1">
      <x:c r="A13" s="10" t="str">
        <x:v>R-LINK-FIB</x:v>
      </x:c>
      <x:c r="B13" s="10" t="str">
        <x:v>A-LINK</x:v>
      </x:c>
      <x:c r="C13" s="10" t="str">
        <x:v>P-FIBRE</x:v>
      </x:c>
      <x:c r="D13" s="12" t="n">
        <x:v>1</x:v>
      </x:c>
      <x:c r="E13" s="10" t="str">
        <x:v>fibre</x:v>
      </x:c>
      <x:c r="F13" s="10" t="str"/>
      <x:c r="G13" s="9" t="str">
        <x:f>IF(A13="","",IF(COUNTIFS('Recipes'!$A$8:$A$207,A13)&lt;&gt;1,"Duplicate recipe ID",IF(OR(COUNTIFS('Definitions'!$A$8:$A$207,B13)&lt;&gt;1,COUNTIFS('Definitions'!$A$8:$A$207,C13)&lt;&gt;1),"Unknown / duplicate definition",IF(B13=C13,"Self reference",IF(OR(NOT(ISNUMBER(D13)),D13&lt;=0,MOD(D13,1)&lt;&gt;0),"Set positive whole quantity",IF(E13="","Set child role suffix","OK"))))))</x:f>
        <x:v>OK</x:v>
      </x:c>
    </x:row>
    <x:row r="14" ht="22" customHeight="1">
      <x:c r="A14" s="10" t="str">
        <x:v>R-SW-POWER</x:v>
      </x:c>
      <x:c r="B14" s="10" t="str">
        <x:v>P-SWITCH</x:v>
      </x:c>
      <x:c r="C14" s="10" t="str">
        <x:v>P-POWER</x:v>
      </x:c>
      <x:c r="D14" s="12" t="n">
        <x:v>2</x:v>
      </x:c>
      <x:c r="E14" s="10" t="str">
        <x:v>power</x:v>
      </x:c>
      <x:c r="F14" s="10" t="str"/>
      <x:c r="G14" s="9" t="str">
        <x:f>IF(A14="","",IF(COUNTIFS('Recipes'!$A$8:$A$207,A14)&lt;&gt;1,"Duplicate recipe ID",IF(OR(COUNTIFS('Definitions'!$A$8:$A$207,B14)&lt;&gt;1,COUNTIFS('Definitions'!$A$8:$A$207,C14)&lt;&gt;1),"Unknown / duplicate definition",IF(B14=C14,"Self reference",IF(OR(NOT(ISNUMBER(D14)),D14&lt;=0,MOD(D14,1)&lt;&gt;0),"Set positive whole quantity",IF(E14="","Set child role suffix","OK"))))))</x:f>
        <x:v>OK</x:v>
      </x:c>
    </x:row>
    <x:row r="15" ht="22" customHeight="1">
      <x:c r="A15" s="10" t="str">
        <x:v>R-FHS-POWER</x:v>
      </x:c>
      <x:c r="B15" s="10" t="str">
        <x:v>P-FHS</x:v>
      </x:c>
      <x:c r="C15" s="10" t="str">
        <x:v>P-POWER</x:v>
      </x:c>
      <x:c r="D15" s="12" t="n">
        <x:v>2</x:v>
      </x:c>
      <x:c r="E15" s="10" t="str">
        <x:v>power</x:v>
      </x:c>
      <x:c r="F15" s="10" t="str"/>
      <x:c r="G15" s="9" t="str">
        <x:f>IF(A15="","",IF(COUNTIFS('Recipes'!$A$8:$A$207,A15)&lt;&gt;1,"Duplicate recipe ID",IF(OR(COUNTIFS('Definitions'!$A$8:$A$207,B15)&lt;&gt;1,COUNTIFS('Definitions'!$A$8:$A$207,C15)&lt;&gt;1),"Unknown / duplicate definition",IF(B15=C15,"Self reference",IF(OR(NOT(ISNUMBER(D15)),D15&lt;=0,MOD(D15,1)&lt;&gt;0),"Set positive whole quantity",IF(E15="","Set child role suffix","OK"))))))</x:f>
        <x:v>OK</x:v>
      </x:c>
    </x:row>
    <x:row r="16" ht="22" customHeight="1">
      <x:c r="A16" s="10" t="str">
        <x:v>R-FHS-RAILS</x:v>
      </x:c>
      <x:c r="B16" s="10" t="str">
        <x:v>P-FHS</x:v>
      </x:c>
      <x:c r="C16" s="10" t="str">
        <x:v>P-RAILS</x:v>
      </x:c>
      <x:c r="D16" s="12" t="n">
        <x:v>1</x:v>
      </x:c>
      <x:c r="E16" s="10" t="str">
        <x:v>rails</x:v>
      </x:c>
      <x:c r="F16" s="10" t="str"/>
      <x:c r="G16" s="9" t="str">
        <x:f>IF(A16="","",IF(COUNTIFS('Recipes'!$A$8:$A$207,A16)&lt;&gt;1,"Duplicate recipe ID",IF(OR(COUNTIFS('Definitions'!$A$8:$A$207,B16)&lt;&gt;1,COUNTIFS('Definitions'!$A$8:$A$207,C16)&lt;&gt;1),"Unknown / duplicate definition",IF(B16=C16,"Self reference",IF(OR(NOT(ISNUMBER(D16)),D16&lt;=0,MOD(D16,1)&lt;&gt;0),"Set positive whole quantity",IF(E16="","Set child role suffix","OK"))))))</x:f>
        <x:v>OK</x:v>
      </x:c>
    </x:row>
    <x:row r="17" ht="22" customHeight="1">
      <x:c r="A17" s="10" t="str">
        <x:v>R-MESH-RAILS</x:v>
      </x:c>
      <x:c r="B17" s="10" t="str">
        <x:v>P-MESH</x:v>
      </x:c>
      <x:c r="C17" s="10" t="str">
        <x:v>P-RAILS</x:v>
      </x:c>
      <x:c r="D17" s="12" t="n">
        <x:v>1</x:v>
      </x:c>
      <x:c r="E17" s="10" t="str">
        <x:v>rails</x:v>
      </x:c>
      <x:c r="F17" s="10" t="str"/>
      <x:c r="G17" s="9" t="str">
        <x:f>IF(A17="","",IF(COUNTIFS('Recipes'!$A$8:$A$207,A17)&lt;&gt;1,"Duplicate recipe ID",IF(OR(COUNTIFS('Definitions'!$A$8:$A$207,B17)&lt;&gt;1,COUNTIFS('Definitions'!$A$8:$A$207,C17)&lt;&gt;1),"Unknown / duplicate definition",IF(B17=C17,"Self reference",IF(OR(NOT(ISNUMBER(D17)),D17&lt;=0,MOD(D17,1)&lt;&gt;0),"Set positive whole quantity",IF(E17="","Set child role suffix","OK"))))))</x:f>
        <x:v>OK</x:v>
      </x:c>
    </x:row>
    <x:row r="18" ht="22" customHeight="1">
      <x:c r="A18" s="10" t="str">
        <x:v>R-RACK-PDU</x:v>
      </x:c>
      <x:c r="B18" s="10" t="str">
        <x:v>P-RACK</x:v>
      </x:c>
      <x:c r="C18" s="10" t="str">
        <x:v>P-PDU</x:v>
      </x:c>
      <x:c r="D18" s="12" t="n">
        <x:v>2</x:v>
      </x:c>
      <x:c r="E18" s="10" t="str">
        <x:v>pdu</x:v>
      </x:c>
      <x:c r="F18" s="10" t="str"/>
      <x:c r="G18" s="9" t="str">
        <x:f>IF(A18="","",IF(COUNTIFS('Recipes'!$A$8:$A$207,A18)&lt;&gt;1,"Duplicate recipe ID",IF(OR(COUNTIFS('Definitions'!$A$8:$A$207,B18)&lt;&gt;1,COUNTIFS('Definitions'!$A$8:$A$207,C18)&lt;&gt;1),"Unknown / duplicate definition",IF(B18=C18,"Self reference",IF(OR(NOT(ISNUMBER(D18)),D18&lt;=0,MOD(D18,1)&lt;&gt;0),"Set positive whole quantity",IF(E18="","Set child role suffix","OK"))))))</x:f>
        <x:v>OK</x:v>
      </x:c>
    </x:row>
    <x:row r="19" ht="22" customHeight="1">
      <x:c r="A19" s="10" t="str">
        <x:v>R-RACK-MGMT</x:v>
      </x:c>
      <x:c r="B19" s="10" t="str">
        <x:v>P-RACK</x:v>
      </x:c>
      <x:c r="C19" s="10" t="str">
        <x:v>P-MGMT</x:v>
      </x:c>
      <x:c r="D19" s="12" t="n">
        <x:v>2</x:v>
      </x:c>
      <x:c r="E19" s="10" t="str">
        <x:v>cable-management</x:v>
      </x:c>
      <x:c r="F19" s="10" t="str"/>
      <x:c r="G19" s="9" t="str">
        <x:f>IF(A19="","",IF(COUNTIFS('Recipes'!$A$8:$A$207,A19)&lt;&gt;1,"Duplicate recipe ID",IF(OR(COUNTIFS('Definitions'!$A$8:$A$207,B19)&lt;&gt;1,COUNTIFS('Definitions'!$A$8:$A$207,C19)&lt;&gt;1),"Unknown / duplicate definition",IF(B19=C19,"Self reference",IF(OR(NOT(ISNUMBER(D19)),D19&lt;=0,MOD(D19,1)&lt;&gt;0),"Set positive whole quantity",IF(E19="","Set child role suffix","OK"))))))</x:f>
        <x:v>OK</x:v>
      </x:c>
    </x:row>
    <x:row r="20" ht="22" customHeight="1">
      <x:c r="A20" s="10" t="str">
        <x:v>R-RACK-GND</x:v>
      </x:c>
      <x:c r="B20" s="10" t="str">
        <x:v>P-RACK</x:v>
      </x:c>
      <x:c r="C20" s="10" t="str">
        <x:v>P-GROUND</x:v>
      </x:c>
      <x:c r="D20" s="12" t="n">
        <x:v>1</x:v>
      </x:c>
      <x:c r="E20" s="10" t="str">
        <x:v>grounding</x:v>
      </x:c>
      <x:c r="F20" s="10" t="str"/>
      <x:c r="G20" s="9" t="str">
        <x:f>IF(A20="","",IF(COUNTIFS('Recipes'!$A$8:$A$207,A20)&lt;&gt;1,"Duplicate recipe ID",IF(OR(COUNTIFS('Definitions'!$A$8:$A$207,B20)&lt;&gt;1,COUNTIFS('Definitions'!$A$8:$A$207,C20)&lt;&gt;1),"Unknown / duplicate definition",IF(B20=C20,"Self reference",IF(OR(NOT(ISNUMBER(D20)),D20&lt;=0,MOD(D20,1)&lt;&gt;0),"Set positive whole quantity",IF(E20="","Set child role suffix","OK"))))))</x:f>
        <x:v>OK</x:v>
      </x:c>
    </x:row>
    <x:row r="21" ht="22" customHeight="1">
      <x:c r="A21" s="10" t="str">
        <x:v>R-RACK-LABEL</x:v>
      </x:c>
      <x:c r="B21" s="10" t="str">
        <x:v>P-RACK</x:v>
      </x:c>
      <x:c r="C21" s="10" t="str">
        <x:v>P-LABEL</x:v>
      </x:c>
      <x:c r="D21" s="12" t="n">
        <x:v>1</x:v>
      </x:c>
      <x:c r="E21" s="10" t="str">
        <x:v>labels</x:v>
      </x:c>
      <x:c r="F21" s="10" t="str"/>
      <x:c r="G21" s="9" t="str">
        <x:f>IF(A21="","",IF(COUNTIFS('Recipes'!$A$8:$A$207,A21)&lt;&gt;1,"Duplicate recipe ID",IF(OR(COUNTIFS('Definitions'!$A$8:$A$207,B21)&lt;&gt;1,COUNTIFS('Definitions'!$A$8:$A$207,C21)&lt;&gt;1),"Unknown / duplicate definition",IF(B21=C21,"Self reference",IF(OR(NOT(ISNUMBER(D21)),D21&lt;=0,MOD(D21,1)&lt;&gt;0),"Set positive whole quantity",IF(E21="","Set child role suffix","OK"))))))</x:f>
        <x:v>OK</x:v>
      </x:c>
    </x:row>
    <x:row r="22" ht="22" customHeight="1">
      <x:c r="A22" s="10" t="str">
        <x:v>R-SP-FIB</x:v>
      </x:c>
      <x:c r="B22" s="10" t="str">
        <x:v>A-SPARES</x:v>
      </x:c>
      <x:c r="C22" s="10" t="str">
        <x:v>P-FIBRE</x:v>
      </x:c>
      <x:c r="D22" s="12" t="n">
        <x:v>2</x:v>
      </x:c>
      <x:c r="E22" s="10" t="str">
        <x:v>fibre</x:v>
      </x:c>
      <x:c r="F22" s="10" t="str"/>
      <x:c r="G22" s="9" t="str">
        <x:f>IF(A22="","",IF(COUNTIFS('Recipes'!$A$8:$A$207,A22)&lt;&gt;1,"Duplicate recipe ID",IF(OR(COUNTIFS('Definitions'!$A$8:$A$207,B22)&lt;&gt;1,COUNTIFS('Definitions'!$A$8:$A$207,C22)&lt;&gt;1),"Unknown / duplicate definition",IF(B22=C22,"Self reference",IF(OR(NOT(ISNUMBER(D22)),D22&lt;=0,MOD(D22,1)&lt;&gt;0),"Set positive whole quantity",IF(E22="","Set child role suffix","OK"))))))</x:f>
        <x:v>OK</x:v>
      </x:c>
    </x:row>
    <x:row r="23" ht="22" customHeight="1">
      <x:c r="A23" s="10" t="str">
        <x:v>R-SP-POWER</x:v>
      </x:c>
      <x:c r="B23" s="10" t="str">
        <x:v>A-SPARES</x:v>
      </x:c>
      <x:c r="C23" s="10" t="str">
        <x:v>P-POWER</x:v>
      </x:c>
      <x:c r="D23" s="12" t="n">
        <x:v>2</x:v>
      </x:c>
      <x:c r="E23" s="10" t="str">
        <x:v>power</x:v>
      </x:c>
      <x:c r="F23" s="10" t="str"/>
      <x:c r="G23" s="9" t="str">
        <x:f>IF(A23="","",IF(COUNTIFS('Recipes'!$A$8:$A$207,A23)&lt;&gt;1,"Duplicate recipe ID",IF(OR(COUNTIFS('Definitions'!$A$8:$A$207,B23)&lt;&gt;1,COUNTIFS('Definitions'!$A$8:$A$207,C23)&lt;&gt;1),"Unknown / duplicate definition",IF(B23=C23,"Self reference",IF(OR(NOT(ISNUMBER(D23)),D23&lt;=0,MOD(D23,1)&lt;&gt;0),"Set positive whole quantity",IF(E23="","Set child role suffix","OK"))))))</x:f>
        <x:v>OK</x:v>
      </x:c>
    </x:row>
    <x:row r="24" ht="22" customHeight="1">
      <x:c r="A24" s="10" t="str">
        <x:v>R-SP-OPT</x:v>
      </x:c>
      <x:c r="B24" s="10" t="str">
        <x:v>A-SPARES</x:v>
      </x:c>
      <x:c r="C24" s="10" t="str">
        <x:v>P-OPTIC</x:v>
      </x:c>
      <x:c r="D24" s="12" t="n">
        <x:v>2</x:v>
      </x:c>
      <x:c r="E24" s="10" t="str">
        <x:v>transceivers</x:v>
      </x:c>
      <x:c r="F24" s="10" t="str"/>
      <x:c r="G24" s="9" t="str">
        <x:f>IF(A24="","",IF(COUNTIFS('Recipes'!$A$8:$A$207,A24)&lt;&gt;1,"Duplicate recipe ID",IF(OR(COUNTIFS('Definitions'!$A$8:$A$207,B24)&lt;&gt;1,COUNTIFS('Definitions'!$A$8:$A$207,C24)&lt;&gt;1),"Unknown / duplicate definition",IF(B24=C24,"Self reference",IF(OR(NOT(ISNUMBER(D24)),D24&lt;=0,MOD(D24,1)&lt;&gt;0),"Set positive whole quantity",IF(E24="","Set child role suffix","OK"))))))</x:f>
        <x:v>OK</x:v>
      </x:c>
    </x:row>
    <x:row r="25" ht="22" customHeight="1">
      <x:c r="A25" s="10"/>
      <x:c r="B25" s="10"/>
      <x:c r="C25" s="10"/>
      <x:c r="D25" s="12"/>
      <x:c r="E25" s="10"/>
      <x:c r="F25" s="10"/>
      <x:c r="G25" s="9" t="str">
        <x:f>IF(A25="","",IF(COUNTIFS('Recipes'!$A$8:$A$207,A25)&lt;&gt;1,"Duplicate recipe ID",IF(OR(COUNTIFS('Definitions'!$A$8:$A$207,B25)&lt;&gt;1,COUNTIFS('Definitions'!$A$8:$A$207,C25)&lt;&gt;1),"Unknown / duplicate definition",IF(B25=C25,"Self reference",IF(OR(NOT(ISNUMBER(D25)),D25&lt;=0,MOD(D25,1)&lt;&gt;0),"Set positive whole quantity",IF(E25="","Set child role suffix","OK"))))))</x:f>
      </x:c>
    </x:row>
    <x:row r="26" ht="22" customHeight="1">
      <x:c r="A26" s="10"/>
      <x:c r="B26" s="10"/>
      <x:c r="C26" s="10"/>
      <x:c r="D26" s="12"/>
      <x:c r="E26" s="10"/>
      <x:c r="F26" s="10"/>
      <x:c r="G26" s="9" t="str">
        <x:f>IF(A26="","",IF(COUNTIFS('Recipes'!$A$8:$A$207,A26)&lt;&gt;1,"Duplicate recipe ID",IF(OR(COUNTIFS('Definitions'!$A$8:$A$207,B26)&lt;&gt;1,COUNTIFS('Definitions'!$A$8:$A$207,C26)&lt;&gt;1),"Unknown / duplicate definition",IF(B26=C26,"Self reference",IF(OR(NOT(ISNUMBER(D26)),D26&lt;=0,MOD(D26,1)&lt;&gt;0),"Set positive whole quantity",IF(E26="","Set child role suffix","OK"))))))</x:f>
      </x:c>
    </x:row>
    <x:row r="27" ht="22" customHeight="1">
      <x:c r="A27" s="10"/>
      <x:c r="B27" s="10"/>
      <x:c r="C27" s="10"/>
      <x:c r="D27" s="12"/>
      <x:c r="E27" s="10"/>
      <x:c r="F27" s="10"/>
      <x:c r="G27" s="9" t="str">
        <x:f>IF(A27="","",IF(COUNTIFS('Recipes'!$A$8:$A$207,A27)&lt;&gt;1,"Duplicate recipe ID",IF(OR(COUNTIFS('Definitions'!$A$8:$A$207,B27)&lt;&gt;1,COUNTIFS('Definitions'!$A$8:$A$207,C27)&lt;&gt;1),"Unknown / duplicate definition",IF(B27=C27,"Self reference",IF(OR(NOT(ISNUMBER(D27)),D27&lt;=0,MOD(D27,1)&lt;&gt;0),"Set positive whole quantity",IF(E27="","Set child role suffix","OK"))))))</x:f>
      </x:c>
    </x:row>
    <x:row r="28" ht="22" customHeight="1">
      <x:c r="A28" s="10"/>
      <x:c r="B28" s="10"/>
      <x:c r="C28" s="10"/>
      <x:c r="D28" s="12"/>
      <x:c r="E28" s="10"/>
      <x:c r="F28" s="10"/>
      <x:c r="G28" s="9" t="str">
        <x:f>IF(A28="","",IF(COUNTIFS('Recipes'!$A$8:$A$207,A28)&lt;&gt;1,"Duplicate recipe ID",IF(OR(COUNTIFS('Definitions'!$A$8:$A$207,B28)&lt;&gt;1,COUNTIFS('Definitions'!$A$8:$A$207,C28)&lt;&gt;1),"Unknown / duplicate definition",IF(B28=C28,"Self reference",IF(OR(NOT(ISNUMBER(D28)),D28&lt;=0,MOD(D28,1)&lt;&gt;0),"Set positive whole quantity",IF(E28="","Set child role suffix","OK"))))))</x:f>
      </x:c>
    </x:row>
    <x:row r="29" ht="22" customHeight="1">
      <x:c r="A29" s="10"/>
      <x:c r="B29" s="10"/>
      <x:c r="C29" s="10"/>
      <x:c r="D29" s="12"/>
      <x:c r="E29" s="10"/>
      <x:c r="F29" s="10"/>
      <x:c r="G29" s="9" t="str">
        <x:f>IF(A29="","",IF(COUNTIFS('Recipes'!$A$8:$A$207,A29)&lt;&gt;1,"Duplicate recipe ID",IF(OR(COUNTIFS('Definitions'!$A$8:$A$207,B29)&lt;&gt;1,COUNTIFS('Definitions'!$A$8:$A$207,C29)&lt;&gt;1),"Unknown / duplicate definition",IF(B29=C29,"Self reference",IF(OR(NOT(ISNUMBER(D29)),D29&lt;=0,MOD(D29,1)&lt;&gt;0),"Set positive whole quantity",IF(E29="","Set child role suffix","OK"))))))</x:f>
      </x:c>
    </x:row>
    <x:row r="30" ht="22" customHeight="1">
      <x:c r="A30" s="10"/>
      <x:c r="B30" s="10"/>
      <x:c r="C30" s="10"/>
      <x:c r="D30" s="12"/>
      <x:c r="E30" s="10"/>
      <x:c r="F30" s="10"/>
      <x:c r="G30" s="9" t="str">
        <x:f>IF(A30="","",IF(COUNTIFS('Recipes'!$A$8:$A$207,A30)&lt;&gt;1,"Duplicate recipe ID",IF(OR(COUNTIFS('Definitions'!$A$8:$A$207,B30)&lt;&gt;1,COUNTIFS('Definitions'!$A$8:$A$207,C30)&lt;&gt;1),"Unknown / duplicate definition",IF(B30=C30,"Self reference",IF(OR(NOT(ISNUMBER(D30)),D30&lt;=0,MOD(D30,1)&lt;&gt;0),"Set positive whole quantity",IF(E30="","Set child role suffix","OK"))))))</x:f>
      </x:c>
    </x:row>
    <x:row r="31" ht="22" customHeight="1">
      <x:c r="A31" s="10"/>
      <x:c r="B31" s="10"/>
      <x:c r="C31" s="10"/>
      <x:c r="D31" s="12"/>
      <x:c r="E31" s="10"/>
      <x:c r="F31" s="10"/>
      <x:c r="G31" s="9" t="str">
        <x:f>IF(A31="","",IF(COUNTIFS('Recipes'!$A$8:$A$207,A31)&lt;&gt;1,"Duplicate recipe ID",IF(OR(COUNTIFS('Definitions'!$A$8:$A$207,B31)&lt;&gt;1,COUNTIFS('Definitions'!$A$8:$A$207,C31)&lt;&gt;1),"Unknown / duplicate definition",IF(B31=C31,"Self reference",IF(OR(NOT(ISNUMBER(D31)),D31&lt;=0,MOD(D31,1)&lt;&gt;0),"Set positive whole quantity",IF(E31="","Set child role suffix","OK"))))))</x:f>
      </x:c>
    </x:row>
    <x:row r="32" ht="22" customHeight="1">
      <x:c r="A32" s="10"/>
      <x:c r="B32" s="10"/>
      <x:c r="C32" s="10"/>
      <x:c r="D32" s="12"/>
      <x:c r="E32" s="10"/>
      <x:c r="F32" s="10"/>
      <x:c r="G32" s="9" t="str">
        <x:f>IF(A32="","",IF(COUNTIFS('Recipes'!$A$8:$A$207,A32)&lt;&gt;1,"Duplicate recipe ID",IF(OR(COUNTIFS('Definitions'!$A$8:$A$207,B32)&lt;&gt;1,COUNTIFS('Definitions'!$A$8:$A$207,C32)&lt;&gt;1),"Unknown / duplicate definition",IF(B32=C32,"Self reference",IF(OR(NOT(ISNUMBER(D32)),D32&lt;=0,MOD(D32,1)&lt;&gt;0),"Set positive whole quantity",IF(E32="","Set child role suffix","OK"))))))</x:f>
      </x:c>
    </x:row>
    <x:row r="33" ht="22" customHeight="1">
      <x:c r="A33" s="10"/>
      <x:c r="B33" s="10"/>
      <x:c r="C33" s="10"/>
      <x:c r="D33" s="12"/>
      <x:c r="E33" s="10"/>
      <x:c r="F33" s="10"/>
      <x:c r="G33" s="9" t="str">
        <x:f>IF(A33="","",IF(COUNTIFS('Recipes'!$A$8:$A$207,A33)&lt;&gt;1,"Duplicate recipe ID",IF(OR(COUNTIFS('Definitions'!$A$8:$A$207,B33)&lt;&gt;1,COUNTIFS('Definitions'!$A$8:$A$207,C33)&lt;&gt;1),"Unknown / duplicate definition",IF(B33=C33,"Self reference",IF(OR(NOT(ISNUMBER(D33)),D33&lt;=0,MOD(D33,1)&lt;&gt;0),"Set positive whole quantity",IF(E33="","Set child role suffix","OK"))))))</x:f>
      </x:c>
    </x:row>
    <x:row r="34" ht="22" customHeight="1">
      <x:c r="A34" s="10"/>
      <x:c r="B34" s="10"/>
      <x:c r="C34" s="10"/>
      <x:c r="D34" s="12"/>
      <x:c r="E34" s="10"/>
      <x:c r="F34" s="10"/>
      <x:c r="G34" s="9" t="str">
        <x:f>IF(A34="","",IF(COUNTIFS('Recipes'!$A$8:$A$207,A34)&lt;&gt;1,"Duplicate recipe ID",IF(OR(COUNTIFS('Definitions'!$A$8:$A$207,B34)&lt;&gt;1,COUNTIFS('Definitions'!$A$8:$A$207,C34)&lt;&gt;1),"Unknown / duplicate definition",IF(B34=C34,"Self reference",IF(OR(NOT(ISNUMBER(D34)),D34&lt;=0,MOD(D34,1)&lt;&gt;0),"Set positive whole quantity",IF(E34="","Set child role suffix","OK"))))))</x:f>
      </x:c>
    </x:row>
    <x:row r="35" ht="22" customHeight="1">
      <x:c r="A35" s="10"/>
      <x:c r="B35" s="10"/>
      <x:c r="C35" s="10"/>
      <x:c r="D35" s="12"/>
      <x:c r="E35" s="10"/>
      <x:c r="F35" s="10"/>
      <x:c r="G35" s="9" t="str">
        <x:f>IF(A35="","",IF(COUNTIFS('Recipes'!$A$8:$A$207,A35)&lt;&gt;1,"Duplicate recipe ID",IF(OR(COUNTIFS('Definitions'!$A$8:$A$207,B35)&lt;&gt;1,COUNTIFS('Definitions'!$A$8:$A$207,C35)&lt;&gt;1),"Unknown / duplicate definition",IF(B35=C35,"Self reference",IF(OR(NOT(ISNUMBER(D35)),D35&lt;=0,MOD(D35,1)&lt;&gt;0),"Set positive whole quantity",IF(E35="","Set child role suffix","OK"))))))</x:f>
      </x:c>
    </x:row>
    <x:row r="36" ht="22" customHeight="1">
      <x:c r="A36" s="10"/>
      <x:c r="B36" s="10"/>
      <x:c r="C36" s="10"/>
      <x:c r="D36" s="12"/>
      <x:c r="E36" s="10"/>
      <x:c r="F36" s="10"/>
      <x:c r="G36" s="9" t="str">
        <x:f>IF(A36="","",IF(COUNTIFS('Recipes'!$A$8:$A$207,A36)&lt;&gt;1,"Duplicate recipe ID",IF(OR(COUNTIFS('Definitions'!$A$8:$A$207,B36)&lt;&gt;1,COUNTIFS('Definitions'!$A$8:$A$207,C36)&lt;&gt;1),"Unknown / duplicate definition",IF(B36=C36,"Self reference",IF(OR(NOT(ISNUMBER(D36)),D36&lt;=0,MOD(D36,1)&lt;&gt;0),"Set positive whole quantity",IF(E36="","Set child role suffix","OK"))))))</x:f>
      </x:c>
    </x:row>
    <x:row r="37" ht="22" customHeight="1">
      <x:c r="A37" s="10"/>
      <x:c r="B37" s="10"/>
      <x:c r="C37" s="10"/>
      <x:c r="D37" s="12"/>
      <x:c r="E37" s="10"/>
      <x:c r="F37" s="10"/>
      <x:c r="G37" s="9" t="str">
        <x:f>IF(A37="","",IF(COUNTIFS('Recipes'!$A$8:$A$207,A37)&lt;&gt;1,"Duplicate recipe ID",IF(OR(COUNTIFS('Definitions'!$A$8:$A$207,B37)&lt;&gt;1,COUNTIFS('Definitions'!$A$8:$A$207,C37)&lt;&gt;1),"Unknown / duplicate definition",IF(B37=C37,"Self reference",IF(OR(NOT(ISNUMBER(D37)),D37&lt;=0,MOD(D37,1)&lt;&gt;0),"Set positive whole quantity",IF(E37="","Set child role suffix","OK"))))))</x:f>
      </x:c>
    </x:row>
    <x:row r="38" ht="22" customHeight="1">
      <x:c r="A38" s="10"/>
      <x:c r="B38" s="10"/>
      <x:c r="C38" s="10"/>
      <x:c r="D38" s="12"/>
      <x:c r="E38" s="10"/>
      <x:c r="F38" s="10"/>
      <x:c r="G38" s="9" t="str">
        <x:f>IF(A38="","",IF(COUNTIFS('Recipes'!$A$8:$A$207,A38)&lt;&gt;1,"Duplicate recipe ID",IF(OR(COUNTIFS('Definitions'!$A$8:$A$207,B38)&lt;&gt;1,COUNTIFS('Definitions'!$A$8:$A$207,C38)&lt;&gt;1),"Unknown / duplicate definition",IF(B38=C38,"Self reference",IF(OR(NOT(ISNUMBER(D38)),D38&lt;=0,MOD(D38,1)&lt;&gt;0),"Set positive whole quantity",IF(E38="","Set child role suffix","OK"))))))</x:f>
      </x:c>
    </x:row>
    <x:row r="39" ht="22" customHeight="1">
      <x:c r="A39" s="10"/>
      <x:c r="B39" s="10"/>
      <x:c r="C39" s="10"/>
      <x:c r="D39" s="12"/>
      <x:c r="E39" s="10"/>
      <x:c r="F39" s="10"/>
      <x:c r="G39" s="9" t="str">
        <x:f>IF(A39="","",IF(COUNTIFS('Recipes'!$A$8:$A$207,A39)&lt;&gt;1,"Duplicate recipe ID",IF(OR(COUNTIFS('Definitions'!$A$8:$A$207,B39)&lt;&gt;1,COUNTIFS('Definitions'!$A$8:$A$207,C39)&lt;&gt;1),"Unknown / duplicate definition",IF(B39=C39,"Self reference",IF(OR(NOT(ISNUMBER(D39)),D39&lt;=0,MOD(D39,1)&lt;&gt;0),"Set positive whole quantity",IF(E39="","Set child role suffix","OK"))))))</x:f>
      </x:c>
    </x:row>
    <x:row r="40" ht="22" customHeight="1">
      <x:c r="A40" s="10"/>
      <x:c r="B40" s="10"/>
      <x:c r="C40" s="10"/>
      <x:c r="D40" s="12"/>
      <x:c r="E40" s="10"/>
      <x:c r="F40" s="10"/>
      <x:c r="G40" s="9" t="str">
        <x:f>IF(A40="","",IF(COUNTIFS('Recipes'!$A$8:$A$207,A40)&lt;&gt;1,"Duplicate recipe ID",IF(OR(COUNTIFS('Definitions'!$A$8:$A$207,B40)&lt;&gt;1,COUNTIFS('Definitions'!$A$8:$A$207,C40)&lt;&gt;1),"Unknown / duplicate definition",IF(B40=C40,"Self reference",IF(OR(NOT(ISNUMBER(D40)),D40&lt;=0,MOD(D40,1)&lt;&gt;0),"Set positive whole quantity",IF(E40="","Set child role suffix","OK"))))))</x:f>
      </x:c>
    </x:row>
    <x:row r="41" ht="22" customHeight="1">
      <x:c r="A41" s="10"/>
      <x:c r="B41" s="10"/>
      <x:c r="C41" s="10"/>
      <x:c r="D41" s="12"/>
      <x:c r="E41" s="10"/>
      <x:c r="F41" s="10"/>
      <x:c r="G41" s="9" t="str">
        <x:f>IF(A41="","",IF(COUNTIFS('Recipes'!$A$8:$A$207,A41)&lt;&gt;1,"Duplicate recipe ID",IF(OR(COUNTIFS('Definitions'!$A$8:$A$207,B41)&lt;&gt;1,COUNTIFS('Definitions'!$A$8:$A$207,C41)&lt;&gt;1),"Unknown / duplicate definition",IF(B41=C41,"Self reference",IF(OR(NOT(ISNUMBER(D41)),D41&lt;=0,MOD(D41,1)&lt;&gt;0),"Set positive whole quantity",IF(E41="","Set child role suffix","OK"))))))</x:f>
      </x:c>
    </x:row>
    <x:row r="42" ht="22" customHeight="1">
      <x:c r="A42" s="10"/>
      <x:c r="B42" s="10"/>
      <x:c r="C42" s="10"/>
      <x:c r="D42" s="12"/>
      <x:c r="E42" s="10"/>
      <x:c r="F42" s="10"/>
      <x:c r="G42" s="9" t="str">
        <x:f>IF(A42="","",IF(COUNTIFS('Recipes'!$A$8:$A$207,A42)&lt;&gt;1,"Duplicate recipe ID",IF(OR(COUNTIFS('Definitions'!$A$8:$A$207,B42)&lt;&gt;1,COUNTIFS('Definitions'!$A$8:$A$207,C42)&lt;&gt;1),"Unknown / duplicate definition",IF(B42=C42,"Self reference",IF(OR(NOT(ISNUMBER(D42)),D42&lt;=0,MOD(D42,1)&lt;&gt;0),"Set positive whole quantity",IF(E42="","Set child role suffix","OK"))))))</x:f>
      </x:c>
    </x:row>
    <x:row r="43" ht="22" customHeight="1">
      <x:c r="A43" s="10"/>
      <x:c r="B43" s="10"/>
      <x:c r="C43" s="10"/>
      <x:c r="D43" s="12"/>
      <x:c r="E43" s="10"/>
      <x:c r="F43" s="10"/>
      <x:c r="G43" s="9" t="str">
        <x:f>IF(A43="","",IF(COUNTIFS('Recipes'!$A$8:$A$207,A43)&lt;&gt;1,"Duplicate recipe ID",IF(OR(COUNTIFS('Definitions'!$A$8:$A$207,B43)&lt;&gt;1,COUNTIFS('Definitions'!$A$8:$A$207,C43)&lt;&gt;1),"Unknown / duplicate definition",IF(B43=C43,"Self reference",IF(OR(NOT(ISNUMBER(D43)),D43&lt;=0,MOD(D43,1)&lt;&gt;0),"Set positive whole quantity",IF(E43="","Set child role suffix","OK"))))))</x:f>
      </x:c>
    </x:row>
    <x:row r="44" ht="22" customHeight="1">
      <x:c r="A44" s="10"/>
      <x:c r="B44" s="10"/>
      <x:c r="C44" s="10"/>
      <x:c r="D44" s="12"/>
      <x:c r="E44" s="10"/>
      <x:c r="F44" s="10"/>
      <x:c r="G44" s="9" t="str">
        <x:f>IF(A44="","",IF(COUNTIFS('Recipes'!$A$8:$A$207,A44)&lt;&gt;1,"Duplicate recipe ID",IF(OR(COUNTIFS('Definitions'!$A$8:$A$207,B44)&lt;&gt;1,COUNTIFS('Definitions'!$A$8:$A$207,C44)&lt;&gt;1),"Unknown / duplicate definition",IF(B44=C44,"Self reference",IF(OR(NOT(ISNUMBER(D44)),D44&lt;=0,MOD(D44,1)&lt;&gt;0),"Set positive whole quantity",IF(E44="","Set child role suffix","OK"))))))</x:f>
      </x:c>
    </x:row>
    <x:row r="45" ht="22" customHeight="1">
      <x:c r="A45" s="10"/>
      <x:c r="B45" s="10"/>
      <x:c r="C45" s="10"/>
      <x:c r="D45" s="12"/>
      <x:c r="E45" s="10"/>
      <x:c r="F45" s="10"/>
      <x:c r="G45" s="9" t="str">
        <x:f>IF(A45="","",IF(COUNTIFS('Recipes'!$A$8:$A$207,A45)&lt;&gt;1,"Duplicate recipe ID",IF(OR(COUNTIFS('Definitions'!$A$8:$A$207,B45)&lt;&gt;1,COUNTIFS('Definitions'!$A$8:$A$207,C45)&lt;&gt;1),"Unknown / duplicate definition",IF(B45=C45,"Self reference",IF(OR(NOT(ISNUMBER(D45)),D45&lt;=0,MOD(D45,1)&lt;&gt;0),"Set positive whole quantity",IF(E45="","Set child role suffix","OK"))))))</x:f>
      </x:c>
    </x:row>
    <x:row r="46" ht="22" customHeight="1">
      <x:c r="A46" s="10"/>
      <x:c r="B46" s="10"/>
      <x:c r="C46" s="10"/>
      <x:c r="D46" s="12"/>
      <x:c r="E46" s="10"/>
      <x:c r="F46" s="10"/>
      <x:c r="G46" s="9" t="str">
        <x:f>IF(A46="","",IF(COUNTIFS('Recipes'!$A$8:$A$207,A46)&lt;&gt;1,"Duplicate recipe ID",IF(OR(COUNTIFS('Definitions'!$A$8:$A$207,B46)&lt;&gt;1,COUNTIFS('Definitions'!$A$8:$A$207,C46)&lt;&gt;1),"Unknown / duplicate definition",IF(B46=C46,"Self reference",IF(OR(NOT(ISNUMBER(D46)),D46&lt;=0,MOD(D46,1)&lt;&gt;0),"Set positive whole quantity",IF(E46="","Set child role suffix","OK"))))))</x:f>
      </x:c>
    </x:row>
    <x:row r="47" ht="22" customHeight="1">
      <x:c r="A47" s="10"/>
      <x:c r="B47" s="10"/>
      <x:c r="C47" s="10"/>
      <x:c r="D47" s="12"/>
      <x:c r="E47" s="10"/>
      <x:c r="F47" s="10"/>
      <x:c r="G47" s="9" t="str">
        <x:f>IF(A47="","",IF(COUNTIFS('Recipes'!$A$8:$A$207,A47)&lt;&gt;1,"Duplicate recipe ID",IF(OR(COUNTIFS('Definitions'!$A$8:$A$207,B47)&lt;&gt;1,COUNTIFS('Definitions'!$A$8:$A$207,C47)&lt;&gt;1),"Unknown / duplicate definition",IF(B47=C47,"Self reference",IF(OR(NOT(ISNUMBER(D47)),D47&lt;=0,MOD(D47,1)&lt;&gt;0),"Set positive whole quantity",IF(E47="","Set child role suffix","OK"))))))</x:f>
      </x:c>
    </x:row>
    <x:row r="48" ht="22" customHeight="1">
      <x:c r="A48" s="10"/>
      <x:c r="B48" s="10"/>
      <x:c r="C48" s="10"/>
      <x:c r="D48" s="12"/>
      <x:c r="E48" s="10"/>
      <x:c r="F48" s="10"/>
      <x:c r="G48" s="9" t="str">
        <x:f>IF(A48="","",IF(COUNTIFS('Recipes'!$A$8:$A$207,A48)&lt;&gt;1,"Duplicate recipe ID",IF(OR(COUNTIFS('Definitions'!$A$8:$A$207,B48)&lt;&gt;1,COUNTIFS('Definitions'!$A$8:$A$207,C48)&lt;&gt;1),"Unknown / duplicate definition",IF(B48=C48,"Self reference",IF(OR(NOT(ISNUMBER(D48)),D48&lt;=0,MOD(D48,1)&lt;&gt;0),"Set positive whole quantity",IF(E48="","Set child role suffix","OK"))))))</x:f>
      </x:c>
    </x:row>
    <x:row r="49" ht="22" customHeight="1">
      <x:c r="A49" s="10"/>
      <x:c r="B49" s="10"/>
      <x:c r="C49" s="10"/>
      <x:c r="D49" s="12"/>
      <x:c r="E49" s="10"/>
      <x:c r="F49" s="10"/>
      <x:c r="G49" s="9" t="str">
        <x:f>IF(A49="","",IF(COUNTIFS('Recipes'!$A$8:$A$207,A49)&lt;&gt;1,"Duplicate recipe ID",IF(OR(COUNTIFS('Definitions'!$A$8:$A$207,B49)&lt;&gt;1,COUNTIFS('Definitions'!$A$8:$A$207,C49)&lt;&gt;1),"Unknown / duplicate definition",IF(B49=C49,"Self reference",IF(OR(NOT(ISNUMBER(D49)),D49&lt;=0,MOD(D49,1)&lt;&gt;0),"Set positive whole quantity",IF(E49="","Set child role suffix","OK"))))))</x:f>
      </x:c>
    </x:row>
    <x:row r="50" ht="22" customHeight="1">
      <x:c r="A50" s="10"/>
      <x:c r="B50" s="10"/>
      <x:c r="C50" s="10"/>
      <x:c r="D50" s="12"/>
      <x:c r="E50" s="10"/>
      <x:c r="F50" s="10"/>
      <x:c r="G50" s="9" t="str">
        <x:f>IF(A50="","",IF(COUNTIFS('Recipes'!$A$8:$A$207,A50)&lt;&gt;1,"Duplicate recipe ID",IF(OR(COUNTIFS('Definitions'!$A$8:$A$207,B50)&lt;&gt;1,COUNTIFS('Definitions'!$A$8:$A$207,C50)&lt;&gt;1),"Unknown / duplicate definition",IF(B50=C50,"Self reference",IF(OR(NOT(ISNUMBER(D50)),D50&lt;=0,MOD(D50,1)&lt;&gt;0),"Set positive whole quantity",IF(E50="","Set child role suffix","OK"))))))</x:f>
      </x:c>
    </x:row>
    <x:row r="51" ht="22" customHeight="1">
      <x:c r="A51" s="10"/>
      <x:c r="B51" s="10"/>
      <x:c r="C51" s="10"/>
      <x:c r="D51" s="12"/>
      <x:c r="E51" s="10"/>
      <x:c r="F51" s="10"/>
      <x:c r="G51" s="9" t="str">
        <x:f>IF(A51="","",IF(COUNTIFS('Recipes'!$A$8:$A$207,A51)&lt;&gt;1,"Duplicate recipe ID",IF(OR(COUNTIFS('Definitions'!$A$8:$A$207,B51)&lt;&gt;1,COUNTIFS('Definitions'!$A$8:$A$207,C51)&lt;&gt;1),"Unknown / duplicate definition",IF(B51=C51,"Self reference",IF(OR(NOT(ISNUMBER(D51)),D51&lt;=0,MOD(D51,1)&lt;&gt;0),"Set positive whole quantity",IF(E51="","Set child role suffix","OK"))))))</x:f>
      </x:c>
    </x:row>
    <x:row r="52" ht="22" customHeight="1">
      <x:c r="A52" s="10"/>
      <x:c r="B52" s="10"/>
      <x:c r="C52" s="10"/>
      <x:c r="D52" s="12"/>
      <x:c r="E52" s="10"/>
      <x:c r="F52" s="10"/>
      <x:c r="G52" s="9" t="str">
        <x:f>IF(A52="","",IF(COUNTIFS('Recipes'!$A$8:$A$207,A52)&lt;&gt;1,"Duplicate recipe ID",IF(OR(COUNTIFS('Definitions'!$A$8:$A$207,B52)&lt;&gt;1,COUNTIFS('Definitions'!$A$8:$A$207,C52)&lt;&gt;1),"Unknown / duplicate definition",IF(B52=C52,"Self reference",IF(OR(NOT(ISNUMBER(D52)),D52&lt;=0,MOD(D52,1)&lt;&gt;0),"Set positive whole quantity",IF(E52="","Set child role suffix","OK"))))))</x:f>
      </x:c>
    </x:row>
    <x:row r="53" ht="22" customHeight="1">
      <x:c r="A53" s="10"/>
      <x:c r="B53" s="10"/>
      <x:c r="C53" s="10"/>
      <x:c r="D53" s="12"/>
      <x:c r="E53" s="10"/>
      <x:c r="F53" s="10"/>
      <x:c r="G53" s="9" t="str">
        <x:f>IF(A53="","",IF(COUNTIFS('Recipes'!$A$8:$A$207,A53)&lt;&gt;1,"Duplicate recipe ID",IF(OR(COUNTIFS('Definitions'!$A$8:$A$207,B53)&lt;&gt;1,COUNTIFS('Definitions'!$A$8:$A$207,C53)&lt;&gt;1),"Unknown / duplicate definition",IF(B53=C53,"Self reference",IF(OR(NOT(ISNUMBER(D53)),D53&lt;=0,MOD(D53,1)&lt;&gt;0),"Set positive whole quantity",IF(E53="","Set child role suffix","OK"))))))</x:f>
      </x:c>
    </x:row>
    <x:row r="54" ht="22" customHeight="1">
      <x:c r="A54" s="10"/>
      <x:c r="B54" s="10"/>
      <x:c r="C54" s="10"/>
      <x:c r="D54" s="12"/>
      <x:c r="E54" s="10"/>
      <x:c r="F54" s="10"/>
      <x:c r="G54" s="9" t="str">
        <x:f>IF(A54="","",IF(COUNTIFS('Recipes'!$A$8:$A$207,A54)&lt;&gt;1,"Duplicate recipe ID",IF(OR(COUNTIFS('Definitions'!$A$8:$A$207,B54)&lt;&gt;1,COUNTIFS('Definitions'!$A$8:$A$207,C54)&lt;&gt;1),"Unknown / duplicate definition",IF(B54=C54,"Self reference",IF(OR(NOT(ISNUMBER(D54)),D54&lt;=0,MOD(D54,1)&lt;&gt;0),"Set positive whole quantity",IF(E54="","Set child role suffix","OK"))))))</x:f>
      </x:c>
    </x:row>
    <x:row r="55" ht="22" customHeight="1">
      <x:c r="A55" s="10"/>
      <x:c r="B55" s="10"/>
      <x:c r="C55" s="10"/>
      <x:c r="D55" s="12"/>
      <x:c r="E55" s="10"/>
      <x:c r="F55" s="10"/>
      <x:c r="G55" s="9" t="str">
        <x:f>IF(A55="","",IF(COUNTIFS('Recipes'!$A$8:$A$207,A55)&lt;&gt;1,"Duplicate recipe ID",IF(OR(COUNTIFS('Definitions'!$A$8:$A$207,B55)&lt;&gt;1,COUNTIFS('Definitions'!$A$8:$A$207,C55)&lt;&gt;1),"Unknown / duplicate definition",IF(B55=C55,"Self reference",IF(OR(NOT(ISNUMBER(D55)),D55&lt;=0,MOD(D55,1)&lt;&gt;0),"Set positive whole quantity",IF(E55="","Set child role suffix","OK"))))))</x:f>
      </x:c>
    </x:row>
    <x:row r="56" ht="22" customHeight="1">
      <x:c r="A56" s="10"/>
      <x:c r="B56" s="10"/>
      <x:c r="C56" s="10"/>
      <x:c r="D56" s="12"/>
      <x:c r="E56" s="10"/>
      <x:c r="F56" s="10"/>
      <x:c r="G56" s="9" t="str">
        <x:f>IF(A56="","",IF(COUNTIFS('Recipes'!$A$8:$A$207,A56)&lt;&gt;1,"Duplicate recipe ID",IF(OR(COUNTIFS('Definitions'!$A$8:$A$207,B56)&lt;&gt;1,COUNTIFS('Definitions'!$A$8:$A$207,C56)&lt;&gt;1),"Unknown / duplicate definition",IF(B56=C56,"Self reference",IF(OR(NOT(ISNUMBER(D56)),D56&lt;=0,MOD(D56,1)&lt;&gt;0),"Set positive whole quantity",IF(E56="","Set child role suffix","OK"))))))</x:f>
      </x:c>
    </x:row>
    <x:row r="57" ht="22" customHeight="1">
      <x:c r="A57" s="10"/>
      <x:c r="B57" s="10"/>
      <x:c r="C57" s="10"/>
      <x:c r="D57" s="12"/>
      <x:c r="E57" s="10"/>
      <x:c r="F57" s="10"/>
      <x:c r="G57" s="9" t="str">
        <x:f>IF(A57="","",IF(COUNTIFS('Recipes'!$A$8:$A$207,A57)&lt;&gt;1,"Duplicate recipe ID",IF(OR(COUNTIFS('Definitions'!$A$8:$A$207,B57)&lt;&gt;1,COUNTIFS('Definitions'!$A$8:$A$207,C57)&lt;&gt;1),"Unknown / duplicate definition",IF(B57=C57,"Self reference",IF(OR(NOT(ISNUMBER(D57)),D57&lt;=0,MOD(D57,1)&lt;&gt;0),"Set positive whole quantity",IF(E57="","Set child role suffix","OK"))))))</x:f>
      </x:c>
    </x:row>
    <x:row r="58" ht="22" customHeight="1">
      <x:c r="A58" s="10"/>
      <x:c r="B58" s="10"/>
      <x:c r="C58" s="10"/>
      <x:c r="D58" s="12"/>
      <x:c r="E58" s="10"/>
      <x:c r="F58" s="10"/>
      <x:c r="G58" s="9" t="str">
        <x:f>IF(A58="","",IF(COUNTIFS('Recipes'!$A$8:$A$207,A58)&lt;&gt;1,"Duplicate recipe ID",IF(OR(COUNTIFS('Definitions'!$A$8:$A$207,B58)&lt;&gt;1,COUNTIFS('Definitions'!$A$8:$A$207,C58)&lt;&gt;1),"Unknown / duplicate definition",IF(B58=C58,"Self reference",IF(OR(NOT(ISNUMBER(D58)),D58&lt;=0,MOD(D58,1)&lt;&gt;0),"Set positive whole quantity",IF(E58="","Set child role suffix","OK"))))))</x:f>
      </x:c>
    </x:row>
    <x:row r="59" ht="22" customHeight="1">
      <x:c r="A59" s="10"/>
      <x:c r="B59" s="10"/>
      <x:c r="C59" s="10"/>
      <x:c r="D59" s="12"/>
      <x:c r="E59" s="10"/>
      <x:c r="F59" s="10"/>
      <x:c r="G59" s="9" t="str">
        <x:f>IF(A59="","",IF(COUNTIFS('Recipes'!$A$8:$A$207,A59)&lt;&gt;1,"Duplicate recipe ID",IF(OR(COUNTIFS('Definitions'!$A$8:$A$207,B59)&lt;&gt;1,COUNTIFS('Definitions'!$A$8:$A$207,C59)&lt;&gt;1),"Unknown / duplicate definition",IF(B59=C59,"Self reference",IF(OR(NOT(ISNUMBER(D59)),D59&lt;=0,MOD(D59,1)&lt;&gt;0),"Set positive whole quantity",IF(E59="","Set child role suffix","OK"))))))</x:f>
      </x:c>
    </x:row>
    <x:row r="60" ht="22" customHeight="1">
      <x:c r="A60" s="10"/>
      <x:c r="B60" s="10"/>
      <x:c r="C60" s="10"/>
      <x:c r="D60" s="12"/>
      <x:c r="E60" s="10"/>
      <x:c r="F60" s="10"/>
      <x:c r="G60" s="9" t="str">
        <x:f>IF(A60="","",IF(COUNTIFS('Recipes'!$A$8:$A$207,A60)&lt;&gt;1,"Duplicate recipe ID",IF(OR(COUNTIFS('Definitions'!$A$8:$A$207,B60)&lt;&gt;1,COUNTIFS('Definitions'!$A$8:$A$207,C60)&lt;&gt;1),"Unknown / duplicate definition",IF(B60=C60,"Self reference",IF(OR(NOT(ISNUMBER(D60)),D60&lt;=0,MOD(D60,1)&lt;&gt;0),"Set positive whole quantity",IF(E60="","Set child role suffix","OK"))))))</x:f>
      </x:c>
    </x:row>
    <x:row r="61" ht="22" customHeight="1">
      <x:c r="A61" s="10"/>
      <x:c r="B61" s="10"/>
      <x:c r="C61" s="10"/>
      <x:c r="D61" s="12"/>
      <x:c r="E61" s="10"/>
      <x:c r="F61" s="10"/>
      <x:c r="G61" s="9" t="str">
        <x:f>IF(A61="","",IF(COUNTIFS('Recipes'!$A$8:$A$207,A61)&lt;&gt;1,"Duplicate recipe ID",IF(OR(COUNTIFS('Definitions'!$A$8:$A$207,B61)&lt;&gt;1,COUNTIFS('Definitions'!$A$8:$A$207,C61)&lt;&gt;1),"Unknown / duplicate definition",IF(B61=C61,"Self reference",IF(OR(NOT(ISNUMBER(D61)),D61&lt;=0,MOD(D61,1)&lt;&gt;0),"Set positive whole quantity",IF(E61="","Set child role suffix","OK"))))))</x:f>
      </x:c>
    </x:row>
    <x:row r="62" ht="22" customHeight="1">
      <x:c r="A62" s="10"/>
      <x:c r="B62" s="10"/>
      <x:c r="C62" s="10"/>
      <x:c r="D62" s="12"/>
      <x:c r="E62" s="10"/>
      <x:c r="F62" s="10"/>
      <x:c r="G62" s="9" t="str">
        <x:f>IF(A62="","",IF(COUNTIFS('Recipes'!$A$8:$A$207,A62)&lt;&gt;1,"Duplicate recipe ID",IF(OR(COUNTIFS('Definitions'!$A$8:$A$207,B62)&lt;&gt;1,COUNTIFS('Definitions'!$A$8:$A$207,C62)&lt;&gt;1),"Unknown / duplicate definition",IF(B62=C62,"Self reference",IF(OR(NOT(ISNUMBER(D62)),D62&lt;=0,MOD(D62,1)&lt;&gt;0),"Set positive whole quantity",IF(E62="","Set child role suffix","OK"))))))</x:f>
      </x:c>
    </x:row>
    <x:row r="63" ht="22" customHeight="1">
      <x:c r="A63" s="10"/>
      <x:c r="B63" s="10"/>
      <x:c r="C63" s="10"/>
      <x:c r="D63" s="12"/>
      <x:c r="E63" s="10"/>
      <x:c r="F63" s="10"/>
      <x:c r="G63" s="9" t="str">
        <x:f>IF(A63="","",IF(COUNTIFS('Recipes'!$A$8:$A$207,A63)&lt;&gt;1,"Duplicate recipe ID",IF(OR(COUNTIFS('Definitions'!$A$8:$A$207,B63)&lt;&gt;1,COUNTIFS('Definitions'!$A$8:$A$207,C63)&lt;&gt;1),"Unknown / duplicate definition",IF(B63=C63,"Self reference",IF(OR(NOT(ISNUMBER(D63)),D63&lt;=0,MOD(D63,1)&lt;&gt;0),"Set positive whole quantity",IF(E63="","Set child role suffix","OK"))))))</x:f>
      </x:c>
    </x:row>
    <x:row r="64" ht="22" customHeight="1">
      <x:c r="A64" s="10"/>
      <x:c r="B64" s="10"/>
      <x:c r="C64" s="10"/>
      <x:c r="D64" s="12"/>
      <x:c r="E64" s="10"/>
      <x:c r="F64" s="10"/>
      <x:c r="G64" s="9" t="str">
        <x:f>IF(A64="","",IF(COUNTIFS('Recipes'!$A$8:$A$207,A64)&lt;&gt;1,"Duplicate recipe ID",IF(OR(COUNTIFS('Definitions'!$A$8:$A$207,B64)&lt;&gt;1,COUNTIFS('Definitions'!$A$8:$A$207,C64)&lt;&gt;1),"Unknown / duplicate definition",IF(B64=C64,"Self reference",IF(OR(NOT(ISNUMBER(D64)),D64&lt;=0,MOD(D64,1)&lt;&gt;0),"Set positive whole quantity",IF(E64="","Set child role suffix","OK"))))))</x:f>
      </x:c>
    </x:row>
    <x:row r="65" ht="22" customHeight="1">
      <x:c r="A65" s="10"/>
      <x:c r="B65" s="10"/>
      <x:c r="C65" s="10"/>
      <x:c r="D65" s="12"/>
      <x:c r="E65" s="10"/>
      <x:c r="F65" s="10"/>
      <x:c r="G65" s="9" t="str">
        <x:f>IF(A65="","",IF(COUNTIFS('Recipes'!$A$8:$A$207,A65)&lt;&gt;1,"Duplicate recipe ID",IF(OR(COUNTIFS('Definitions'!$A$8:$A$207,B65)&lt;&gt;1,COUNTIFS('Definitions'!$A$8:$A$207,C65)&lt;&gt;1),"Unknown / duplicate definition",IF(B65=C65,"Self reference",IF(OR(NOT(ISNUMBER(D65)),D65&lt;=0,MOD(D65,1)&lt;&gt;0),"Set positive whole quantity",IF(E65="","Set child role suffix","OK"))))))</x:f>
      </x:c>
    </x:row>
    <x:row r="66" ht="22" customHeight="1">
      <x:c r="A66" s="10"/>
      <x:c r="B66" s="10"/>
      <x:c r="C66" s="10"/>
      <x:c r="D66" s="12"/>
      <x:c r="E66" s="10"/>
      <x:c r="F66" s="10"/>
      <x:c r="G66" s="9" t="str">
        <x:f>IF(A66="","",IF(COUNTIFS('Recipes'!$A$8:$A$207,A66)&lt;&gt;1,"Duplicate recipe ID",IF(OR(COUNTIFS('Definitions'!$A$8:$A$207,B66)&lt;&gt;1,COUNTIFS('Definitions'!$A$8:$A$207,C66)&lt;&gt;1),"Unknown / duplicate definition",IF(B66=C66,"Self reference",IF(OR(NOT(ISNUMBER(D66)),D66&lt;=0,MOD(D66,1)&lt;&gt;0),"Set positive whole quantity",IF(E66="","Set child role suffix","OK"))))))</x:f>
      </x:c>
    </x:row>
    <x:row r="67" ht="22" customHeight="1">
      <x:c r="A67" s="10"/>
      <x:c r="B67" s="10"/>
      <x:c r="C67" s="10"/>
      <x:c r="D67" s="12"/>
      <x:c r="E67" s="10"/>
      <x:c r="F67" s="10"/>
      <x:c r="G67" s="9" t="str">
        <x:f>IF(A67="","",IF(COUNTIFS('Recipes'!$A$8:$A$207,A67)&lt;&gt;1,"Duplicate recipe ID",IF(OR(COUNTIFS('Definitions'!$A$8:$A$207,B67)&lt;&gt;1,COUNTIFS('Definitions'!$A$8:$A$207,C67)&lt;&gt;1),"Unknown / duplicate definition",IF(B67=C67,"Self reference",IF(OR(NOT(ISNUMBER(D67)),D67&lt;=0,MOD(D67,1)&lt;&gt;0),"Set positive whole quantity",IF(E67="","Set child role suffix","OK"))))))</x:f>
      </x:c>
    </x:row>
    <x:row r="68" ht="22" customHeight="1">
      <x:c r="A68" s="10"/>
      <x:c r="B68" s="10"/>
      <x:c r="C68" s="10"/>
      <x:c r="D68" s="12"/>
      <x:c r="E68" s="10"/>
      <x:c r="F68" s="10"/>
      <x:c r="G68" s="9" t="str">
        <x:f>IF(A68="","",IF(COUNTIFS('Recipes'!$A$8:$A$207,A68)&lt;&gt;1,"Duplicate recipe ID",IF(OR(COUNTIFS('Definitions'!$A$8:$A$207,B68)&lt;&gt;1,COUNTIFS('Definitions'!$A$8:$A$207,C68)&lt;&gt;1),"Unknown / duplicate definition",IF(B68=C68,"Self reference",IF(OR(NOT(ISNUMBER(D68)),D68&lt;=0,MOD(D68,1)&lt;&gt;0),"Set positive whole quantity",IF(E68="","Set child role suffix","OK"))))))</x:f>
      </x:c>
    </x:row>
    <x:row r="69" ht="22" customHeight="1">
      <x:c r="A69" s="10"/>
      <x:c r="B69" s="10"/>
      <x:c r="C69" s="10"/>
      <x:c r="D69" s="12"/>
      <x:c r="E69" s="10"/>
      <x:c r="F69" s="10"/>
      <x:c r="G69" s="9" t="str">
        <x:f>IF(A69="","",IF(COUNTIFS('Recipes'!$A$8:$A$207,A69)&lt;&gt;1,"Duplicate recipe ID",IF(OR(COUNTIFS('Definitions'!$A$8:$A$207,B69)&lt;&gt;1,COUNTIFS('Definitions'!$A$8:$A$207,C69)&lt;&gt;1),"Unknown / duplicate definition",IF(B69=C69,"Self reference",IF(OR(NOT(ISNUMBER(D69)),D69&lt;=0,MOD(D69,1)&lt;&gt;0),"Set positive whole quantity",IF(E69="","Set child role suffix","OK"))))))</x:f>
      </x:c>
    </x:row>
    <x:row r="70" ht="22" customHeight="1">
      <x:c r="A70" s="10"/>
      <x:c r="B70" s="10"/>
      <x:c r="C70" s="10"/>
      <x:c r="D70" s="12"/>
      <x:c r="E70" s="10"/>
      <x:c r="F70" s="10"/>
      <x:c r="G70" s="9" t="str">
        <x:f>IF(A70="","",IF(COUNTIFS('Recipes'!$A$8:$A$207,A70)&lt;&gt;1,"Duplicate recipe ID",IF(OR(COUNTIFS('Definitions'!$A$8:$A$207,B70)&lt;&gt;1,COUNTIFS('Definitions'!$A$8:$A$207,C70)&lt;&gt;1),"Unknown / duplicate definition",IF(B70=C70,"Self reference",IF(OR(NOT(ISNUMBER(D70)),D70&lt;=0,MOD(D70,1)&lt;&gt;0),"Set positive whole quantity",IF(E70="","Set child role suffix","OK"))))))</x:f>
      </x:c>
    </x:row>
    <x:row r="71" ht="22" customHeight="1">
      <x:c r="A71" s="10"/>
      <x:c r="B71" s="10"/>
      <x:c r="C71" s="10"/>
      <x:c r="D71" s="12"/>
      <x:c r="E71" s="10"/>
      <x:c r="F71" s="10"/>
      <x:c r="G71" s="9" t="str">
        <x:f>IF(A71="","",IF(COUNTIFS('Recipes'!$A$8:$A$207,A71)&lt;&gt;1,"Duplicate recipe ID",IF(OR(COUNTIFS('Definitions'!$A$8:$A$207,B71)&lt;&gt;1,COUNTIFS('Definitions'!$A$8:$A$207,C71)&lt;&gt;1),"Unknown / duplicate definition",IF(B71=C71,"Self reference",IF(OR(NOT(ISNUMBER(D71)),D71&lt;=0,MOD(D71,1)&lt;&gt;0),"Set positive whole quantity",IF(E71="","Set child role suffix","OK"))))))</x:f>
      </x:c>
    </x:row>
    <x:row r="72" ht="22" customHeight="1">
      <x:c r="A72" s="10"/>
      <x:c r="B72" s="10"/>
      <x:c r="C72" s="10"/>
      <x:c r="D72" s="12"/>
      <x:c r="E72" s="10"/>
      <x:c r="F72" s="10"/>
      <x:c r="G72" s="9" t="str">
        <x:f>IF(A72="","",IF(COUNTIFS('Recipes'!$A$8:$A$207,A72)&lt;&gt;1,"Duplicate recipe ID",IF(OR(COUNTIFS('Definitions'!$A$8:$A$207,B72)&lt;&gt;1,COUNTIFS('Definitions'!$A$8:$A$207,C72)&lt;&gt;1),"Unknown / duplicate definition",IF(B72=C72,"Self reference",IF(OR(NOT(ISNUMBER(D72)),D72&lt;=0,MOD(D72,1)&lt;&gt;0),"Set positive whole quantity",IF(E72="","Set child role suffix","OK"))))))</x:f>
      </x:c>
    </x:row>
    <x:row r="73" ht="22" customHeight="1">
      <x:c r="A73" s="10"/>
      <x:c r="B73" s="10"/>
      <x:c r="C73" s="10"/>
      <x:c r="D73" s="12"/>
      <x:c r="E73" s="10"/>
      <x:c r="F73" s="10"/>
      <x:c r="G73" s="9" t="str">
        <x:f>IF(A73="","",IF(COUNTIFS('Recipes'!$A$8:$A$207,A73)&lt;&gt;1,"Duplicate recipe ID",IF(OR(COUNTIFS('Definitions'!$A$8:$A$207,B73)&lt;&gt;1,COUNTIFS('Definitions'!$A$8:$A$207,C73)&lt;&gt;1),"Unknown / duplicate definition",IF(B73=C73,"Self reference",IF(OR(NOT(ISNUMBER(D73)),D73&lt;=0,MOD(D73,1)&lt;&gt;0),"Set positive whole quantity",IF(E73="","Set child role suffix","OK"))))))</x:f>
      </x:c>
    </x:row>
    <x:row r="74" ht="22" customHeight="1">
      <x:c r="A74" s="10"/>
      <x:c r="B74" s="10"/>
      <x:c r="C74" s="10"/>
      <x:c r="D74" s="12"/>
      <x:c r="E74" s="10"/>
      <x:c r="F74" s="10"/>
      <x:c r="G74" s="9" t="str">
        <x:f>IF(A74="","",IF(COUNTIFS('Recipes'!$A$8:$A$207,A74)&lt;&gt;1,"Duplicate recipe ID",IF(OR(COUNTIFS('Definitions'!$A$8:$A$207,B74)&lt;&gt;1,COUNTIFS('Definitions'!$A$8:$A$207,C74)&lt;&gt;1),"Unknown / duplicate definition",IF(B74=C74,"Self reference",IF(OR(NOT(ISNUMBER(D74)),D74&lt;=0,MOD(D74,1)&lt;&gt;0),"Set positive whole quantity",IF(E74="","Set child role suffix","OK"))))))</x:f>
      </x:c>
    </x:row>
    <x:row r="75" ht="22" customHeight="1">
      <x:c r="A75" s="10"/>
      <x:c r="B75" s="10"/>
      <x:c r="C75" s="10"/>
      <x:c r="D75" s="12"/>
      <x:c r="E75" s="10"/>
      <x:c r="F75" s="10"/>
      <x:c r="G75" s="9" t="str">
        <x:f>IF(A75="","",IF(COUNTIFS('Recipes'!$A$8:$A$207,A75)&lt;&gt;1,"Duplicate recipe ID",IF(OR(COUNTIFS('Definitions'!$A$8:$A$207,B75)&lt;&gt;1,COUNTIFS('Definitions'!$A$8:$A$207,C75)&lt;&gt;1),"Unknown / duplicate definition",IF(B75=C75,"Self reference",IF(OR(NOT(ISNUMBER(D75)),D75&lt;=0,MOD(D75,1)&lt;&gt;0),"Set positive whole quantity",IF(E75="","Set child role suffix","OK"))))))</x:f>
      </x:c>
    </x:row>
    <x:row r="76" ht="22" customHeight="1">
      <x:c r="A76" s="10"/>
      <x:c r="B76" s="10"/>
      <x:c r="C76" s="10"/>
      <x:c r="D76" s="12"/>
      <x:c r="E76" s="10"/>
      <x:c r="F76" s="10"/>
      <x:c r="G76" s="9" t="str">
        <x:f>IF(A76="","",IF(COUNTIFS('Recipes'!$A$8:$A$207,A76)&lt;&gt;1,"Duplicate recipe ID",IF(OR(COUNTIFS('Definitions'!$A$8:$A$207,B76)&lt;&gt;1,COUNTIFS('Definitions'!$A$8:$A$207,C76)&lt;&gt;1),"Unknown / duplicate definition",IF(B76=C76,"Self reference",IF(OR(NOT(ISNUMBER(D76)),D76&lt;=0,MOD(D76,1)&lt;&gt;0),"Set positive whole quantity",IF(E76="","Set child role suffix","OK"))))))</x:f>
      </x:c>
    </x:row>
    <x:row r="77" ht="22" customHeight="1">
      <x:c r="A77" s="10"/>
      <x:c r="B77" s="10"/>
      <x:c r="C77" s="10"/>
      <x:c r="D77" s="12"/>
      <x:c r="E77" s="10"/>
      <x:c r="F77" s="10"/>
      <x:c r="G77" s="9" t="str">
        <x:f>IF(A77="","",IF(COUNTIFS('Recipes'!$A$8:$A$207,A77)&lt;&gt;1,"Duplicate recipe ID",IF(OR(COUNTIFS('Definitions'!$A$8:$A$207,B77)&lt;&gt;1,COUNTIFS('Definitions'!$A$8:$A$207,C77)&lt;&gt;1),"Unknown / duplicate definition",IF(B77=C77,"Self reference",IF(OR(NOT(ISNUMBER(D77)),D77&lt;=0,MOD(D77,1)&lt;&gt;0),"Set positive whole quantity",IF(E77="","Set child role suffix","OK"))))))</x:f>
      </x:c>
    </x:row>
    <x:row r="78" ht="22" customHeight="1">
      <x:c r="A78" s="10"/>
      <x:c r="B78" s="10"/>
      <x:c r="C78" s="10"/>
      <x:c r="D78" s="12"/>
      <x:c r="E78" s="10"/>
      <x:c r="F78" s="10"/>
      <x:c r="G78" s="9" t="str">
        <x:f>IF(A78="","",IF(COUNTIFS('Recipes'!$A$8:$A$207,A78)&lt;&gt;1,"Duplicate recipe ID",IF(OR(COUNTIFS('Definitions'!$A$8:$A$207,B78)&lt;&gt;1,COUNTIFS('Definitions'!$A$8:$A$207,C78)&lt;&gt;1),"Unknown / duplicate definition",IF(B78=C78,"Self reference",IF(OR(NOT(ISNUMBER(D78)),D78&lt;=0,MOD(D78,1)&lt;&gt;0),"Set positive whole quantity",IF(E78="","Set child role suffix","OK"))))))</x:f>
      </x:c>
    </x:row>
    <x:row r="79" ht="22" customHeight="1">
      <x:c r="A79" s="10"/>
      <x:c r="B79" s="10"/>
      <x:c r="C79" s="10"/>
      <x:c r="D79" s="12"/>
      <x:c r="E79" s="10"/>
      <x:c r="F79" s="10"/>
      <x:c r="G79" s="9" t="str">
        <x:f>IF(A79="","",IF(COUNTIFS('Recipes'!$A$8:$A$207,A79)&lt;&gt;1,"Duplicate recipe ID",IF(OR(COUNTIFS('Definitions'!$A$8:$A$207,B79)&lt;&gt;1,COUNTIFS('Definitions'!$A$8:$A$207,C79)&lt;&gt;1),"Unknown / duplicate definition",IF(B79=C79,"Self reference",IF(OR(NOT(ISNUMBER(D79)),D79&lt;=0,MOD(D79,1)&lt;&gt;0),"Set positive whole quantity",IF(E79="","Set child role suffix","OK"))))))</x:f>
      </x:c>
    </x:row>
    <x:row r="80" ht="22" customHeight="1">
      <x:c r="A80" s="10"/>
      <x:c r="B80" s="10"/>
      <x:c r="C80" s="10"/>
      <x:c r="D80" s="12"/>
      <x:c r="E80" s="10"/>
      <x:c r="F80" s="10"/>
      <x:c r="G80" s="9" t="str">
        <x:f>IF(A80="","",IF(COUNTIFS('Recipes'!$A$8:$A$207,A80)&lt;&gt;1,"Duplicate recipe ID",IF(OR(COUNTIFS('Definitions'!$A$8:$A$207,B80)&lt;&gt;1,COUNTIFS('Definitions'!$A$8:$A$207,C80)&lt;&gt;1),"Unknown / duplicate definition",IF(B80=C80,"Self reference",IF(OR(NOT(ISNUMBER(D80)),D80&lt;=0,MOD(D80,1)&lt;&gt;0),"Set positive whole quantity",IF(E80="","Set child role suffix","OK"))))))</x:f>
      </x:c>
    </x:row>
    <x:row r="81" ht="22" customHeight="1">
      <x:c r="A81" s="10"/>
      <x:c r="B81" s="10"/>
      <x:c r="C81" s="10"/>
      <x:c r="D81" s="12"/>
      <x:c r="E81" s="10"/>
      <x:c r="F81" s="10"/>
      <x:c r="G81" s="9" t="str">
        <x:f>IF(A81="","",IF(COUNTIFS('Recipes'!$A$8:$A$207,A81)&lt;&gt;1,"Duplicate recipe ID",IF(OR(COUNTIFS('Definitions'!$A$8:$A$207,B81)&lt;&gt;1,COUNTIFS('Definitions'!$A$8:$A$207,C81)&lt;&gt;1),"Unknown / duplicate definition",IF(B81=C81,"Self reference",IF(OR(NOT(ISNUMBER(D81)),D81&lt;=0,MOD(D81,1)&lt;&gt;0),"Set positive whole quantity",IF(E81="","Set child role suffix","OK"))))))</x:f>
      </x:c>
    </x:row>
    <x:row r="82" ht="22" customHeight="1">
      <x:c r="A82" s="10"/>
      <x:c r="B82" s="10"/>
      <x:c r="C82" s="10"/>
      <x:c r="D82" s="12"/>
      <x:c r="E82" s="10"/>
      <x:c r="F82" s="10"/>
      <x:c r="G82" s="9" t="str">
        <x:f>IF(A82="","",IF(COUNTIFS('Recipes'!$A$8:$A$207,A82)&lt;&gt;1,"Duplicate recipe ID",IF(OR(COUNTIFS('Definitions'!$A$8:$A$207,B82)&lt;&gt;1,COUNTIFS('Definitions'!$A$8:$A$207,C82)&lt;&gt;1),"Unknown / duplicate definition",IF(B82=C82,"Self reference",IF(OR(NOT(ISNUMBER(D82)),D82&lt;=0,MOD(D82,1)&lt;&gt;0),"Set positive whole quantity",IF(E82="","Set child role suffix","OK"))))))</x:f>
      </x:c>
    </x:row>
    <x:row r="83" ht="22" customHeight="1">
      <x:c r="A83" s="10"/>
      <x:c r="B83" s="10"/>
      <x:c r="C83" s="10"/>
      <x:c r="D83" s="12"/>
      <x:c r="E83" s="10"/>
      <x:c r="F83" s="10"/>
      <x:c r="G83" s="9" t="str">
        <x:f>IF(A83="","",IF(COUNTIFS('Recipes'!$A$8:$A$207,A83)&lt;&gt;1,"Duplicate recipe ID",IF(OR(COUNTIFS('Definitions'!$A$8:$A$207,B83)&lt;&gt;1,COUNTIFS('Definitions'!$A$8:$A$207,C83)&lt;&gt;1),"Unknown / duplicate definition",IF(B83=C83,"Self reference",IF(OR(NOT(ISNUMBER(D83)),D83&lt;=0,MOD(D83,1)&lt;&gt;0),"Set positive whole quantity",IF(E83="","Set child role suffix","OK"))))))</x:f>
      </x:c>
    </x:row>
    <x:row r="84" ht="22" customHeight="1">
      <x:c r="A84" s="10"/>
      <x:c r="B84" s="10"/>
      <x:c r="C84" s="10"/>
      <x:c r="D84" s="12"/>
      <x:c r="E84" s="10"/>
      <x:c r="F84" s="10"/>
      <x:c r="G84" s="9" t="str">
        <x:f>IF(A84="","",IF(COUNTIFS('Recipes'!$A$8:$A$207,A84)&lt;&gt;1,"Duplicate recipe ID",IF(OR(COUNTIFS('Definitions'!$A$8:$A$207,B84)&lt;&gt;1,COUNTIFS('Definitions'!$A$8:$A$207,C84)&lt;&gt;1),"Unknown / duplicate definition",IF(B84=C84,"Self reference",IF(OR(NOT(ISNUMBER(D84)),D84&lt;=0,MOD(D84,1)&lt;&gt;0),"Set positive whole quantity",IF(E84="","Set child role suffix","OK"))))))</x:f>
      </x:c>
    </x:row>
    <x:row r="85" ht="22" customHeight="1">
      <x:c r="A85" s="10"/>
      <x:c r="B85" s="10"/>
      <x:c r="C85" s="10"/>
      <x:c r="D85" s="12"/>
      <x:c r="E85" s="10"/>
      <x:c r="F85" s="10"/>
      <x:c r="G85" s="9" t="str">
        <x:f>IF(A85="","",IF(COUNTIFS('Recipes'!$A$8:$A$207,A85)&lt;&gt;1,"Duplicate recipe ID",IF(OR(COUNTIFS('Definitions'!$A$8:$A$207,B85)&lt;&gt;1,COUNTIFS('Definitions'!$A$8:$A$207,C85)&lt;&gt;1),"Unknown / duplicate definition",IF(B85=C85,"Self reference",IF(OR(NOT(ISNUMBER(D85)),D85&lt;=0,MOD(D85,1)&lt;&gt;0),"Set positive whole quantity",IF(E85="","Set child role suffix","OK"))))))</x:f>
      </x:c>
    </x:row>
    <x:row r="86" ht="22" customHeight="1">
      <x:c r="A86" s="10"/>
      <x:c r="B86" s="10"/>
      <x:c r="C86" s="10"/>
      <x:c r="D86" s="12"/>
      <x:c r="E86" s="10"/>
      <x:c r="F86" s="10"/>
      <x:c r="G86" s="9" t="str">
        <x:f>IF(A86="","",IF(COUNTIFS('Recipes'!$A$8:$A$207,A86)&lt;&gt;1,"Duplicate recipe ID",IF(OR(COUNTIFS('Definitions'!$A$8:$A$207,B86)&lt;&gt;1,COUNTIFS('Definitions'!$A$8:$A$207,C86)&lt;&gt;1),"Unknown / duplicate definition",IF(B86=C86,"Self reference",IF(OR(NOT(ISNUMBER(D86)),D86&lt;=0,MOD(D86,1)&lt;&gt;0),"Set positive whole quantity",IF(E86="","Set child role suffix","OK"))))))</x:f>
      </x:c>
    </x:row>
    <x:row r="87" ht="22" customHeight="1">
      <x:c r="A87" s="10"/>
      <x:c r="B87" s="10"/>
      <x:c r="C87" s="10"/>
      <x:c r="D87" s="12"/>
      <x:c r="E87" s="10"/>
      <x:c r="F87" s="10"/>
      <x:c r="G87" s="9" t="str">
        <x:f>IF(A87="","",IF(COUNTIFS('Recipes'!$A$8:$A$207,A87)&lt;&gt;1,"Duplicate recipe ID",IF(OR(COUNTIFS('Definitions'!$A$8:$A$207,B87)&lt;&gt;1,COUNTIFS('Definitions'!$A$8:$A$207,C87)&lt;&gt;1),"Unknown / duplicate definition",IF(B87=C87,"Self reference",IF(OR(NOT(ISNUMBER(D87)),D87&lt;=0,MOD(D87,1)&lt;&gt;0),"Set positive whole quantity",IF(E87="","Set child role suffix","OK"))))))</x:f>
      </x:c>
    </x:row>
    <x:row r="88" ht="22" customHeight="1">
      <x:c r="A88" s="10"/>
      <x:c r="B88" s="10"/>
      <x:c r="C88" s="10"/>
      <x:c r="D88" s="12"/>
      <x:c r="E88" s="10"/>
      <x:c r="F88" s="10"/>
      <x:c r="G88" s="9" t="str">
        <x:f>IF(A88="","",IF(COUNTIFS('Recipes'!$A$8:$A$207,A88)&lt;&gt;1,"Duplicate recipe ID",IF(OR(COUNTIFS('Definitions'!$A$8:$A$207,B88)&lt;&gt;1,COUNTIFS('Definitions'!$A$8:$A$207,C88)&lt;&gt;1),"Unknown / duplicate definition",IF(B88=C88,"Self reference",IF(OR(NOT(ISNUMBER(D88)),D88&lt;=0,MOD(D88,1)&lt;&gt;0),"Set positive whole quantity",IF(E88="","Set child role suffix","OK"))))))</x:f>
      </x:c>
    </x:row>
    <x:row r="89" ht="22" customHeight="1">
      <x:c r="A89" s="10"/>
      <x:c r="B89" s="10"/>
      <x:c r="C89" s="10"/>
      <x:c r="D89" s="12"/>
      <x:c r="E89" s="10"/>
      <x:c r="F89" s="10"/>
      <x:c r="G89" s="9" t="str">
        <x:f>IF(A89="","",IF(COUNTIFS('Recipes'!$A$8:$A$207,A89)&lt;&gt;1,"Duplicate recipe ID",IF(OR(COUNTIFS('Definitions'!$A$8:$A$207,B89)&lt;&gt;1,COUNTIFS('Definitions'!$A$8:$A$207,C89)&lt;&gt;1),"Unknown / duplicate definition",IF(B89=C89,"Self reference",IF(OR(NOT(ISNUMBER(D89)),D89&lt;=0,MOD(D89,1)&lt;&gt;0),"Set positive whole quantity",IF(E89="","Set child role suffix","OK"))))))</x:f>
      </x:c>
    </x:row>
    <x:row r="90" ht="22" customHeight="1">
      <x:c r="A90" s="10"/>
      <x:c r="B90" s="10"/>
      <x:c r="C90" s="10"/>
      <x:c r="D90" s="12"/>
      <x:c r="E90" s="10"/>
      <x:c r="F90" s="10"/>
      <x:c r="G90" s="9" t="str">
        <x:f>IF(A90="","",IF(COUNTIFS('Recipes'!$A$8:$A$207,A90)&lt;&gt;1,"Duplicate recipe ID",IF(OR(COUNTIFS('Definitions'!$A$8:$A$207,B90)&lt;&gt;1,COUNTIFS('Definitions'!$A$8:$A$207,C90)&lt;&gt;1),"Unknown / duplicate definition",IF(B90=C90,"Self reference",IF(OR(NOT(ISNUMBER(D90)),D90&lt;=0,MOD(D90,1)&lt;&gt;0),"Set positive whole quantity",IF(E90="","Set child role suffix","OK"))))))</x:f>
      </x:c>
    </x:row>
    <x:row r="91" ht="22" customHeight="1">
      <x:c r="A91" s="10"/>
      <x:c r="B91" s="10"/>
      <x:c r="C91" s="10"/>
      <x:c r="D91" s="12"/>
      <x:c r="E91" s="10"/>
      <x:c r="F91" s="10"/>
      <x:c r="G91" s="9" t="str">
        <x:f>IF(A91="","",IF(COUNTIFS('Recipes'!$A$8:$A$207,A91)&lt;&gt;1,"Duplicate recipe ID",IF(OR(COUNTIFS('Definitions'!$A$8:$A$207,B91)&lt;&gt;1,COUNTIFS('Definitions'!$A$8:$A$207,C91)&lt;&gt;1),"Unknown / duplicate definition",IF(B91=C91,"Self reference",IF(OR(NOT(ISNUMBER(D91)),D91&lt;=0,MOD(D91,1)&lt;&gt;0),"Set positive whole quantity",IF(E91="","Set child role suffix","OK"))))))</x:f>
      </x:c>
    </x:row>
    <x:row r="92" ht="22" customHeight="1">
      <x:c r="A92" s="10"/>
      <x:c r="B92" s="10"/>
      <x:c r="C92" s="10"/>
      <x:c r="D92" s="12"/>
      <x:c r="E92" s="10"/>
      <x:c r="F92" s="10"/>
      <x:c r="G92" s="9" t="str">
        <x:f>IF(A92="","",IF(COUNTIFS('Recipes'!$A$8:$A$207,A92)&lt;&gt;1,"Duplicate recipe ID",IF(OR(COUNTIFS('Definitions'!$A$8:$A$207,B92)&lt;&gt;1,COUNTIFS('Definitions'!$A$8:$A$207,C92)&lt;&gt;1),"Unknown / duplicate definition",IF(B92=C92,"Self reference",IF(OR(NOT(ISNUMBER(D92)),D92&lt;=0,MOD(D92,1)&lt;&gt;0),"Set positive whole quantity",IF(E92="","Set child role suffix","OK"))))))</x:f>
      </x:c>
    </x:row>
    <x:row r="93" ht="22" customHeight="1">
      <x:c r="A93" s="10"/>
      <x:c r="B93" s="10"/>
      <x:c r="C93" s="10"/>
      <x:c r="D93" s="12"/>
      <x:c r="E93" s="10"/>
      <x:c r="F93" s="10"/>
      <x:c r="G93" s="9" t="str">
        <x:f>IF(A93="","",IF(COUNTIFS('Recipes'!$A$8:$A$207,A93)&lt;&gt;1,"Duplicate recipe ID",IF(OR(COUNTIFS('Definitions'!$A$8:$A$207,B93)&lt;&gt;1,COUNTIFS('Definitions'!$A$8:$A$207,C93)&lt;&gt;1),"Unknown / duplicate definition",IF(B93=C93,"Self reference",IF(OR(NOT(ISNUMBER(D93)),D93&lt;=0,MOD(D93,1)&lt;&gt;0),"Set positive whole quantity",IF(E93="","Set child role suffix","OK"))))))</x:f>
      </x:c>
    </x:row>
    <x:row r="94" ht="22" customHeight="1">
      <x:c r="A94" s="10"/>
      <x:c r="B94" s="10"/>
      <x:c r="C94" s="10"/>
      <x:c r="D94" s="12"/>
      <x:c r="E94" s="10"/>
      <x:c r="F94" s="10"/>
      <x:c r="G94" s="9" t="str">
        <x:f>IF(A94="","",IF(COUNTIFS('Recipes'!$A$8:$A$207,A94)&lt;&gt;1,"Duplicate recipe ID",IF(OR(COUNTIFS('Definitions'!$A$8:$A$207,B94)&lt;&gt;1,COUNTIFS('Definitions'!$A$8:$A$207,C94)&lt;&gt;1),"Unknown / duplicate definition",IF(B94=C94,"Self reference",IF(OR(NOT(ISNUMBER(D94)),D94&lt;=0,MOD(D94,1)&lt;&gt;0),"Set positive whole quantity",IF(E94="","Set child role suffix","OK"))))))</x:f>
      </x:c>
    </x:row>
    <x:row r="95" ht="22" customHeight="1">
      <x:c r="A95" s="10"/>
      <x:c r="B95" s="10"/>
      <x:c r="C95" s="10"/>
      <x:c r="D95" s="12"/>
      <x:c r="E95" s="10"/>
      <x:c r="F95" s="10"/>
      <x:c r="G95" s="9" t="str">
        <x:f>IF(A95="","",IF(COUNTIFS('Recipes'!$A$8:$A$207,A95)&lt;&gt;1,"Duplicate recipe ID",IF(OR(COUNTIFS('Definitions'!$A$8:$A$207,B95)&lt;&gt;1,COUNTIFS('Definitions'!$A$8:$A$207,C95)&lt;&gt;1),"Unknown / duplicate definition",IF(B95=C95,"Self reference",IF(OR(NOT(ISNUMBER(D95)),D95&lt;=0,MOD(D95,1)&lt;&gt;0),"Set positive whole quantity",IF(E95="","Set child role suffix","OK"))))))</x:f>
      </x:c>
    </x:row>
    <x:row r="96" ht="22" customHeight="1">
      <x:c r="A96" s="10"/>
      <x:c r="B96" s="10"/>
      <x:c r="C96" s="10"/>
      <x:c r="D96" s="12"/>
      <x:c r="E96" s="10"/>
      <x:c r="F96" s="10"/>
      <x:c r="G96" s="9" t="str">
        <x:f>IF(A96="","",IF(COUNTIFS('Recipes'!$A$8:$A$207,A96)&lt;&gt;1,"Duplicate recipe ID",IF(OR(COUNTIFS('Definitions'!$A$8:$A$207,B96)&lt;&gt;1,COUNTIFS('Definitions'!$A$8:$A$207,C96)&lt;&gt;1),"Unknown / duplicate definition",IF(B96=C96,"Self reference",IF(OR(NOT(ISNUMBER(D96)),D96&lt;=0,MOD(D96,1)&lt;&gt;0),"Set positive whole quantity",IF(E96="","Set child role suffix","OK"))))))</x:f>
      </x:c>
    </x:row>
    <x:row r="97" ht="22" customHeight="1">
      <x:c r="A97" s="10"/>
      <x:c r="B97" s="10"/>
      <x:c r="C97" s="10"/>
      <x:c r="D97" s="12"/>
      <x:c r="E97" s="10"/>
      <x:c r="F97" s="10"/>
      <x:c r="G97" s="9" t="str">
        <x:f>IF(A97="","",IF(COUNTIFS('Recipes'!$A$8:$A$207,A97)&lt;&gt;1,"Duplicate recipe ID",IF(OR(COUNTIFS('Definitions'!$A$8:$A$207,B97)&lt;&gt;1,COUNTIFS('Definitions'!$A$8:$A$207,C97)&lt;&gt;1),"Unknown / duplicate definition",IF(B97=C97,"Self reference",IF(OR(NOT(ISNUMBER(D97)),D97&lt;=0,MOD(D97,1)&lt;&gt;0),"Set positive whole quantity",IF(E97="","Set child role suffix","OK"))))))</x:f>
      </x:c>
    </x:row>
    <x:row r="98" ht="22" customHeight="1">
      <x:c r="A98" s="10"/>
      <x:c r="B98" s="10"/>
      <x:c r="C98" s="10"/>
      <x:c r="D98" s="12"/>
      <x:c r="E98" s="10"/>
      <x:c r="F98" s="10"/>
      <x:c r="G98" s="9" t="str">
        <x:f>IF(A98="","",IF(COUNTIFS('Recipes'!$A$8:$A$207,A98)&lt;&gt;1,"Duplicate recipe ID",IF(OR(COUNTIFS('Definitions'!$A$8:$A$207,B98)&lt;&gt;1,COUNTIFS('Definitions'!$A$8:$A$207,C98)&lt;&gt;1),"Unknown / duplicate definition",IF(B98=C98,"Self reference",IF(OR(NOT(ISNUMBER(D98)),D98&lt;=0,MOD(D98,1)&lt;&gt;0),"Set positive whole quantity",IF(E98="","Set child role suffix","OK"))))))</x:f>
      </x:c>
    </x:row>
    <x:row r="99" ht="22" customHeight="1">
      <x:c r="A99" s="10"/>
      <x:c r="B99" s="10"/>
      <x:c r="C99" s="10"/>
      <x:c r="D99" s="12"/>
      <x:c r="E99" s="10"/>
      <x:c r="F99" s="10"/>
      <x:c r="G99" s="9" t="str">
        <x:f>IF(A99="","",IF(COUNTIFS('Recipes'!$A$8:$A$207,A99)&lt;&gt;1,"Duplicate recipe ID",IF(OR(COUNTIFS('Definitions'!$A$8:$A$207,B99)&lt;&gt;1,COUNTIFS('Definitions'!$A$8:$A$207,C99)&lt;&gt;1),"Unknown / duplicate definition",IF(B99=C99,"Self reference",IF(OR(NOT(ISNUMBER(D99)),D99&lt;=0,MOD(D99,1)&lt;&gt;0),"Set positive whole quantity",IF(E99="","Set child role suffix","OK"))))))</x:f>
      </x:c>
    </x:row>
    <x:row r="100" ht="22" customHeight="1">
      <x:c r="A100" s="10"/>
      <x:c r="B100" s="10"/>
      <x:c r="C100" s="10"/>
      <x:c r="D100" s="12"/>
      <x:c r="E100" s="10"/>
      <x:c r="F100" s="10"/>
      <x:c r="G100" s="9" t="str">
        <x:f>IF(A100="","",IF(COUNTIFS('Recipes'!$A$8:$A$207,A100)&lt;&gt;1,"Duplicate recipe ID",IF(OR(COUNTIFS('Definitions'!$A$8:$A$207,B100)&lt;&gt;1,COUNTIFS('Definitions'!$A$8:$A$207,C100)&lt;&gt;1),"Unknown / duplicate definition",IF(B100=C100,"Self reference",IF(OR(NOT(ISNUMBER(D100)),D100&lt;=0,MOD(D100,1)&lt;&gt;0),"Set positive whole quantity",IF(E100="","Set child role suffix","OK"))))))</x:f>
      </x:c>
    </x:row>
    <x:row r="101" ht="22" customHeight="1">
      <x:c r="A101" s="10"/>
      <x:c r="B101" s="10"/>
      <x:c r="C101" s="10"/>
      <x:c r="D101" s="12"/>
      <x:c r="E101" s="10"/>
      <x:c r="F101" s="10"/>
      <x:c r="G101" s="9" t="str">
        <x:f>IF(A101="","",IF(COUNTIFS('Recipes'!$A$8:$A$207,A101)&lt;&gt;1,"Duplicate recipe ID",IF(OR(COUNTIFS('Definitions'!$A$8:$A$207,B101)&lt;&gt;1,COUNTIFS('Definitions'!$A$8:$A$207,C101)&lt;&gt;1),"Unknown / duplicate definition",IF(B101=C101,"Self reference",IF(OR(NOT(ISNUMBER(D101)),D101&lt;=0,MOD(D101,1)&lt;&gt;0),"Set positive whole quantity",IF(E101="","Set child role suffix","OK"))))))</x:f>
      </x:c>
    </x:row>
    <x:row r="102" ht="22" customHeight="1">
      <x:c r="A102" s="10"/>
      <x:c r="B102" s="10"/>
      <x:c r="C102" s="10"/>
      <x:c r="D102" s="12"/>
      <x:c r="E102" s="10"/>
      <x:c r="F102" s="10"/>
      <x:c r="G102" s="9" t="str">
        <x:f>IF(A102="","",IF(COUNTIFS('Recipes'!$A$8:$A$207,A102)&lt;&gt;1,"Duplicate recipe ID",IF(OR(COUNTIFS('Definitions'!$A$8:$A$207,B102)&lt;&gt;1,COUNTIFS('Definitions'!$A$8:$A$207,C102)&lt;&gt;1),"Unknown / duplicate definition",IF(B102=C102,"Self reference",IF(OR(NOT(ISNUMBER(D102)),D102&lt;=0,MOD(D102,1)&lt;&gt;0),"Set positive whole quantity",IF(E102="","Set child role suffix","OK"))))))</x:f>
      </x:c>
    </x:row>
    <x:row r="103" ht="22" customHeight="1">
      <x:c r="A103" s="10"/>
      <x:c r="B103" s="10"/>
      <x:c r="C103" s="10"/>
      <x:c r="D103" s="12"/>
      <x:c r="E103" s="10"/>
      <x:c r="F103" s="10"/>
      <x:c r="G103" s="9" t="str">
        <x:f>IF(A103="","",IF(COUNTIFS('Recipes'!$A$8:$A$207,A103)&lt;&gt;1,"Duplicate recipe ID",IF(OR(COUNTIFS('Definitions'!$A$8:$A$207,B103)&lt;&gt;1,COUNTIFS('Definitions'!$A$8:$A$207,C103)&lt;&gt;1),"Unknown / duplicate definition",IF(B103=C103,"Self reference",IF(OR(NOT(ISNUMBER(D103)),D103&lt;=0,MOD(D103,1)&lt;&gt;0),"Set positive whole quantity",IF(E103="","Set child role suffix","OK"))))))</x:f>
      </x:c>
    </x:row>
    <x:row r="104" ht="22" customHeight="1">
      <x:c r="A104" s="10"/>
      <x:c r="B104" s="10"/>
      <x:c r="C104" s="10"/>
      <x:c r="D104" s="12"/>
      <x:c r="E104" s="10"/>
      <x:c r="F104" s="10"/>
      <x:c r="G104" s="9" t="str">
        <x:f>IF(A104="","",IF(COUNTIFS('Recipes'!$A$8:$A$207,A104)&lt;&gt;1,"Duplicate recipe ID",IF(OR(COUNTIFS('Definitions'!$A$8:$A$207,B104)&lt;&gt;1,COUNTIFS('Definitions'!$A$8:$A$207,C104)&lt;&gt;1),"Unknown / duplicate definition",IF(B104=C104,"Self reference",IF(OR(NOT(ISNUMBER(D104)),D104&lt;=0,MOD(D104,1)&lt;&gt;0),"Set positive whole quantity",IF(E104="","Set child role suffix","OK"))))))</x:f>
      </x:c>
    </x:row>
    <x:row r="105" ht="22" customHeight="1">
      <x:c r="A105" s="10"/>
      <x:c r="B105" s="10"/>
      <x:c r="C105" s="10"/>
      <x:c r="D105" s="12"/>
      <x:c r="E105" s="10"/>
      <x:c r="F105" s="10"/>
      <x:c r="G105" s="9" t="str">
        <x:f>IF(A105="","",IF(COUNTIFS('Recipes'!$A$8:$A$207,A105)&lt;&gt;1,"Duplicate recipe ID",IF(OR(COUNTIFS('Definitions'!$A$8:$A$207,B105)&lt;&gt;1,COUNTIFS('Definitions'!$A$8:$A$207,C105)&lt;&gt;1),"Unknown / duplicate definition",IF(B105=C105,"Self reference",IF(OR(NOT(ISNUMBER(D105)),D105&lt;=0,MOD(D105,1)&lt;&gt;0),"Set positive whole quantity",IF(E105="","Set child role suffix","OK"))))))</x:f>
      </x:c>
    </x:row>
    <x:row r="106" ht="22" customHeight="1">
      <x:c r="A106" s="10"/>
      <x:c r="B106" s="10"/>
      <x:c r="C106" s="10"/>
      <x:c r="D106" s="12"/>
      <x:c r="E106" s="10"/>
      <x:c r="F106" s="10"/>
      <x:c r="G106" s="9" t="str">
        <x:f>IF(A106="","",IF(COUNTIFS('Recipes'!$A$8:$A$207,A106)&lt;&gt;1,"Duplicate recipe ID",IF(OR(COUNTIFS('Definitions'!$A$8:$A$207,B106)&lt;&gt;1,COUNTIFS('Definitions'!$A$8:$A$207,C106)&lt;&gt;1),"Unknown / duplicate definition",IF(B106=C106,"Self reference",IF(OR(NOT(ISNUMBER(D106)),D106&lt;=0,MOD(D106,1)&lt;&gt;0),"Set positive whole quantity",IF(E106="","Set child role suffix","OK"))))))</x:f>
      </x:c>
    </x:row>
    <x:row r="107" ht="22" customHeight="1">
      <x:c r="A107" s="10"/>
      <x:c r="B107" s="10"/>
      <x:c r="C107" s="10"/>
      <x:c r="D107" s="12"/>
      <x:c r="E107" s="10"/>
      <x:c r="F107" s="10"/>
      <x:c r="G107" s="9" t="str">
        <x:f>IF(A107="","",IF(COUNTIFS('Recipes'!$A$8:$A$207,A107)&lt;&gt;1,"Duplicate recipe ID",IF(OR(COUNTIFS('Definitions'!$A$8:$A$207,B107)&lt;&gt;1,COUNTIFS('Definitions'!$A$8:$A$207,C107)&lt;&gt;1),"Unknown / duplicate definition",IF(B107=C107,"Self reference",IF(OR(NOT(ISNUMBER(D107)),D107&lt;=0,MOD(D107,1)&lt;&gt;0),"Set positive whole quantity",IF(E107="","Set child role suffix","OK"))))))</x:f>
      </x:c>
    </x:row>
    <x:row r="108" ht="22" customHeight="1">
      <x:c r="A108" s="10"/>
      <x:c r="B108" s="10"/>
      <x:c r="C108" s="10"/>
      <x:c r="D108" s="12"/>
      <x:c r="E108" s="10"/>
      <x:c r="F108" s="10"/>
      <x:c r="G108" s="9" t="str">
        <x:f>IF(A108="","",IF(COUNTIFS('Recipes'!$A$8:$A$207,A108)&lt;&gt;1,"Duplicate recipe ID",IF(OR(COUNTIFS('Definitions'!$A$8:$A$207,B108)&lt;&gt;1,COUNTIFS('Definitions'!$A$8:$A$207,C108)&lt;&gt;1),"Unknown / duplicate definition",IF(B108=C108,"Self reference",IF(OR(NOT(ISNUMBER(D108)),D108&lt;=0,MOD(D108,1)&lt;&gt;0),"Set positive whole quantity",IF(E108="","Set child role suffix","OK"))))))</x:f>
      </x:c>
    </x:row>
    <x:row r="109" ht="22" customHeight="1">
      <x:c r="A109" s="10"/>
      <x:c r="B109" s="10"/>
      <x:c r="C109" s="10"/>
      <x:c r="D109" s="12"/>
      <x:c r="E109" s="10"/>
      <x:c r="F109" s="10"/>
      <x:c r="G109" s="9" t="str">
        <x:f>IF(A109="","",IF(COUNTIFS('Recipes'!$A$8:$A$207,A109)&lt;&gt;1,"Duplicate recipe ID",IF(OR(COUNTIFS('Definitions'!$A$8:$A$207,B109)&lt;&gt;1,COUNTIFS('Definitions'!$A$8:$A$207,C109)&lt;&gt;1),"Unknown / duplicate definition",IF(B109=C109,"Self reference",IF(OR(NOT(ISNUMBER(D109)),D109&lt;=0,MOD(D109,1)&lt;&gt;0),"Set positive whole quantity",IF(E109="","Set child role suffix","OK"))))))</x:f>
      </x:c>
    </x:row>
    <x:row r="110" ht="22" customHeight="1">
      <x:c r="A110" s="10"/>
      <x:c r="B110" s="10"/>
      <x:c r="C110" s="10"/>
      <x:c r="D110" s="12"/>
      <x:c r="E110" s="10"/>
      <x:c r="F110" s="10"/>
      <x:c r="G110" s="9" t="str">
        <x:f>IF(A110="","",IF(COUNTIFS('Recipes'!$A$8:$A$207,A110)&lt;&gt;1,"Duplicate recipe ID",IF(OR(COUNTIFS('Definitions'!$A$8:$A$207,B110)&lt;&gt;1,COUNTIFS('Definitions'!$A$8:$A$207,C110)&lt;&gt;1),"Unknown / duplicate definition",IF(B110=C110,"Self reference",IF(OR(NOT(ISNUMBER(D110)),D110&lt;=0,MOD(D110,1)&lt;&gt;0),"Set positive whole quantity",IF(E110="","Set child role suffix","OK"))))))</x:f>
      </x:c>
    </x:row>
    <x:row r="111" ht="22" customHeight="1">
      <x:c r="A111" s="10"/>
      <x:c r="B111" s="10"/>
      <x:c r="C111" s="10"/>
      <x:c r="D111" s="12"/>
      <x:c r="E111" s="10"/>
      <x:c r="F111" s="10"/>
      <x:c r="G111" s="9" t="str">
        <x:f>IF(A111="","",IF(COUNTIFS('Recipes'!$A$8:$A$207,A111)&lt;&gt;1,"Duplicate recipe ID",IF(OR(COUNTIFS('Definitions'!$A$8:$A$207,B111)&lt;&gt;1,COUNTIFS('Definitions'!$A$8:$A$207,C111)&lt;&gt;1),"Unknown / duplicate definition",IF(B111=C111,"Self reference",IF(OR(NOT(ISNUMBER(D111)),D111&lt;=0,MOD(D111,1)&lt;&gt;0),"Set positive whole quantity",IF(E111="","Set child role suffix","OK"))))))</x:f>
      </x:c>
    </x:row>
    <x:row r="112" ht="22" customHeight="1">
      <x:c r="A112" s="10"/>
      <x:c r="B112" s="10"/>
      <x:c r="C112" s="10"/>
      <x:c r="D112" s="12"/>
      <x:c r="E112" s="10"/>
      <x:c r="F112" s="10"/>
      <x:c r="G112" s="9" t="str">
        <x:f>IF(A112="","",IF(COUNTIFS('Recipes'!$A$8:$A$207,A112)&lt;&gt;1,"Duplicate recipe ID",IF(OR(COUNTIFS('Definitions'!$A$8:$A$207,B112)&lt;&gt;1,COUNTIFS('Definitions'!$A$8:$A$207,C112)&lt;&gt;1),"Unknown / duplicate definition",IF(B112=C112,"Self reference",IF(OR(NOT(ISNUMBER(D112)),D112&lt;=0,MOD(D112,1)&lt;&gt;0),"Set positive whole quantity",IF(E112="","Set child role suffix","OK"))))))</x:f>
      </x:c>
    </x:row>
    <x:row r="113" ht="22" customHeight="1">
      <x:c r="A113" s="10"/>
      <x:c r="B113" s="10"/>
      <x:c r="C113" s="10"/>
      <x:c r="D113" s="12"/>
      <x:c r="E113" s="10"/>
      <x:c r="F113" s="10"/>
      <x:c r="G113" s="9" t="str">
        <x:f>IF(A113="","",IF(COUNTIFS('Recipes'!$A$8:$A$207,A113)&lt;&gt;1,"Duplicate recipe ID",IF(OR(COUNTIFS('Definitions'!$A$8:$A$207,B113)&lt;&gt;1,COUNTIFS('Definitions'!$A$8:$A$207,C113)&lt;&gt;1),"Unknown / duplicate definition",IF(B113=C113,"Self reference",IF(OR(NOT(ISNUMBER(D113)),D113&lt;=0,MOD(D113,1)&lt;&gt;0),"Set positive whole quantity",IF(E113="","Set child role suffix","OK"))))))</x:f>
      </x:c>
    </x:row>
    <x:row r="114" ht="22" customHeight="1">
      <x:c r="A114" s="10"/>
      <x:c r="B114" s="10"/>
      <x:c r="C114" s="10"/>
      <x:c r="D114" s="12"/>
      <x:c r="E114" s="10"/>
      <x:c r="F114" s="10"/>
      <x:c r="G114" s="9" t="str">
        <x:f>IF(A114="","",IF(COUNTIFS('Recipes'!$A$8:$A$207,A114)&lt;&gt;1,"Duplicate recipe ID",IF(OR(COUNTIFS('Definitions'!$A$8:$A$207,B114)&lt;&gt;1,COUNTIFS('Definitions'!$A$8:$A$207,C114)&lt;&gt;1),"Unknown / duplicate definition",IF(B114=C114,"Self reference",IF(OR(NOT(ISNUMBER(D114)),D114&lt;=0,MOD(D114,1)&lt;&gt;0),"Set positive whole quantity",IF(E114="","Set child role suffix","OK"))))))</x:f>
      </x:c>
    </x:row>
    <x:row r="115" ht="22" customHeight="1">
      <x:c r="A115" s="10"/>
      <x:c r="B115" s="10"/>
      <x:c r="C115" s="10"/>
      <x:c r="D115" s="12"/>
      <x:c r="E115" s="10"/>
      <x:c r="F115" s="10"/>
      <x:c r="G115" s="9" t="str">
        <x:f>IF(A115="","",IF(COUNTIFS('Recipes'!$A$8:$A$207,A115)&lt;&gt;1,"Duplicate recipe ID",IF(OR(COUNTIFS('Definitions'!$A$8:$A$207,B115)&lt;&gt;1,COUNTIFS('Definitions'!$A$8:$A$207,C115)&lt;&gt;1),"Unknown / duplicate definition",IF(B115=C115,"Self reference",IF(OR(NOT(ISNUMBER(D115)),D115&lt;=0,MOD(D115,1)&lt;&gt;0),"Set positive whole quantity",IF(E115="","Set child role suffix","OK"))))))</x:f>
      </x:c>
    </x:row>
    <x:row r="116" ht="22" customHeight="1">
      <x:c r="A116" s="10"/>
      <x:c r="B116" s="10"/>
      <x:c r="C116" s="10"/>
      <x:c r="D116" s="12"/>
      <x:c r="E116" s="10"/>
      <x:c r="F116" s="10"/>
      <x:c r="G116" s="9" t="str">
        <x:f>IF(A116="","",IF(COUNTIFS('Recipes'!$A$8:$A$207,A116)&lt;&gt;1,"Duplicate recipe ID",IF(OR(COUNTIFS('Definitions'!$A$8:$A$207,B116)&lt;&gt;1,COUNTIFS('Definitions'!$A$8:$A$207,C116)&lt;&gt;1),"Unknown / duplicate definition",IF(B116=C116,"Self reference",IF(OR(NOT(ISNUMBER(D116)),D116&lt;=0,MOD(D116,1)&lt;&gt;0),"Set positive whole quantity",IF(E116="","Set child role suffix","OK"))))))</x:f>
      </x:c>
    </x:row>
    <x:row r="117" ht="22" customHeight="1">
      <x:c r="A117" s="10"/>
      <x:c r="B117" s="10"/>
      <x:c r="C117" s="10"/>
      <x:c r="D117" s="12"/>
      <x:c r="E117" s="10"/>
      <x:c r="F117" s="10"/>
      <x:c r="G117" s="9" t="str">
        <x:f>IF(A117="","",IF(COUNTIFS('Recipes'!$A$8:$A$207,A117)&lt;&gt;1,"Duplicate recipe ID",IF(OR(COUNTIFS('Definitions'!$A$8:$A$207,B117)&lt;&gt;1,COUNTIFS('Definitions'!$A$8:$A$207,C117)&lt;&gt;1),"Unknown / duplicate definition",IF(B117=C117,"Self reference",IF(OR(NOT(ISNUMBER(D117)),D117&lt;=0,MOD(D117,1)&lt;&gt;0),"Set positive whole quantity",IF(E117="","Set child role suffix","OK"))))))</x:f>
      </x:c>
    </x:row>
    <x:row r="118" ht="22" customHeight="1">
      <x:c r="A118" s="10"/>
      <x:c r="B118" s="10"/>
      <x:c r="C118" s="10"/>
      <x:c r="D118" s="12"/>
      <x:c r="E118" s="10"/>
      <x:c r="F118" s="10"/>
      <x:c r="G118" s="9" t="str">
        <x:f>IF(A118="","",IF(COUNTIFS('Recipes'!$A$8:$A$207,A118)&lt;&gt;1,"Duplicate recipe ID",IF(OR(COUNTIFS('Definitions'!$A$8:$A$207,B118)&lt;&gt;1,COUNTIFS('Definitions'!$A$8:$A$207,C118)&lt;&gt;1),"Unknown / duplicate definition",IF(B118=C118,"Self reference",IF(OR(NOT(ISNUMBER(D118)),D118&lt;=0,MOD(D118,1)&lt;&gt;0),"Set positive whole quantity",IF(E118="","Set child role suffix","OK"))))))</x:f>
      </x:c>
    </x:row>
    <x:row r="119" ht="22" customHeight="1">
      <x:c r="A119" s="10"/>
      <x:c r="B119" s="10"/>
      <x:c r="C119" s="10"/>
      <x:c r="D119" s="12"/>
      <x:c r="E119" s="10"/>
      <x:c r="F119" s="10"/>
      <x:c r="G119" s="9" t="str">
        <x:f>IF(A119="","",IF(COUNTIFS('Recipes'!$A$8:$A$207,A119)&lt;&gt;1,"Duplicate recipe ID",IF(OR(COUNTIFS('Definitions'!$A$8:$A$207,B119)&lt;&gt;1,COUNTIFS('Definitions'!$A$8:$A$207,C119)&lt;&gt;1),"Unknown / duplicate definition",IF(B119=C119,"Self reference",IF(OR(NOT(ISNUMBER(D119)),D119&lt;=0,MOD(D119,1)&lt;&gt;0),"Set positive whole quantity",IF(E119="","Set child role suffix","OK"))))))</x:f>
      </x:c>
    </x:row>
    <x:row r="120" ht="22" customHeight="1">
      <x:c r="A120" s="10"/>
      <x:c r="B120" s="10"/>
      <x:c r="C120" s="10"/>
      <x:c r="D120" s="12"/>
      <x:c r="E120" s="10"/>
      <x:c r="F120" s="10"/>
      <x:c r="G120" s="9" t="str">
        <x:f>IF(A120="","",IF(COUNTIFS('Recipes'!$A$8:$A$207,A120)&lt;&gt;1,"Duplicate recipe ID",IF(OR(COUNTIFS('Definitions'!$A$8:$A$207,B120)&lt;&gt;1,COUNTIFS('Definitions'!$A$8:$A$207,C120)&lt;&gt;1),"Unknown / duplicate definition",IF(B120=C120,"Self reference",IF(OR(NOT(ISNUMBER(D120)),D120&lt;=0,MOD(D120,1)&lt;&gt;0),"Set positive whole quantity",IF(E120="","Set child role suffix","OK"))))))</x:f>
      </x:c>
    </x:row>
    <x:row r="121" ht="22" customHeight="1">
      <x:c r="A121" s="10"/>
      <x:c r="B121" s="10"/>
      <x:c r="C121" s="10"/>
      <x:c r="D121" s="12"/>
      <x:c r="E121" s="10"/>
      <x:c r="F121" s="10"/>
      <x:c r="G121" s="9" t="str">
        <x:f>IF(A121="","",IF(COUNTIFS('Recipes'!$A$8:$A$207,A121)&lt;&gt;1,"Duplicate recipe ID",IF(OR(COUNTIFS('Definitions'!$A$8:$A$207,B121)&lt;&gt;1,COUNTIFS('Definitions'!$A$8:$A$207,C121)&lt;&gt;1),"Unknown / duplicate definition",IF(B121=C121,"Self reference",IF(OR(NOT(ISNUMBER(D121)),D121&lt;=0,MOD(D121,1)&lt;&gt;0),"Set positive whole quantity",IF(E121="","Set child role suffix","OK"))))))</x:f>
      </x:c>
    </x:row>
    <x:row r="122" ht="22" customHeight="1">
      <x:c r="A122" s="10"/>
      <x:c r="B122" s="10"/>
      <x:c r="C122" s="10"/>
      <x:c r="D122" s="12"/>
      <x:c r="E122" s="10"/>
      <x:c r="F122" s="10"/>
      <x:c r="G122" s="9" t="str">
        <x:f>IF(A122="","",IF(COUNTIFS('Recipes'!$A$8:$A$207,A122)&lt;&gt;1,"Duplicate recipe ID",IF(OR(COUNTIFS('Definitions'!$A$8:$A$207,B122)&lt;&gt;1,COUNTIFS('Definitions'!$A$8:$A$207,C122)&lt;&gt;1),"Unknown / duplicate definition",IF(B122=C122,"Self reference",IF(OR(NOT(ISNUMBER(D122)),D122&lt;=0,MOD(D122,1)&lt;&gt;0),"Set positive whole quantity",IF(E122="","Set child role suffix","OK"))))))</x:f>
      </x:c>
    </x:row>
    <x:row r="123" ht="22" customHeight="1">
      <x:c r="A123" s="10"/>
      <x:c r="B123" s="10"/>
      <x:c r="C123" s="10"/>
      <x:c r="D123" s="12"/>
      <x:c r="E123" s="10"/>
      <x:c r="F123" s="10"/>
      <x:c r="G123" s="9" t="str">
        <x:f>IF(A123="","",IF(COUNTIFS('Recipes'!$A$8:$A$207,A123)&lt;&gt;1,"Duplicate recipe ID",IF(OR(COUNTIFS('Definitions'!$A$8:$A$207,B123)&lt;&gt;1,COUNTIFS('Definitions'!$A$8:$A$207,C123)&lt;&gt;1),"Unknown / duplicate definition",IF(B123=C123,"Self reference",IF(OR(NOT(ISNUMBER(D123)),D123&lt;=0,MOD(D123,1)&lt;&gt;0),"Set positive whole quantity",IF(E123="","Set child role suffix","OK"))))))</x:f>
      </x:c>
    </x:row>
    <x:row r="124" ht="22" customHeight="1">
      <x:c r="A124" s="10"/>
      <x:c r="B124" s="10"/>
      <x:c r="C124" s="10"/>
      <x:c r="D124" s="12"/>
      <x:c r="E124" s="10"/>
      <x:c r="F124" s="10"/>
      <x:c r="G124" s="9" t="str">
        <x:f>IF(A124="","",IF(COUNTIFS('Recipes'!$A$8:$A$207,A124)&lt;&gt;1,"Duplicate recipe ID",IF(OR(COUNTIFS('Definitions'!$A$8:$A$207,B124)&lt;&gt;1,COUNTIFS('Definitions'!$A$8:$A$207,C124)&lt;&gt;1),"Unknown / duplicate definition",IF(B124=C124,"Self reference",IF(OR(NOT(ISNUMBER(D124)),D124&lt;=0,MOD(D124,1)&lt;&gt;0),"Set positive whole quantity",IF(E124="","Set child role suffix","OK"))))))</x:f>
      </x:c>
    </x:row>
    <x:row r="125" ht="22" customHeight="1">
      <x:c r="A125" s="10"/>
      <x:c r="B125" s="10"/>
      <x:c r="C125" s="10"/>
      <x:c r="D125" s="12"/>
      <x:c r="E125" s="10"/>
      <x:c r="F125" s="10"/>
      <x:c r="G125" s="9" t="str">
        <x:f>IF(A125="","",IF(COUNTIFS('Recipes'!$A$8:$A$207,A125)&lt;&gt;1,"Duplicate recipe ID",IF(OR(COUNTIFS('Definitions'!$A$8:$A$207,B125)&lt;&gt;1,COUNTIFS('Definitions'!$A$8:$A$207,C125)&lt;&gt;1),"Unknown / duplicate definition",IF(B125=C125,"Self reference",IF(OR(NOT(ISNUMBER(D125)),D125&lt;=0,MOD(D125,1)&lt;&gt;0),"Set positive whole quantity",IF(E125="","Set child role suffix","OK"))))))</x:f>
      </x:c>
    </x:row>
    <x:row r="126" ht="22" customHeight="1">
      <x:c r="A126" s="10"/>
      <x:c r="B126" s="10"/>
      <x:c r="C126" s="10"/>
      <x:c r="D126" s="12"/>
      <x:c r="E126" s="10"/>
      <x:c r="F126" s="10"/>
      <x:c r="G126" s="9" t="str">
        <x:f>IF(A126="","",IF(COUNTIFS('Recipes'!$A$8:$A$207,A126)&lt;&gt;1,"Duplicate recipe ID",IF(OR(COUNTIFS('Definitions'!$A$8:$A$207,B126)&lt;&gt;1,COUNTIFS('Definitions'!$A$8:$A$207,C126)&lt;&gt;1),"Unknown / duplicate definition",IF(B126=C126,"Self reference",IF(OR(NOT(ISNUMBER(D126)),D126&lt;=0,MOD(D126,1)&lt;&gt;0),"Set positive whole quantity",IF(E126="","Set child role suffix","OK"))))))</x:f>
      </x:c>
    </x:row>
    <x:row r="127" ht="22" customHeight="1">
      <x:c r="A127" s="10"/>
      <x:c r="B127" s="10"/>
      <x:c r="C127" s="10"/>
      <x:c r="D127" s="12"/>
      <x:c r="E127" s="10"/>
      <x:c r="F127" s="10"/>
      <x:c r="G127" s="9" t="str">
        <x:f>IF(A127="","",IF(COUNTIFS('Recipes'!$A$8:$A$207,A127)&lt;&gt;1,"Duplicate recipe ID",IF(OR(COUNTIFS('Definitions'!$A$8:$A$207,B127)&lt;&gt;1,COUNTIFS('Definitions'!$A$8:$A$207,C127)&lt;&gt;1),"Unknown / duplicate definition",IF(B127=C127,"Self reference",IF(OR(NOT(ISNUMBER(D127)),D127&lt;=0,MOD(D127,1)&lt;&gt;0),"Set positive whole quantity",IF(E127="","Set child role suffix","OK"))))))</x:f>
      </x:c>
    </x:row>
    <x:row r="128" ht="22" customHeight="1">
      <x:c r="A128" s="10"/>
      <x:c r="B128" s="10"/>
      <x:c r="C128" s="10"/>
      <x:c r="D128" s="12"/>
      <x:c r="E128" s="10"/>
      <x:c r="F128" s="10"/>
      <x:c r="G128" s="9" t="str">
        <x:f>IF(A128="","",IF(COUNTIFS('Recipes'!$A$8:$A$207,A128)&lt;&gt;1,"Duplicate recipe ID",IF(OR(COUNTIFS('Definitions'!$A$8:$A$207,B128)&lt;&gt;1,COUNTIFS('Definitions'!$A$8:$A$207,C128)&lt;&gt;1),"Unknown / duplicate definition",IF(B128=C128,"Self reference",IF(OR(NOT(ISNUMBER(D128)),D128&lt;=0,MOD(D128,1)&lt;&gt;0),"Set positive whole quantity",IF(E128="","Set child role suffix","OK"))))))</x:f>
      </x:c>
    </x:row>
    <x:row r="129" ht="22" customHeight="1">
      <x:c r="A129" s="10"/>
      <x:c r="B129" s="10"/>
      <x:c r="C129" s="10"/>
      <x:c r="D129" s="12"/>
      <x:c r="E129" s="10"/>
      <x:c r="F129" s="10"/>
      <x:c r="G129" s="9" t="str">
        <x:f>IF(A129="","",IF(COUNTIFS('Recipes'!$A$8:$A$207,A129)&lt;&gt;1,"Duplicate recipe ID",IF(OR(COUNTIFS('Definitions'!$A$8:$A$207,B129)&lt;&gt;1,COUNTIFS('Definitions'!$A$8:$A$207,C129)&lt;&gt;1),"Unknown / duplicate definition",IF(B129=C129,"Self reference",IF(OR(NOT(ISNUMBER(D129)),D129&lt;=0,MOD(D129,1)&lt;&gt;0),"Set positive whole quantity",IF(E129="","Set child role suffix","OK"))))))</x:f>
      </x:c>
    </x:row>
    <x:row r="130" ht="22" customHeight="1">
      <x:c r="A130" s="10"/>
      <x:c r="B130" s="10"/>
      <x:c r="C130" s="10"/>
      <x:c r="D130" s="12"/>
      <x:c r="E130" s="10"/>
      <x:c r="F130" s="10"/>
      <x:c r="G130" s="9" t="str">
        <x:f>IF(A130="","",IF(COUNTIFS('Recipes'!$A$8:$A$207,A130)&lt;&gt;1,"Duplicate recipe ID",IF(OR(COUNTIFS('Definitions'!$A$8:$A$207,B130)&lt;&gt;1,COUNTIFS('Definitions'!$A$8:$A$207,C130)&lt;&gt;1),"Unknown / duplicate definition",IF(B130=C130,"Self reference",IF(OR(NOT(ISNUMBER(D130)),D130&lt;=0,MOD(D130,1)&lt;&gt;0),"Set positive whole quantity",IF(E130="","Set child role suffix","OK"))))))</x:f>
      </x:c>
    </x:row>
    <x:row r="131" ht="22" customHeight="1">
      <x:c r="A131" s="10"/>
      <x:c r="B131" s="10"/>
      <x:c r="C131" s="10"/>
      <x:c r="D131" s="12"/>
      <x:c r="E131" s="10"/>
      <x:c r="F131" s="10"/>
      <x:c r="G131" s="9" t="str">
        <x:f>IF(A131="","",IF(COUNTIFS('Recipes'!$A$8:$A$207,A131)&lt;&gt;1,"Duplicate recipe ID",IF(OR(COUNTIFS('Definitions'!$A$8:$A$207,B131)&lt;&gt;1,COUNTIFS('Definitions'!$A$8:$A$207,C131)&lt;&gt;1),"Unknown / duplicate definition",IF(B131=C131,"Self reference",IF(OR(NOT(ISNUMBER(D131)),D131&lt;=0,MOD(D131,1)&lt;&gt;0),"Set positive whole quantity",IF(E131="","Set child role suffix","OK"))))))</x:f>
      </x:c>
    </x:row>
    <x:row r="132" ht="22" customHeight="1">
      <x:c r="A132" s="10"/>
      <x:c r="B132" s="10"/>
      <x:c r="C132" s="10"/>
      <x:c r="D132" s="12"/>
      <x:c r="E132" s="10"/>
      <x:c r="F132" s="10"/>
      <x:c r="G132" s="9" t="str">
        <x:f>IF(A132="","",IF(COUNTIFS('Recipes'!$A$8:$A$207,A132)&lt;&gt;1,"Duplicate recipe ID",IF(OR(COUNTIFS('Definitions'!$A$8:$A$207,B132)&lt;&gt;1,COUNTIFS('Definitions'!$A$8:$A$207,C132)&lt;&gt;1),"Unknown / duplicate definition",IF(B132=C132,"Self reference",IF(OR(NOT(ISNUMBER(D132)),D132&lt;=0,MOD(D132,1)&lt;&gt;0),"Set positive whole quantity",IF(E132="","Set child role suffix","OK"))))))</x:f>
      </x:c>
    </x:row>
    <x:row r="133" ht="22" customHeight="1">
      <x:c r="A133" s="10"/>
      <x:c r="B133" s="10"/>
      <x:c r="C133" s="10"/>
      <x:c r="D133" s="12"/>
      <x:c r="E133" s="10"/>
      <x:c r="F133" s="10"/>
      <x:c r="G133" s="9" t="str">
        <x:f>IF(A133="","",IF(COUNTIFS('Recipes'!$A$8:$A$207,A133)&lt;&gt;1,"Duplicate recipe ID",IF(OR(COUNTIFS('Definitions'!$A$8:$A$207,B133)&lt;&gt;1,COUNTIFS('Definitions'!$A$8:$A$207,C133)&lt;&gt;1),"Unknown / duplicate definition",IF(B133=C133,"Self reference",IF(OR(NOT(ISNUMBER(D133)),D133&lt;=0,MOD(D133,1)&lt;&gt;0),"Set positive whole quantity",IF(E133="","Set child role suffix","OK"))))))</x:f>
      </x:c>
    </x:row>
    <x:row r="134" ht="22" customHeight="1">
      <x:c r="A134" s="10"/>
      <x:c r="B134" s="10"/>
      <x:c r="C134" s="10"/>
      <x:c r="D134" s="12"/>
      <x:c r="E134" s="10"/>
      <x:c r="F134" s="10"/>
      <x:c r="G134" s="9" t="str">
        <x:f>IF(A134="","",IF(COUNTIFS('Recipes'!$A$8:$A$207,A134)&lt;&gt;1,"Duplicate recipe ID",IF(OR(COUNTIFS('Definitions'!$A$8:$A$207,B134)&lt;&gt;1,COUNTIFS('Definitions'!$A$8:$A$207,C134)&lt;&gt;1),"Unknown / duplicate definition",IF(B134=C134,"Self reference",IF(OR(NOT(ISNUMBER(D134)),D134&lt;=0,MOD(D134,1)&lt;&gt;0),"Set positive whole quantity",IF(E134="","Set child role suffix","OK"))))))</x:f>
      </x:c>
    </x:row>
    <x:row r="135" ht="22" customHeight="1">
      <x:c r="A135" s="10"/>
      <x:c r="B135" s="10"/>
      <x:c r="C135" s="10"/>
      <x:c r="D135" s="12"/>
      <x:c r="E135" s="10"/>
      <x:c r="F135" s="10"/>
      <x:c r="G135" s="9" t="str">
        <x:f>IF(A135="","",IF(COUNTIFS('Recipes'!$A$8:$A$207,A135)&lt;&gt;1,"Duplicate recipe ID",IF(OR(COUNTIFS('Definitions'!$A$8:$A$207,B135)&lt;&gt;1,COUNTIFS('Definitions'!$A$8:$A$207,C135)&lt;&gt;1),"Unknown / duplicate definition",IF(B135=C135,"Self reference",IF(OR(NOT(ISNUMBER(D135)),D135&lt;=0,MOD(D135,1)&lt;&gt;0),"Set positive whole quantity",IF(E135="","Set child role suffix","OK"))))))</x:f>
      </x:c>
    </x:row>
    <x:row r="136" ht="22" customHeight="1">
      <x:c r="A136" s="10"/>
      <x:c r="B136" s="10"/>
      <x:c r="C136" s="10"/>
      <x:c r="D136" s="12"/>
      <x:c r="E136" s="10"/>
      <x:c r="F136" s="10"/>
      <x:c r="G136" s="9" t="str">
        <x:f>IF(A136="","",IF(COUNTIFS('Recipes'!$A$8:$A$207,A136)&lt;&gt;1,"Duplicate recipe ID",IF(OR(COUNTIFS('Definitions'!$A$8:$A$207,B136)&lt;&gt;1,COUNTIFS('Definitions'!$A$8:$A$207,C136)&lt;&gt;1),"Unknown / duplicate definition",IF(B136=C136,"Self reference",IF(OR(NOT(ISNUMBER(D136)),D136&lt;=0,MOD(D136,1)&lt;&gt;0),"Set positive whole quantity",IF(E136="","Set child role suffix","OK"))))))</x:f>
      </x:c>
    </x:row>
    <x:row r="137" ht="22" customHeight="1">
      <x:c r="A137" s="10"/>
      <x:c r="B137" s="10"/>
      <x:c r="C137" s="10"/>
      <x:c r="D137" s="12"/>
      <x:c r="E137" s="10"/>
      <x:c r="F137" s="10"/>
      <x:c r="G137" s="9" t="str">
        <x:f>IF(A137="","",IF(COUNTIFS('Recipes'!$A$8:$A$207,A137)&lt;&gt;1,"Duplicate recipe ID",IF(OR(COUNTIFS('Definitions'!$A$8:$A$207,B137)&lt;&gt;1,COUNTIFS('Definitions'!$A$8:$A$207,C137)&lt;&gt;1),"Unknown / duplicate definition",IF(B137=C137,"Self reference",IF(OR(NOT(ISNUMBER(D137)),D137&lt;=0,MOD(D137,1)&lt;&gt;0),"Set positive whole quantity",IF(E137="","Set child role suffix","OK"))))))</x:f>
      </x:c>
    </x:row>
    <x:row r="138" ht="22" customHeight="1">
      <x:c r="A138" s="10"/>
      <x:c r="B138" s="10"/>
      <x:c r="C138" s="10"/>
      <x:c r="D138" s="12"/>
      <x:c r="E138" s="10"/>
      <x:c r="F138" s="10"/>
      <x:c r="G138" s="9" t="str">
        <x:f>IF(A138="","",IF(COUNTIFS('Recipes'!$A$8:$A$207,A138)&lt;&gt;1,"Duplicate recipe ID",IF(OR(COUNTIFS('Definitions'!$A$8:$A$207,B138)&lt;&gt;1,COUNTIFS('Definitions'!$A$8:$A$207,C138)&lt;&gt;1),"Unknown / duplicate definition",IF(B138=C138,"Self reference",IF(OR(NOT(ISNUMBER(D138)),D138&lt;=0,MOD(D138,1)&lt;&gt;0),"Set positive whole quantity",IF(E138="","Set child role suffix","OK"))))))</x:f>
      </x:c>
    </x:row>
    <x:row r="139" ht="22" customHeight="1">
      <x:c r="A139" s="10"/>
      <x:c r="B139" s="10"/>
      <x:c r="C139" s="10"/>
      <x:c r="D139" s="12"/>
      <x:c r="E139" s="10"/>
      <x:c r="F139" s="10"/>
      <x:c r="G139" s="9" t="str">
        <x:f>IF(A139="","",IF(COUNTIFS('Recipes'!$A$8:$A$207,A139)&lt;&gt;1,"Duplicate recipe ID",IF(OR(COUNTIFS('Definitions'!$A$8:$A$207,B139)&lt;&gt;1,COUNTIFS('Definitions'!$A$8:$A$207,C139)&lt;&gt;1),"Unknown / duplicate definition",IF(B139=C139,"Self reference",IF(OR(NOT(ISNUMBER(D139)),D139&lt;=0,MOD(D139,1)&lt;&gt;0),"Set positive whole quantity",IF(E139="","Set child role suffix","OK"))))))</x:f>
      </x:c>
    </x:row>
    <x:row r="140" ht="22" customHeight="1">
      <x:c r="A140" s="10"/>
      <x:c r="B140" s="10"/>
      <x:c r="C140" s="10"/>
      <x:c r="D140" s="12"/>
      <x:c r="E140" s="10"/>
      <x:c r="F140" s="10"/>
      <x:c r="G140" s="9" t="str">
        <x:f>IF(A140="","",IF(COUNTIFS('Recipes'!$A$8:$A$207,A140)&lt;&gt;1,"Duplicate recipe ID",IF(OR(COUNTIFS('Definitions'!$A$8:$A$207,B140)&lt;&gt;1,COUNTIFS('Definitions'!$A$8:$A$207,C140)&lt;&gt;1),"Unknown / duplicate definition",IF(B140=C140,"Self reference",IF(OR(NOT(ISNUMBER(D140)),D140&lt;=0,MOD(D140,1)&lt;&gt;0),"Set positive whole quantity",IF(E140="","Set child role suffix","OK"))))))</x:f>
      </x:c>
    </x:row>
    <x:row r="141" ht="22" customHeight="1">
      <x:c r="A141" s="10"/>
      <x:c r="B141" s="10"/>
      <x:c r="C141" s="10"/>
      <x:c r="D141" s="12"/>
      <x:c r="E141" s="10"/>
      <x:c r="F141" s="10"/>
      <x:c r="G141" s="9" t="str">
        <x:f>IF(A141="","",IF(COUNTIFS('Recipes'!$A$8:$A$207,A141)&lt;&gt;1,"Duplicate recipe ID",IF(OR(COUNTIFS('Definitions'!$A$8:$A$207,B141)&lt;&gt;1,COUNTIFS('Definitions'!$A$8:$A$207,C141)&lt;&gt;1),"Unknown / duplicate definition",IF(B141=C141,"Self reference",IF(OR(NOT(ISNUMBER(D141)),D141&lt;=0,MOD(D141,1)&lt;&gt;0),"Set positive whole quantity",IF(E141="","Set child role suffix","OK"))))))</x:f>
      </x:c>
    </x:row>
    <x:row r="142" ht="22" customHeight="1">
      <x:c r="A142" s="10"/>
      <x:c r="B142" s="10"/>
      <x:c r="C142" s="10"/>
      <x:c r="D142" s="12"/>
      <x:c r="E142" s="10"/>
      <x:c r="F142" s="10"/>
      <x:c r="G142" s="9" t="str">
        <x:f>IF(A142="","",IF(COUNTIFS('Recipes'!$A$8:$A$207,A142)&lt;&gt;1,"Duplicate recipe ID",IF(OR(COUNTIFS('Definitions'!$A$8:$A$207,B142)&lt;&gt;1,COUNTIFS('Definitions'!$A$8:$A$207,C142)&lt;&gt;1),"Unknown / duplicate definition",IF(B142=C142,"Self reference",IF(OR(NOT(ISNUMBER(D142)),D142&lt;=0,MOD(D142,1)&lt;&gt;0),"Set positive whole quantity",IF(E142="","Set child role suffix","OK"))))))</x:f>
      </x:c>
    </x:row>
    <x:row r="143" ht="22" customHeight="1">
      <x:c r="A143" s="10"/>
      <x:c r="B143" s="10"/>
      <x:c r="C143" s="10"/>
      <x:c r="D143" s="12"/>
      <x:c r="E143" s="10"/>
      <x:c r="F143" s="10"/>
      <x:c r="G143" s="9" t="str">
        <x:f>IF(A143="","",IF(COUNTIFS('Recipes'!$A$8:$A$207,A143)&lt;&gt;1,"Duplicate recipe ID",IF(OR(COUNTIFS('Definitions'!$A$8:$A$207,B143)&lt;&gt;1,COUNTIFS('Definitions'!$A$8:$A$207,C143)&lt;&gt;1),"Unknown / duplicate definition",IF(B143=C143,"Self reference",IF(OR(NOT(ISNUMBER(D143)),D143&lt;=0,MOD(D143,1)&lt;&gt;0),"Set positive whole quantity",IF(E143="","Set child role suffix","OK"))))))</x:f>
      </x:c>
    </x:row>
    <x:row r="144" ht="22" customHeight="1">
      <x:c r="A144" s="10"/>
      <x:c r="B144" s="10"/>
      <x:c r="C144" s="10"/>
      <x:c r="D144" s="12"/>
      <x:c r="E144" s="10"/>
      <x:c r="F144" s="10"/>
      <x:c r="G144" s="9" t="str">
        <x:f>IF(A144="","",IF(COUNTIFS('Recipes'!$A$8:$A$207,A144)&lt;&gt;1,"Duplicate recipe ID",IF(OR(COUNTIFS('Definitions'!$A$8:$A$207,B144)&lt;&gt;1,COUNTIFS('Definitions'!$A$8:$A$207,C144)&lt;&gt;1),"Unknown / duplicate definition",IF(B144=C144,"Self reference",IF(OR(NOT(ISNUMBER(D144)),D144&lt;=0,MOD(D144,1)&lt;&gt;0),"Set positive whole quantity",IF(E144="","Set child role suffix","OK"))))))</x:f>
      </x:c>
    </x:row>
    <x:row r="145" ht="22" customHeight="1">
      <x:c r="A145" s="10"/>
      <x:c r="B145" s="10"/>
      <x:c r="C145" s="10"/>
      <x:c r="D145" s="12"/>
      <x:c r="E145" s="10"/>
      <x:c r="F145" s="10"/>
      <x:c r="G145" s="9" t="str">
        <x:f>IF(A145="","",IF(COUNTIFS('Recipes'!$A$8:$A$207,A145)&lt;&gt;1,"Duplicate recipe ID",IF(OR(COUNTIFS('Definitions'!$A$8:$A$207,B145)&lt;&gt;1,COUNTIFS('Definitions'!$A$8:$A$207,C145)&lt;&gt;1),"Unknown / duplicate definition",IF(B145=C145,"Self reference",IF(OR(NOT(ISNUMBER(D145)),D145&lt;=0,MOD(D145,1)&lt;&gt;0),"Set positive whole quantity",IF(E145="","Set child role suffix","OK"))))))</x:f>
      </x:c>
    </x:row>
    <x:row r="146" ht="22" customHeight="1">
      <x:c r="A146" s="10"/>
      <x:c r="B146" s="10"/>
      <x:c r="C146" s="10"/>
      <x:c r="D146" s="12"/>
      <x:c r="E146" s="10"/>
      <x:c r="F146" s="10"/>
      <x:c r="G146" s="9" t="str">
        <x:f>IF(A146="","",IF(COUNTIFS('Recipes'!$A$8:$A$207,A146)&lt;&gt;1,"Duplicate recipe ID",IF(OR(COUNTIFS('Definitions'!$A$8:$A$207,B146)&lt;&gt;1,COUNTIFS('Definitions'!$A$8:$A$207,C146)&lt;&gt;1),"Unknown / duplicate definition",IF(B146=C146,"Self reference",IF(OR(NOT(ISNUMBER(D146)),D146&lt;=0,MOD(D146,1)&lt;&gt;0),"Set positive whole quantity",IF(E146="","Set child role suffix","OK"))))))</x:f>
      </x:c>
    </x:row>
    <x:row r="147" ht="22" customHeight="1">
      <x:c r="A147" s="10"/>
      <x:c r="B147" s="10"/>
      <x:c r="C147" s="10"/>
      <x:c r="D147" s="12"/>
      <x:c r="E147" s="10"/>
      <x:c r="F147" s="10"/>
      <x:c r="G147" s="9" t="str">
        <x:f>IF(A147="","",IF(COUNTIFS('Recipes'!$A$8:$A$207,A147)&lt;&gt;1,"Duplicate recipe ID",IF(OR(COUNTIFS('Definitions'!$A$8:$A$207,B147)&lt;&gt;1,COUNTIFS('Definitions'!$A$8:$A$207,C147)&lt;&gt;1),"Unknown / duplicate definition",IF(B147=C147,"Self reference",IF(OR(NOT(ISNUMBER(D147)),D147&lt;=0,MOD(D147,1)&lt;&gt;0),"Set positive whole quantity",IF(E147="","Set child role suffix","OK"))))))</x:f>
      </x:c>
    </x:row>
    <x:row r="148" ht="22" customHeight="1">
      <x:c r="A148" s="10"/>
      <x:c r="B148" s="10"/>
      <x:c r="C148" s="10"/>
      <x:c r="D148" s="12"/>
      <x:c r="E148" s="10"/>
      <x:c r="F148" s="10"/>
      <x:c r="G148" s="9" t="str">
        <x:f>IF(A148="","",IF(COUNTIFS('Recipes'!$A$8:$A$207,A148)&lt;&gt;1,"Duplicate recipe ID",IF(OR(COUNTIFS('Definitions'!$A$8:$A$207,B148)&lt;&gt;1,COUNTIFS('Definitions'!$A$8:$A$207,C148)&lt;&gt;1),"Unknown / duplicate definition",IF(B148=C148,"Self reference",IF(OR(NOT(ISNUMBER(D148)),D148&lt;=0,MOD(D148,1)&lt;&gt;0),"Set positive whole quantity",IF(E148="","Set child role suffix","OK"))))))</x:f>
      </x:c>
    </x:row>
    <x:row r="149" ht="22" customHeight="1">
      <x:c r="A149" s="10"/>
      <x:c r="B149" s="10"/>
      <x:c r="C149" s="10"/>
      <x:c r="D149" s="12"/>
      <x:c r="E149" s="10"/>
      <x:c r="F149" s="10"/>
      <x:c r="G149" s="9" t="str">
        <x:f>IF(A149="","",IF(COUNTIFS('Recipes'!$A$8:$A$207,A149)&lt;&gt;1,"Duplicate recipe ID",IF(OR(COUNTIFS('Definitions'!$A$8:$A$207,B149)&lt;&gt;1,COUNTIFS('Definitions'!$A$8:$A$207,C149)&lt;&gt;1),"Unknown / duplicate definition",IF(B149=C149,"Self reference",IF(OR(NOT(ISNUMBER(D149)),D149&lt;=0,MOD(D149,1)&lt;&gt;0),"Set positive whole quantity",IF(E149="","Set child role suffix","OK"))))))</x:f>
      </x:c>
    </x:row>
    <x:row r="150" ht="22" customHeight="1">
      <x:c r="A150" s="10"/>
      <x:c r="B150" s="10"/>
      <x:c r="C150" s="10"/>
      <x:c r="D150" s="12"/>
      <x:c r="E150" s="10"/>
      <x:c r="F150" s="10"/>
      <x:c r="G150" s="9" t="str">
        <x:f>IF(A150="","",IF(COUNTIFS('Recipes'!$A$8:$A$207,A150)&lt;&gt;1,"Duplicate recipe ID",IF(OR(COUNTIFS('Definitions'!$A$8:$A$207,B150)&lt;&gt;1,COUNTIFS('Definitions'!$A$8:$A$207,C150)&lt;&gt;1),"Unknown / duplicate definition",IF(B150=C150,"Self reference",IF(OR(NOT(ISNUMBER(D150)),D150&lt;=0,MOD(D150,1)&lt;&gt;0),"Set positive whole quantity",IF(E150="","Set child role suffix","OK"))))))</x:f>
      </x:c>
    </x:row>
    <x:row r="151" ht="22" customHeight="1">
      <x:c r="A151" s="10"/>
      <x:c r="B151" s="10"/>
      <x:c r="C151" s="10"/>
      <x:c r="D151" s="12"/>
      <x:c r="E151" s="10"/>
      <x:c r="F151" s="10"/>
      <x:c r="G151" s="9" t="str">
        <x:f>IF(A151="","",IF(COUNTIFS('Recipes'!$A$8:$A$207,A151)&lt;&gt;1,"Duplicate recipe ID",IF(OR(COUNTIFS('Definitions'!$A$8:$A$207,B151)&lt;&gt;1,COUNTIFS('Definitions'!$A$8:$A$207,C151)&lt;&gt;1),"Unknown / duplicate definition",IF(B151=C151,"Self reference",IF(OR(NOT(ISNUMBER(D151)),D151&lt;=0,MOD(D151,1)&lt;&gt;0),"Set positive whole quantity",IF(E151="","Set child role suffix","OK"))))))</x:f>
      </x:c>
    </x:row>
    <x:row r="152" ht="22" customHeight="1">
      <x:c r="A152" s="10"/>
      <x:c r="B152" s="10"/>
      <x:c r="C152" s="10"/>
      <x:c r="D152" s="12"/>
      <x:c r="E152" s="10"/>
      <x:c r="F152" s="10"/>
      <x:c r="G152" s="9" t="str">
        <x:f>IF(A152="","",IF(COUNTIFS('Recipes'!$A$8:$A$207,A152)&lt;&gt;1,"Duplicate recipe ID",IF(OR(COUNTIFS('Definitions'!$A$8:$A$207,B152)&lt;&gt;1,COUNTIFS('Definitions'!$A$8:$A$207,C152)&lt;&gt;1),"Unknown / duplicate definition",IF(B152=C152,"Self reference",IF(OR(NOT(ISNUMBER(D152)),D152&lt;=0,MOD(D152,1)&lt;&gt;0),"Set positive whole quantity",IF(E152="","Set child role suffix","OK"))))))</x:f>
      </x:c>
    </x:row>
    <x:row r="153" ht="22" customHeight="1">
      <x:c r="A153" s="10"/>
      <x:c r="B153" s="10"/>
      <x:c r="C153" s="10"/>
      <x:c r="D153" s="12"/>
      <x:c r="E153" s="10"/>
      <x:c r="F153" s="10"/>
      <x:c r="G153" s="9" t="str">
        <x:f>IF(A153="","",IF(COUNTIFS('Recipes'!$A$8:$A$207,A153)&lt;&gt;1,"Duplicate recipe ID",IF(OR(COUNTIFS('Definitions'!$A$8:$A$207,B153)&lt;&gt;1,COUNTIFS('Definitions'!$A$8:$A$207,C153)&lt;&gt;1),"Unknown / duplicate definition",IF(B153=C153,"Self reference",IF(OR(NOT(ISNUMBER(D153)),D153&lt;=0,MOD(D153,1)&lt;&gt;0),"Set positive whole quantity",IF(E153="","Set child role suffix","OK"))))))</x:f>
      </x:c>
    </x:row>
    <x:row r="154" ht="22" customHeight="1">
      <x:c r="A154" s="10"/>
      <x:c r="B154" s="10"/>
      <x:c r="C154" s="10"/>
      <x:c r="D154" s="12"/>
      <x:c r="E154" s="10"/>
      <x:c r="F154" s="10"/>
      <x:c r="G154" s="9" t="str">
        <x:f>IF(A154="","",IF(COUNTIFS('Recipes'!$A$8:$A$207,A154)&lt;&gt;1,"Duplicate recipe ID",IF(OR(COUNTIFS('Definitions'!$A$8:$A$207,B154)&lt;&gt;1,COUNTIFS('Definitions'!$A$8:$A$207,C154)&lt;&gt;1),"Unknown / duplicate definition",IF(B154=C154,"Self reference",IF(OR(NOT(ISNUMBER(D154)),D154&lt;=0,MOD(D154,1)&lt;&gt;0),"Set positive whole quantity",IF(E154="","Set child role suffix","OK"))))))</x:f>
      </x:c>
    </x:row>
    <x:row r="155" ht="22" customHeight="1">
      <x:c r="A155" s="10"/>
      <x:c r="B155" s="10"/>
      <x:c r="C155" s="10"/>
      <x:c r="D155" s="12"/>
      <x:c r="E155" s="10"/>
      <x:c r="F155" s="10"/>
      <x:c r="G155" s="9" t="str">
        <x:f>IF(A155="","",IF(COUNTIFS('Recipes'!$A$8:$A$207,A155)&lt;&gt;1,"Duplicate recipe ID",IF(OR(COUNTIFS('Definitions'!$A$8:$A$207,B155)&lt;&gt;1,COUNTIFS('Definitions'!$A$8:$A$207,C155)&lt;&gt;1),"Unknown / duplicate definition",IF(B155=C155,"Self reference",IF(OR(NOT(ISNUMBER(D155)),D155&lt;=0,MOD(D155,1)&lt;&gt;0),"Set positive whole quantity",IF(E155="","Set child role suffix","OK"))))))</x:f>
      </x:c>
    </x:row>
    <x:row r="156" ht="22" customHeight="1">
      <x:c r="A156" s="10"/>
      <x:c r="B156" s="10"/>
      <x:c r="C156" s="10"/>
      <x:c r="D156" s="12"/>
      <x:c r="E156" s="10"/>
      <x:c r="F156" s="10"/>
      <x:c r="G156" s="9" t="str">
        <x:f>IF(A156="","",IF(COUNTIFS('Recipes'!$A$8:$A$207,A156)&lt;&gt;1,"Duplicate recipe ID",IF(OR(COUNTIFS('Definitions'!$A$8:$A$207,B156)&lt;&gt;1,COUNTIFS('Definitions'!$A$8:$A$207,C156)&lt;&gt;1),"Unknown / duplicate definition",IF(B156=C156,"Self reference",IF(OR(NOT(ISNUMBER(D156)),D156&lt;=0,MOD(D156,1)&lt;&gt;0),"Set positive whole quantity",IF(E156="","Set child role suffix","OK"))))))</x:f>
      </x:c>
    </x:row>
    <x:row r="157" ht="22" customHeight="1">
      <x:c r="A157" s="10"/>
      <x:c r="B157" s="10"/>
      <x:c r="C157" s="10"/>
      <x:c r="D157" s="12"/>
      <x:c r="E157" s="10"/>
      <x:c r="F157" s="10"/>
      <x:c r="G157" s="9" t="str">
        <x:f>IF(A157="","",IF(COUNTIFS('Recipes'!$A$8:$A$207,A157)&lt;&gt;1,"Duplicate recipe ID",IF(OR(COUNTIFS('Definitions'!$A$8:$A$207,B157)&lt;&gt;1,COUNTIFS('Definitions'!$A$8:$A$207,C157)&lt;&gt;1),"Unknown / duplicate definition",IF(B157=C157,"Self reference",IF(OR(NOT(ISNUMBER(D157)),D157&lt;=0,MOD(D157,1)&lt;&gt;0),"Set positive whole quantity",IF(E157="","Set child role suffix","OK"))))))</x:f>
      </x:c>
    </x:row>
    <x:row r="158" ht="22" customHeight="1">
      <x:c r="A158" s="10"/>
      <x:c r="B158" s="10"/>
      <x:c r="C158" s="10"/>
      <x:c r="D158" s="12"/>
      <x:c r="E158" s="10"/>
      <x:c r="F158" s="10"/>
      <x:c r="G158" s="9" t="str">
        <x:f>IF(A158="","",IF(COUNTIFS('Recipes'!$A$8:$A$207,A158)&lt;&gt;1,"Duplicate recipe ID",IF(OR(COUNTIFS('Definitions'!$A$8:$A$207,B158)&lt;&gt;1,COUNTIFS('Definitions'!$A$8:$A$207,C158)&lt;&gt;1),"Unknown / duplicate definition",IF(B158=C158,"Self reference",IF(OR(NOT(ISNUMBER(D158)),D158&lt;=0,MOD(D158,1)&lt;&gt;0),"Set positive whole quantity",IF(E158="","Set child role suffix","OK"))))))</x:f>
      </x:c>
    </x:row>
    <x:row r="159" ht="22" customHeight="1">
      <x:c r="A159" s="10"/>
      <x:c r="B159" s="10"/>
      <x:c r="C159" s="10"/>
      <x:c r="D159" s="12"/>
      <x:c r="E159" s="10"/>
      <x:c r="F159" s="10"/>
      <x:c r="G159" s="9" t="str">
        <x:f>IF(A159="","",IF(COUNTIFS('Recipes'!$A$8:$A$207,A159)&lt;&gt;1,"Duplicate recipe ID",IF(OR(COUNTIFS('Definitions'!$A$8:$A$207,B159)&lt;&gt;1,COUNTIFS('Definitions'!$A$8:$A$207,C159)&lt;&gt;1),"Unknown / duplicate definition",IF(B159=C159,"Self reference",IF(OR(NOT(ISNUMBER(D159)),D159&lt;=0,MOD(D159,1)&lt;&gt;0),"Set positive whole quantity",IF(E159="","Set child role suffix","OK"))))))</x:f>
      </x:c>
    </x:row>
    <x:row r="160" ht="22" customHeight="1">
      <x:c r="A160" s="10"/>
      <x:c r="B160" s="10"/>
      <x:c r="C160" s="10"/>
      <x:c r="D160" s="12"/>
      <x:c r="E160" s="10"/>
      <x:c r="F160" s="10"/>
      <x:c r="G160" s="9" t="str">
        <x:f>IF(A160="","",IF(COUNTIFS('Recipes'!$A$8:$A$207,A160)&lt;&gt;1,"Duplicate recipe ID",IF(OR(COUNTIFS('Definitions'!$A$8:$A$207,B160)&lt;&gt;1,COUNTIFS('Definitions'!$A$8:$A$207,C160)&lt;&gt;1),"Unknown / duplicate definition",IF(B160=C160,"Self reference",IF(OR(NOT(ISNUMBER(D160)),D160&lt;=0,MOD(D160,1)&lt;&gt;0),"Set positive whole quantity",IF(E160="","Set child role suffix","OK"))))))</x:f>
      </x:c>
    </x:row>
    <x:row r="161" ht="22" customHeight="1">
      <x:c r="A161" s="10"/>
      <x:c r="B161" s="10"/>
      <x:c r="C161" s="10"/>
      <x:c r="D161" s="12"/>
      <x:c r="E161" s="10"/>
      <x:c r="F161" s="10"/>
      <x:c r="G161" s="9" t="str">
        <x:f>IF(A161="","",IF(COUNTIFS('Recipes'!$A$8:$A$207,A161)&lt;&gt;1,"Duplicate recipe ID",IF(OR(COUNTIFS('Definitions'!$A$8:$A$207,B161)&lt;&gt;1,COUNTIFS('Definitions'!$A$8:$A$207,C161)&lt;&gt;1),"Unknown / duplicate definition",IF(B161=C161,"Self reference",IF(OR(NOT(ISNUMBER(D161)),D161&lt;=0,MOD(D161,1)&lt;&gt;0),"Set positive whole quantity",IF(E161="","Set child role suffix","OK"))))))</x:f>
      </x:c>
    </x:row>
    <x:row r="162" ht="22" customHeight="1">
      <x:c r="A162" s="10"/>
      <x:c r="B162" s="10"/>
      <x:c r="C162" s="10"/>
      <x:c r="D162" s="12"/>
      <x:c r="E162" s="10"/>
      <x:c r="F162" s="10"/>
      <x:c r="G162" s="9" t="str">
        <x:f>IF(A162="","",IF(COUNTIFS('Recipes'!$A$8:$A$207,A162)&lt;&gt;1,"Duplicate recipe ID",IF(OR(COUNTIFS('Definitions'!$A$8:$A$207,B162)&lt;&gt;1,COUNTIFS('Definitions'!$A$8:$A$207,C162)&lt;&gt;1),"Unknown / duplicate definition",IF(B162=C162,"Self reference",IF(OR(NOT(ISNUMBER(D162)),D162&lt;=0,MOD(D162,1)&lt;&gt;0),"Set positive whole quantity",IF(E162="","Set child role suffix","OK"))))))</x:f>
      </x:c>
    </x:row>
    <x:row r="163" ht="22" customHeight="1">
      <x:c r="A163" s="10"/>
      <x:c r="B163" s="10"/>
      <x:c r="C163" s="10"/>
      <x:c r="D163" s="12"/>
      <x:c r="E163" s="10"/>
      <x:c r="F163" s="10"/>
      <x:c r="G163" s="9" t="str">
        <x:f>IF(A163="","",IF(COUNTIFS('Recipes'!$A$8:$A$207,A163)&lt;&gt;1,"Duplicate recipe ID",IF(OR(COUNTIFS('Definitions'!$A$8:$A$207,B163)&lt;&gt;1,COUNTIFS('Definitions'!$A$8:$A$207,C163)&lt;&gt;1),"Unknown / duplicate definition",IF(B163=C163,"Self reference",IF(OR(NOT(ISNUMBER(D163)),D163&lt;=0,MOD(D163,1)&lt;&gt;0),"Set positive whole quantity",IF(E163="","Set child role suffix","OK"))))))</x:f>
      </x:c>
    </x:row>
    <x:row r="164" ht="22" customHeight="1">
      <x:c r="A164" s="10"/>
      <x:c r="B164" s="10"/>
      <x:c r="C164" s="10"/>
      <x:c r="D164" s="12"/>
      <x:c r="E164" s="10"/>
      <x:c r="F164" s="10"/>
      <x:c r="G164" s="9" t="str">
        <x:f>IF(A164="","",IF(COUNTIFS('Recipes'!$A$8:$A$207,A164)&lt;&gt;1,"Duplicate recipe ID",IF(OR(COUNTIFS('Definitions'!$A$8:$A$207,B164)&lt;&gt;1,COUNTIFS('Definitions'!$A$8:$A$207,C164)&lt;&gt;1),"Unknown / duplicate definition",IF(B164=C164,"Self reference",IF(OR(NOT(ISNUMBER(D164)),D164&lt;=0,MOD(D164,1)&lt;&gt;0),"Set positive whole quantity",IF(E164="","Set child role suffix","OK"))))))</x:f>
      </x:c>
    </x:row>
    <x:row r="165" ht="22" customHeight="1">
      <x:c r="A165" s="10"/>
      <x:c r="B165" s="10"/>
      <x:c r="C165" s="10"/>
      <x:c r="D165" s="12"/>
      <x:c r="E165" s="10"/>
      <x:c r="F165" s="10"/>
      <x:c r="G165" s="9" t="str">
        <x:f>IF(A165="","",IF(COUNTIFS('Recipes'!$A$8:$A$207,A165)&lt;&gt;1,"Duplicate recipe ID",IF(OR(COUNTIFS('Definitions'!$A$8:$A$207,B165)&lt;&gt;1,COUNTIFS('Definitions'!$A$8:$A$207,C165)&lt;&gt;1),"Unknown / duplicate definition",IF(B165=C165,"Self reference",IF(OR(NOT(ISNUMBER(D165)),D165&lt;=0,MOD(D165,1)&lt;&gt;0),"Set positive whole quantity",IF(E165="","Set child role suffix","OK"))))))</x:f>
      </x:c>
    </x:row>
    <x:row r="166" ht="22" customHeight="1">
      <x:c r="A166" s="10"/>
      <x:c r="B166" s="10"/>
      <x:c r="C166" s="10"/>
      <x:c r="D166" s="12"/>
      <x:c r="E166" s="10"/>
      <x:c r="F166" s="10"/>
      <x:c r="G166" s="9" t="str">
        <x:f>IF(A166="","",IF(COUNTIFS('Recipes'!$A$8:$A$207,A166)&lt;&gt;1,"Duplicate recipe ID",IF(OR(COUNTIFS('Definitions'!$A$8:$A$207,B166)&lt;&gt;1,COUNTIFS('Definitions'!$A$8:$A$207,C166)&lt;&gt;1),"Unknown / duplicate definition",IF(B166=C166,"Self reference",IF(OR(NOT(ISNUMBER(D166)),D166&lt;=0,MOD(D166,1)&lt;&gt;0),"Set positive whole quantity",IF(E166="","Set child role suffix","OK"))))))</x:f>
      </x:c>
    </x:row>
    <x:row r="167" ht="22" customHeight="1">
      <x:c r="A167" s="10"/>
      <x:c r="B167" s="10"/>
      <x:c r="C167" s="10"/>
      <x:c r="D167" s="12"/>
      <x:c r="E167" s="10"/>
      <x:c r="F167" s="10"/>
      <x:c r="G167" s="9" t="str">
        <x:f>IF(A167="","",IF(COUNTIFS('Recipes'!$A$8:$A$207,A167)&lt;&gt;1,"Duplicate recipe ID",IF(OR(COUNTIFS('Definitions'!$A$8:$A$207,B167)&lt;&gt;1,COUNTIFS('Definitions'!$A$8:$A$207,C167)&lt;&gt;1),"Unknown / duplicate definition",IF(B167=C167,"Self reference",IF(OR(NOT(ISNUMBER(D167)),D167&lt;=0,MOD(D167,1)&lt;&gt;0),"Set positive whole quantity",IF(E167="","Set child role suffix","OK"))))))</x:f>
      </x:c>
    </x:row>
    <x:row r="168" ht="22" customHeight="1">
      <x:c r="A168" s="10"/>
      <x:c r="B168" s="10"/>
      <x:c r="C168" s="10"/>
      <x:c r="D168" s="12"/>
      <x:c r="E168" s="10"/>
      <x:c r="F168" s="10"/>
      <x:c r="G168" s="9" t="str">
        <x:f>IF(A168="","",IF(COUNTIFS('Recipes'!$A$8:$A$207,A168)&lt;&gt;1,"Duplicate recipe ID",IF(OR(COUNTIFS('Definitions'!$A$8:$A$207,B168)&lt;&gt;1,COUNTIFS('Definitions'!$A$8:$A$207,C168)&lt;&gt;1),"Unknown / duplicate definition",IF(B168=C168,"Self reference",IF(OR(NOT(ISNUMBER(D168)),D168&lt;=0,MOD(D168,1)&lt;&gt;0),"Set positive whole quantity",IF(E168="","Set child role suffix","OK"))))))</x:f>
      </x:c>
    </x:row>
    <x:row r="169" ht="22" customHeight="1">
      <x:c r="A169" s="10"/>
      <x:c r="B169" s="10"/>
      <x:c r="C169" s="10"/>
      <x:c r="D169" s="12"/>
      <x:c r="E169" s="10"/>
      <x:c r="F169" s="10"/>
      <x:c r="G169" s="9" t="str">
        <x:f>IF(A169="","",IF(COUNTIFS('Recipes'!$A$8:$A$207,A169)&lt;&gt;1,"Duplicate recipe ID",IF(OR(COUNTIFS('Definitions'!$A$8:$A$207,B169)&lt;&gt;1,COUNTIFS('Definitions'!$A$8:$A$207,C169)&lt;&gt;1),"Unknown / duplicate definition",IF(B169=C169,"Self reference",IF(OR(NOT(ISNUMBER(D169)),D169&lt;=0,MOD(D169,1)&lt;&gt;0),"Set positive whole quantity",IF(E169="","Set child role suffix","OK"))))))</x:f>
      </x:c>
    </x:row>
    <x:row r="170" ht="22" customHeight="1">
      <x:c r="A170" s="10"/>
      <x:c r="B170" s="10"/>
      <x:c r="C170" s="10"/>
      <x:c r="D170" s="12"/>
      <x:c r="E170" s="10"/>
      <x:c r="F170" s="10"/>
      <x:c r="G170" s="9" t="str">
        <x:f>IF(A170="","",IF(COUNTIFS('Recipes'!$A$8:$A$207,A170)&lt;&gt;1,"Duplicate recipe ID",IF(OR(COUNTIFS('Definitions'!$A$8:$A$207,B170)&lt;&gt;1,COUNTIFS('Definitions'!$A$8:$A$207,C170)&lt;&gt;1),"Unknown / duplicate definition",IF(B170=C170,"Self reference",IF(OR(NOT(ISNUMBER(D170)),D170&lt;=0,MOD(D170,1)&lt;&gt;0),"Set positive whole quantity",IF(E170="","Set child role suffix","OK"))))))</x:f>
      </x:c>
    </x:row>
    <x:row r="171" ht="22" customHeight="1">
      <x:c r="A171" s="10"/>
      <x:c r="B171" s="10"/>
      <x:c r="C171" s="10"/>
      <x:c r="D171" s="12"/>
      <x:c r="E171" s="10"/>
      <x:c r="F171" s="10"/>
      <x:c r="G171" s="9" t="str">
        <x:f>IF(A171="","",IF(COUNTIFS('Recipes'!$A$8:$A$207,A171)&lt;&gt;1,"Duplicate recipe ID",IF(OR(COUNTIFS('Definitions'!$A$8:$A$207,B171)&lt;&gt;1,COUNTIFS('Definitions'!$A$8:$A$207,C171)&lt;&gt;1),"Unknown / duplicate definition",IF(B171=C171,"Self reference",IF(OR(NOT(ISNUMBER(D171)),D171&lt;=0,MOD(D171,1)&lt;&gt;0),"Set positive whole quantity",IF(E171="","Set child role suffix","OK"))))))</x:f>
      </x:c>
    </x:row>
    <x:row r="172" ht="22" customHeight="1">
      <x:c r="A172" s="10"/>
      <x:c r="B172" s="10"/>
      <x:c r="C172" s="10"/>
      <x:c r="D172" s="12"/>
      <x:c r="E172" s="10"/>
      <x:c r="F172" s="10"/>
      <x:c r="G172" s="9" t="str">
        <x:f>IF(A172="","",IF(COUNTIFS('Recipes'!$A$8:$A$207,A172)&lt;&gt;1,"Duplicate recipe ID",IF(OR(COUNTIFS('Definitions'!$A$8:$A$207,B172)&lt;&gt;1,COUNTIFS('Definitions'!$A$8:$A$207,C172)&lt;&gt;1),"Unknown / duplicate definition",IF(B172=C172,"Self reference",IF(OR(NOT(ISNUMBER(D172)),D172&lt;=0,MOD(D172,1)&lt;&gt;0),"Set positive whole quantity",IF(E172="","Set child role suffix","OK"))))))</x:f>
      </x:c>
    </x:row>
    <x:row r="173" ht="22" customHeight="1">
      <x:c r="A173" s="10"/>
      <x:c r="B173" s="10"/>
      <x:c r="C173" s="10"/>
      <x:c r="D173" s="12"/>
      <x:c r="E173" s="10"/>
      <x:c r="F173" s="10"/>
      <x:c r="G173" s="9" t="str">
        <x:f>IF(A173="","",IF(COUNTIFS('Recipes'!$A$8:$A$207,A173)&lt;&gt;1,"Duplicate recipe ID",IF(OR(COUNTIFS('Definitions'!$A$8:$A$207,B173)&lt;&gt;1,COUNTIFS('Definitions'!$A$8:$A$207,C173)&lt;&gt;1),"Unknown / duplicate definition",IF(B173=C173,"Self reference",IF(OR(NOT(ISNUMBER(D173)),D173&lt;=0,MOD(D173,1)&lt;&gt;0),"Set positive whole quantity",IF(E173="","Set child role suffix","OK"))))))</x:f>
      </x:c>
    </x:row>
    <x:row r="174" ht="22" customHeight="1">
      <x:c r="A174" s="10"/>
      <x:c r="B174" s="10"/>
      <x:c r="C174" s="10"/>
      <x:c r="D174" s="12"/>
      <x:c r="E174" s="10"/>
      <x:c r="F174" s="10"/>
      <x:c r="G174" s="9" t="str">
        <x:f>IF(A174="","",IF(COUNTIFS('Recipes'!$A$8:$A$207,A174)&lt;&gt;1,"Duplicate recipe ID",IF(OR(COUNTIFS('Definitions'!$A$8:$A$207,B174)&lt;&gt;1,COUNTIFS('Definitions'!$A$8:$A$207,C174)&lt;&gt;1),"Unknown / duplicate definition",IF(B174=C174,"Self reference",IF(OR(NOT(ISNUMBER(D174)),D174&lt;=0,MOD(D174,1)&lt;&gt;0),"Set positive whole quantity",IF(E174="","Set child role suffix","OK"))))))</x:f>
      </x:c>
    </x:row>
    <x:row r="175" ht="22" customHeight="1">
      <x:c r="A175" s="10"/>
      <x:c r="B175" s="10"/>
      <x:c r="C175" s="10"/>
      <x:c r="D175" s="12"/>
      <x:c r="E175" s="10"/>
      <x:c r="F175" s="10"/>
      <x:c r="G175" s="9" t="str">
        <x:f>IF(A175="","",IF(COUNTIFS('Recipes'!$A$8:$A$207,A175)&lt;&gt;1,"Duplicate recipe ID",IF(OR(COUNTIFS('Definitions'!$A$8:$A$207,B175)&lt;&gt;1,COUNTIFS('Definitions'!$A$8:$A$207,C175)&lt;&gt;1),"Unknown / duplicate definition",IF(B175=C175,"Self reference",IF(OR(NOT(ISNUMBER(D175)),D175&lt;=0,MOD(D175,1)&lt;&gt;0),"Set positive whole quantity",IF(E175="","Set child role suffix","OK"))))))</x:f>
      </x:c>
    </x:row>
    <x:row r="176" ht="22" customHeight="1">
      <x:c r="A176" s="10"/>
      <x:c r="B176" s="10"/>
      <x:c r="C176" s="10"/>
      <x:c r="D176" s="12"/>
      <x:c r="E176" s="10"/>
      <x:c r="F176" s="10"/>
      <x:c r="G176" s="9" t="str">
        <x:f>IF(A176="","",IF(COUNTIFS('Recipes'!$A$8:$A$207,A176)&lt;&gt;1,"Duplicate recipe ID",IF(OR(COUNTIFS('Definitions'!$A$8:$A$207,B176)&lt;&gt;1,COUNTIFS('Definitions'!$A$8:$A$207,C176)&lt;&gt;1),"Unknown / duplicate definition",IF(B176=C176,"Self reference",IF(OR(NOT(ISNUMBER(D176)),D176&lt;=0,MOD(D176,1)&lt;&gt;0),"Set positive whole quantity",IF(E176="","Set child role suffix","OK"))))))</x:f>
      </x:c>
    </x:row>
    <x:row r="177" ht="22" customHeight="1">
      <x:c r="A177" s="10"/>
      <x:c r="B177" s="10"/>
      <x:c r="C177" s="10"/>
      <x:c r="D177" s="12"/>
      <x:c r="E177" s="10"/>
      <x:c r="F177" s="10"/>
      <x:c r="G177" s="9" t="str">
        <x:f>IF(A177="","",IF(COUNTIFS('Recipes'!$A$8:$A$207,A177)&lt;&gt;1,"Duplicate recipe ID",IF(OR(COUNTIFS('Definitions'!$A$8:$A$207,B177)&lt;&gt;1,COUNTIFS('Definitions'!$A$8:$A$207,C177)&lt;&gt;1),"Unknown / duplicate definition",IF(B177=C177,"Self reference",IF(OR(NOT(ISNUMBER(D177)),D177&lt;=0,MOD(D177,1)&lt;&gt;0),"Set positive whole quantity",IF(E177="","Set child role suffix","OK"))))))</x:f>
      </x:c>
    </x:row>
    <x:row r="178" ht="22" customHeight="1">
      <x:c r="A178" s="10"/>
      <x:c r="B178" s="10"/>
      <x:c r="C178" s="10"/>
      <x:c r="D178" s="12"/>
      <x:c r="E178" s="10"/>
      <x:c r="F178" s="10"/>
      <x:c r="G178" s="9" t="str">
        <x:f>IF(A178="","",IF(COUNTIFS('Recipes'!$A$8:$A$207,A178)&lt;&gt;1,"Duplicate recipe ID",IF(OR(COUNTIFS('Definitions'!$A$8:$A$207,B178)&lt;&gt;1,COUNTIFS('Definitions'!$A$8:$A$207,C178)&lt;&gt;1),"Unknown / duplicate definition",IF(B178=C178,"Self reference",IF(OR(NOT(ISNUMBER(D178)),D178&lt;=0,MOD(D178,1)&lt;&gt;0),"Set positive whole quantity",IF(E178="","Set child role suffix","OK"))))))</x:f>
      </x:c>
    </x:row>
    <x:row r="179" ht="22" customHeight="1">
      <x:c r="A179" s="10"/>
      <x:c r="B179" s="10"/>
      <x:c r="C179" s="10"/>
      <x:c r="D179" s="12"/>
      <x:c r="E179" s="10"/>
      <x:c r="F179" s="10"/>
      <x:c r="G179" s="9" t="str">
        <x:f>IF(A179="","",IF(COUNTIFS('Recipes'!$A$8:$A$207,A179)&lt;&gt;1,"Duplicate recipe ID",IF(OR(COUNTIFS('Definitions'!$A$8:$A$207,B179)&lt;&gt;1,COUNTIFS('Definitions'!$A$8:$A$207,C179)&lt;&gt;1),"Unknown / duplicate definition",IF(B179=C179,"Self reference",IF(OR(NOT(ISNUMBER(D179)),D179&lt;=0,MOD(D179,1)&lt;&gt;0),"Set positive whole quantity",IF(E179="","Set child role suffix","OK"))))))</x:f>
      </x:c>
    </x:row>
    <x:row r="180" ht="22" customHeight="1">
      <x:c r="A180" s="10"/>
      <x:c r="B180" s="10"/>
      <x:c r="C180" s="10"/>
      <x:c r="D180" s="12"/>
      <x:c r="E180" s="10"/>
      <x:c r="F180" s="10"/>
      <x:c r="G180" s="9" t="str">
        <x:f>IF(A180="","",IF(COUNTIFS('Recipes'!$A$8:$A$207,A180)&lt;&gt;1,"Duplicate recipe ID",IF(OR(COUNTIFS('Definitions'!$A$8:$A$207,B180)&lt;&gt;1,COUNTIFS('Definitions'!$A$8:$A$207,C180)&lt;&gt;1),"Unknown / duplicate definition",IF(B180=C180,"Self reference",IF(OR(NOT(ISNUMBER(D180)),D180&lt;=0,MOD(D180,1)&lt;&gt;0),"Set positive whole quantity",IF(E180="","Set child role suffix","OK"))))))</x:f>
      </x:c>
    </x:row>
    <x:row r="181" ht="22" customHeight="1">
      <x:c r="A181" s="10"/>
      <x:c r="B181" s="10"/>
      <x:c r="C181" s="10"/>
      <x:c r="D181" s="12"/>
      <x:c r="E181" s="10"/>
      <x:c r="F181" s="10"/>
      <x:c r="G181" s="9" t="str">
        <x:f>IF(A181="","",IF(COUNTIFS('Recipes'!$A$8:$A$207,A181)&lt;&gt;1,"Duplicate recipe ID",IF(OR(COUNTIFS('Definitions'!$A$8:$A$207,B181)&lt;&gt;1,COUNTIFS('Definitions'!$A$8:$A$207,C181)&lt;&gt;1),"Unknown / duplicate definition",IF(B181=C181,"Self reference",IF(OR(NOT(ISNUMBER(D181)),D181&lt;=0,MOD(D181,1)&lt;&gt;0),"Set positive whole quantity",IF(E181="","Set child role suffix","OK"))))))</x:f>
      </x:c>
    </x:row>
    <x:row r="182" ht="22" customHeight="1">
      <x:c r="A182" s="10"/>
      <x:c r="B182" s="10"/>
      <x:c r="C182" s="10"/>
      <x:c r="D182" s="12"/>
      <x:c r="E182" s="10"/>
      <x:c r="F182" s="10"/>
      <x:c r="G182" s="9" t="str">
        <x:f>IF(A182="","",IF(COUNTIFS('Recipes'!$A$8:$A$207,A182)&lt;&gt;1,"Duplicate recipe ID",IF(OR(COUNTIFS('Definitions'!$A$8:$A$207,B182)&lt;&gt;1,COUNTIFS('Definitions'!$A$8:$A$207,C182)&lt;&gt;1),"Unknown / duplicate definition",IF(B182=C182,"Self reference",IF(OR(NOT(ISNUMBER(D182)),D182&lt;=0,MOD(D182,1)&lt;&gt;0),"Set positive whole quantity",IF(E182="","Set child role suffix","OK"))))))</x:f>
      </x:c>
    </x:row>
    <x:row r="183" ht="22" customHeight="1">
      <x:c r="A183" s="10"/>
      <x:c r="B183" s="10"/>
      <x:c r="C183" s="10"/>
      <x:c r="D183" s="12"/>
      <x:c r="E183" s="10"/>
      <x:c r="F183" s="10"/>
      <x:c r="G183" s="9" t="str">
        <x:f>IF(A183="","",IF(COUNTIFS('Recipes'!$A$8:$A$207,A183)&lt;&gt;1,"Duplicate recipe ID",IF(OR(COUNTIFS('Definitions'!$A$8:$A$207,B183)&lt;&gt;1,COUNTIFS('Definitions'!$A$8:$A$207,C183)&lt;&gt;1),"Unknown / duplicate definition",IF(B183=C183,"Self reference",IF(OR(NOT(ISNUMBER(D183)),D183&lt;=0,MOD(D183,1)&lt;&gt;0),"Set positive whole quantity",IF(E183="","Set child role suffix","OK"))))))</x:f>
      </x:c>
    </x:row>
    <x:row r="184" ht="22" customHeight="1">
      <x:c r="A184" s="10"/>
      <x:c r="B184" s="10"/>
      <x:c r="C184" s="10"/>
      <x:c r="D184" s="12"/>
      <x:c r="E184" s="10"/>
      <x:c r="F184" s="10"/>
      <x:c r="G184" s="9" t="str">
        <x:f>IF(A184="","",IF(COUNTIFS('Recipes'!$A$8:$A$207,A184)&lt;&gt;1,"Duplicate recipe ID",IF(OR(COUNTIFS('Definitions'!$A$8:$A$207,B184)&lt;&gt;1,COUNTIFS('Definitions'!$A$8:$A$207,C184)&lt;&gt;1),"Unknown / duplicate definition",IF(B184=C184,"Self reference",IF(OR(NOT(ISNUMBER(D184)),D184&lt;=0,MOD(D184,1)&lt;&gt;0),"Set positive whole quantity",IF(E184="","Set child role suffix","OK"))))))</x:f>
      </x:c>
    </x:row>
    <x:row r="185" ht="22" customHeight="1">
      <x:c r="A185" s="10"/>
      <x:c r="B185" s="10"/>
      <x:c r="C185" s="10"/>
      <x:c r="D185" s="12"/>
      <x:c r="E185" s="10"/>
      <x:c r="F185" s="10"/>
      <x:c r="G185" s="9" t="str">
        <x:f>IF(A185="","",IF(COUNTIFS('Recipes'!$A$8:$A$207,A185)&lt;&gt;1,"Duplicate recipe ID",IF(OR(COUNTIFS('Definitions'!$A$8:$A$207,B185)&lt;&gt;1,COUNTIFS('Definitions'!$A$8:$A$207,C185)&lt;&gt;1),"Unknown / duplicate definition",IF(B185=C185,"Self reference",IF(OR(NOT(ISNUMBER(D185)),D185&lt;=0,MOD(D185,1)&lt;&gt;0),"Set positive whole quantity",IF(E185="","Set child role suffix","OK"))))))</x:f>
      </x:c>
    </x:row>
    <x:row r="186" ht="22" customHeight="1">
      <x:c r="A186" s="10"/>
      <x:c r="B186" s="10"/>
      <x:c r="C186" s="10"/>
      <x:c r="D186" s="12"/>
      <x:c r="E186" s="10"/>
      <x:c r="F186" s="10"/>
      <x:c r="G186" s="9" t="str">
        <x:f>IF(A186="","",IF(COUNTIFS('Recipes'!$A$8:$A$207,A186)&lt;&gt;1,"Duplicate recipe ID",IF(OR(COUNTIFS('Definitions'!$A$8:$A$207,B186)&lt;&gt;1,COUNTIFS('Definitions'!$A$8:$A$207,C186)&lt;&gt;1),"Unknown / duplicate definition",IF(B186=C186,"Self reference",IF(OR(NOT(ISNUMBER(D186)),D186&lt;=0,MOD(D186,1)&lt;&gt;0),"Set positive whole quantity",IF(E186="","Set child role suffix","OK"))))))</x:f>
      </x:c>
    </x:row>
    <x:row r="187" ht="22" customHeight="1">
      <x:c r="A187" s="10"/>
      <x:c r="B187" s="10"/>
      <x:c r="C187" s="10"/>
      <x:c r="D187" s="12"/>
      <x:c r="E187" s="10"/>
      <x:c r="F187" s="10"/>
      <x:c r="G187" s="9" t="str">
        <x:f>IF(A187="","",IF(COUNTIFS('Recipes'!$A$8:$A$207,A187)&lt;&gt;1,"Duplicate recipe ID",IF(OR(COUNTIFS('Definitions'!$A$8:$A$207,B187)&lt;&gt;1,COUNTIFS('Definitions'!$A$8:$A$207,C187)&lt;&gt;1),"Unknown / duplicate definition",IF(B187=C187,"Self reference",IF(OR(NOT(ISNUMBER(D187)),D187&lt;=0,MOD(D187,1)&lt;&gt;0),"Set positive whole quantity",IF(E187="","Set child role suffix","OK"))))))</x:f>
      </x:c>
    </x:row>
    <x:row r="188" ht="22" customHeight="1">
      <x:c r="A188" s="10"/>
      <x:c r="B188" s="10"/>
      <x:c r="C188" s="10"/>
      <x:c r="D188" s="12"/>
      <x:c r="E188" s="10"/>
      <x:c r="F188" s="10"/>
      <x:c r="G188" s="9" t="str">
        <x:f>IF(A188="","",IF(COUNTIFS('Recipes'!$A$8:$A$207,A188)&lt;&gt;1,"Duplicate recipe ID",IF(OR(COUNTIFS('Definitions'!$A$8:$A$207,B188)&lt;&gt;1,COUNTIFS('Definitions'!$A$8:$A$207,C188)&lt;&gt;1),"Unknown / duplicate definition",IF(B188=C188,"Self reference",IF(OR(NOT(ISNUMBER(D188)),D188&lt;=0,MOD(D188,1)&lt;&gt;0),"Set positive whole quantity",IF(E188="","Set child role suffix","OK"))))))</x:f>
      </x:c>
    </x:row>
    <x:row r="189" ht="22" customHeight="1">
      <x:c r="A189" s="10"/>
      <x:c r="B189" s="10"/>
      <x:c r="C189" s="10"/>
      <x:c r="D189" s="12"/>
      <x:c r="E189" s="10"/>
      <x:c r="F189" s="10"/>
      <x:c r="G189" s="9" t="str">
        <x:f>IF(A189="","",IF(COUNTIFS('Recipes'!$A$8:$A$207,A189)&lt;&gt;1,"Duplicate recipe ID",IF(OR(COUNTIFS('Definitions'!$A$8:$A$207,B189)&lt;&gt;1,COUNTIFS('Definitions'!$A$8:$A$207,C189)&lt;&gt;1),"Unknown / duplicate definition",IF(B189=C189,"Self reference",IF(OR(NOT(ISNUMBER(D189)),D189&lt;=0,MOD(D189,1)&lt;&gt;0),"Set positive whole quantity",IF(E189="","Set child role suffix","OK"))))))</x:f>
      </x:c>
    </x:row>
    <x:row r="190" ht="22" customHeight="1">
      <x:c r="A190" s="10"/>
      <x:c r="B190" s="10"/>
      <x:c r="C190" s="10"/>
      <x:c r="D190" s="12"/>
      <x:c r="E190" s="10"/>
      <x:c r="F190" s="10"/>
      <x:c r="G190" s="9" t="str">
        <x:f>IF(A190="","",IF(COUNTIFS('Recipes'!$A$8:$A$207,A190)&lt;&gt;1,"Duplicate recipe ID",IF(OR(COUNTIFS('Definitions'!$A$8:$A$207,B190)&lt;&gt;1,COUNTIFS('Definitions'!$A$8:$A$207,C190)&lt;&gt;1),"Unknown / duplicate definition",IF(B190=C190,"Self reference",IF(OR(NOT(ISNUMBER(D190)),D190&lt;=0,MOD(D190,1)&lt;&gt;0),"Set positive whole quantity",IF(E190="","Set child role suffix","OK"))))))</x:f>
      </x:c>
    </x:row>
    <x:row r="191" ht="22" customHeight="1">
      <x:c r="A191" s="10"/>
      <x:c r="B191" s="10"/>
      <x:c r="C191" s="10"/>
      <x:c r="D191" s="12"/>
      <x:c r="E191" s="10"/>
      <x:c r="F191" s="10"/>
      <x:c r="G191" s="9" t="str">
        <x:f>IF(A191="","",IF(COUNTIFS('Recipes'!$A$8:$A$207,A191)&lt;&gt;1,"Duplicate recipe ID",IF(OR(COUNTIFS('Definitions'!$A$8:$A$207,B191)&lt;&gt;1,COUNTIFS('Definitions'!$A$8:$A$207,C191)&lt;&gt;1),"Unknown / duplicate definition",IF(B191=C191,"Self reference",IF(OR(NOT(ISNUMBER(D191)),D191&lt;=0,MOD(D191,1)&lt;&gt;0),"Set positive whole quantity",IF(E191="","Set child role suffix","OK"))))))</x:f>
      </x:c>
    </x:row>
    <x:row r="192" ht="22" customHeight="1">
      <x:c r="A192" s="10"/>
      <x:c r="B192" s="10"/>
      <x:c r="C192" s="10"/>
      <x:c r="D192" s="12"/>
      <x:c r="E192" s="10"/>
      <x:c r="F192" s="10"/>
      <x:c r="G192" s="9" t="str">
        <x:f>IF(A192="","",IF(COUNTIFS('Recipes'!$A$8:$A$207,A192)&lt;&gt;1,"Duplicate recipe ID",IF(OR(COUNTIFS('Definitions'!$A$8:$A$207,B192)&lt;&gt;1,COUNTIFS('Definitions'!$A$8:$A$207,C192)&lt;&gt;1),"Unknown / duplicate definition",IF(B192=C192,"Self reference",IF(OR(NOT(ISNUMBER(D192)),D192&lt;=0,MOD(D192,1)&lt;&gt;0),"Set positive whole quantity",IF(E192="","Set child role suffix","OK"))))))</x:f>
      </x:c>
    </x:row>
    <x:row r="193" ht="22" customHeight="1">
      <x:c r="A193" s="10"/>
      <x:c r="B193" s="10"/>
      <x:c r="C193" s="10"/>
      <x:c r="D193" s="12"/>
      <x:c r="E193" s="10"/>
      <x:c r="F193" s="10"/>
      <x:c r="G193" s="9" t="str">
        <x:f>IF(A193="","",IF(COUNTIFS('Recipes'!$A$8:$A$207,A193)&lt;&gt;1,"Duplicate recipe ID",IF(OR(COUNTIFS('Definitions'!$A$8:$A$207,B193)&lt;&gt;1,COUNTIFS('Definitions'!$A$8:$A$207,C193)&lt;&gt;1),"Unknown / duplicate definition",IF(B193=C193,"Self reference",IF(OR(NOT(ISNUMBER(D193)),D193&lt;=0,MOD(D193,1)&lt;&gt;0),"Set positive whole quantity",IF(E193="","Set child role suffix","OK"))))))</x:f>
      </x:c>
    </x:row>
    <x:row r="194" ht="22" customHeight="1">
      <x:c r="A194" s="10"/>
      <x:c r="B194" s="10"/>
      <x:c r="C194" s="10"/>
      <x:c r="D194" s="12"/>
      <x:c r="E194" s="10"/>
      <x:c r="F194" s="10"/>
      <x:c r="G194" s="9" t="str">
        <x:f>IF(A194="","",IF(COUNTIFS('Recipes'!$A$8:$A$207,A194)&lt;&gt;1,"Duplicate recipe ID",IF(OR(COUNTIFS('Definitions'!$A$8:$A$207,B194)&lt;&gt;1,COUNTIFS('Definitions'!$A$8:$A$207,C194)&lt;&gt;1),"Unknown / duplicate definition",IF(B194=C194,"Self reference",IF(OR(NOT(ISNUMBER(D194)),D194&lt;=0,MOD(D194,1)&lt;&gt;0),"Set positive whole quantity",IF(E194="","Set child role suffix","OK"))))))</x:f>
      </x:c>
    </x:row>
    <x:row r="195" ht="22" customHeight="1">
      <x:c r="A195" s="10"/>
      <x:c r="B195" s="10"/>
      <x:c r="C195" s="10"/>
      <x:c r="D195" s="12"/>
      <x:c r="E195" s="10"/>
      <x:c r="F195" s="10"/>
      <x:c r="G195" s="9" t="str">
        <x:f>IF(A195="","",IF(COUNTIFS('Recipes'!$A$8:$A$207,A195)&lt;&gt;1,"Duplicate recipe ID",IF(OR(COUNTIFS('Definitions'!$A$8:$A$207,B195)&lt;&gt;1,COUNTIFS('Definitions'!$A$8:$A$207,C195)&lt;&gt;1),"Unknown / duplicate definition",IF(B195=C195,"Self reference",IF(OR(NOT(ISNUMBER(D195)),D195&lt;=0,MOD(D195,1)&lt;&gt;0),"Set positive whole quantity",IF(E195="","Set child role suffix","OK"))))))</x:f>
      </x:c>
    </x:row>
    <x:row r="196" ht="22" customHeight="1">
      <x:c r="A196" s="10"/>
      <x:c r="B196" s="10"/>
      <x:c r="C196" s="10"/>
      <x:c r="D196" s="12"/>
      <x:c r="E196" s="10"/>
      <x:c r="F196" s="10"/>
      <x:c r="G196" s="9" t="str">
        <x:f>IF(A196="","",IF(COUNTIFS('Recipes'!$A$8:$A$207,A196)&lt;&gt;1,"Duplicate recipe ID",IF(OR(COUNTIFS('Definitions'!$A$8:$A$207,B196)&lt;&gt;1,COUNTIFS('Definitions'!$A$8:$A$207,C196)&lt;&gt;1),"Unknown / duplicate definition",IF(B196=C196,"Self reference",IF(OR(NOT(ISNUMBER(D196)),D196&lt;=0,MOD(D196,1)&lt;&gt;0),"Set positive whole quantity",IF(E196="","Set child role suffix","OK"))))))</x:f>
      </x:c>
    </x:row>
    <x:row r="197" ht="22" customHeight="1">
      <x:c r="A197" s="10"/>
      <x:c r="B197" s="10"/>
      <x:c r="C197" s="10"/>
      <x:c r="D197" s="12"/>
      <x:c r="E197" s="10"/>
      <x:c r="F197" s="10"/>
      <x:c r="G197" s="9" t="str">
        <x:f>IF(A197="","",IF(COUNTIFS('Recipes'!$A$8:$A$207,A197)&lt;&gt;1,"Duplicate recipe ID",IF(OR(COUNTIFS('Definitions'!$A$8:$A$207,B197)&lt;&gt;1,COUNTIFS('Definitions'!$A$8:$A$207,C197)&lt;&gt;1),"Unknown / duplicate definition",IF(B197=C197,"Self reference",IF(OR(NOT(ISNUMBER(D197)),D197&lt;=0,MOD(D197,1)&lt;&gt;0),"Set positive whole quantity",IF(E197="","Set child role suffix","OK"))))))</x:f>
      </x:c>
    </x:row>
    <x:row r="198" ht="22" customHeight="1">
      <x:c r="A198" s="10"/>
      <x:c r="B198" s="10"/>
      <x:c r="C198" s="10"/>
      <x:c r="D198" s="12"/>
      <x:c r="E198" s="10"/>
      <x:c r="F198" s="10"/>
      <x:c r="G198" s="9" t="str">
        <x:f>IF(A198="","",IF(COUNTIFS('Recipes'!$A$8:$A$207,A198)&lt;&gt;1,"Duplicate recipe ID",IF(OR(COUNTIFS('Definitions'!$A$8:$A$207,B198)&lt;&gt;1,COUNTIFS('Definitions'!$A$8:$A$207,C198)&lt;&gt;1),"Unknown / duplicate definition",IF(B198=C198,"Self reference",IF(OR(NOT(ISNUMBER(D198)),D198&lt;=0,MOD(D198,1)&lt;&gt;0),"Set positive whole quantity",IF(E198="","Set child role suffix","OK"))))))</x:f>
      </x:c>
    </x:row>
    <x:row r="199" ht="22" customHeight="1">
      <x:c r="A199" s="10"/>
      <x:c r="B199" s="10"/>
      <x:c r="C199" s="10"/>
      <x:c r="D199" s="12"/>
      <x:c r="E199" s="10"/>
      <x:c r="F199" s="10"/>
      <x:c r="G199" s="9" t="str">
        <x:f>IF(A199="","",IF(COUNTIFS('Recipes'!$A$8:$A$207,A199)&lt;&gt;1,"Duplicate recipe ID",IF(OR(COUNTIFS('Definitions'!$A$8:$A$207,B199)&lt;&gt;1,COUNTIFS('Definitions'!$A$8:$A$207,C199)&lt;&gt;1),"Unknown / duplicate definition",IF(B199=C199,"Self reference",IF(OR(NOT(ISNUMBER(D199)),D199&lt;=0,MOD(D199,1)&lt;&gt;0),"Set positive whole quantity",IF(E199="","Set child role suffix","OK"))))))</x:f>
      </x:c>
    </x:row>
    <x:row r="200" ht="22" customHeight="1">
      <x:c r="A200" s="10"/>
      <x:c r="B200" s="10"/>
      <x:c r="C200" s="10"/>
      <x:c r="D200" s="12"/>
      <x:c r="E200" s="10"/>
      <x:c r="F200" s="10"/>
      <x:c r="G200" s="9" t="str">
        <x:f>IF(A200="","",IF(COUNTIFS('Recipes'!$A$8:$A$207,A200)&lt;&gt;1,"Duplicate recipe ID",IF(OR(COUNTIFS('Definitions'!$A$8:$A$207,B200)&lt;&gt;1,COUNTIFS('Definitions'!$A$8:$A$207,C200)&lt;&gt;1),"Unknown / duplicate definition",IF(B200=C200,"Self reference",IF(OR(NOT(ISNUMBER(D200)),D200&lt;=0,MOD(D200,1)&lt;&gt;0),"Set positive whole quantity",IF(E200="","Set child role suffix","OK"))))))</x:f>
      </x:c>
    </x:row>
    <x:row r="201" ht="22" customHeight="1">
      <x:c r="A201" s="10"/>
      <x:c r="B201" s="10"/>
      <x:c r="C201" s="10"/>
      <x:c r="D201" s="12"/>
      <x:c r="E201" s="10"/>
      <x:c r="F201" s="10"/>
      <x:c r="G201" s="9" t="str">
        <x:f>IF(A201="","",IF(COUNTIFS('Recipes'!$A$8:$A$207,A201)&lt;&gt;1,"Duplicate recipe ID",IF(OR(COUNTIFS('Definitions'!$A$8:$A$207,B201)&lt;&gt;1,COUNTIFS('Definitions'!$A$8:$A$207,C201)&lt;&gt;1),"Unknown / duplicate definition",IF(B201=C201,"Self reference",IF(OR(NOT(ISNUMBER(D201)),D201&lt;=0,MOD(D201,1)&lt;&gt;0),"Set positive whole quantity",IF(E201="","Set child role suffix","OK"))))))</x:f>
      </x:c>
    </x:row>
    <x:row r="202" ht="22" customHeight="1">
      <x:c r="A202" s="10"/>
      <x:c r="B202" s="10"/>
      <x:c r="C202" s="10"/>
      <x:c r="D202" s="12"/>
      <x:c r="E202" s="10"/>
      <x:c r="F202" s="10"/>
      <x:c r="G202" s="9" t="str">
        <x:f>IF(A202="","",IF(COUNTIFS('Recipes'!$A$8:$A$207,A202)&lt;&gt;1,"Duplicate recipe ID",IF(OR(COUNTIFS('Definitions'!$A$8:$A$207,B202)&lt;&gt;1,COUNTIFS('Definitions'!$A$8:$A$207,C202)&lt;&gt;1),"Unknown / duplicate definition",IF(B202=C202,"Self reference",IF(OR(NOT(ISNUMBER(D202)),D202&lt;=0,MOD(D202,1)&lt;&gt;0),"Set positive whole quantity",IF(E202="","Set child role suffix","OK"))))))</x:f>
      </x:c>
    </x:row>
    <x:row r="203" ht="22" customHeight="1">
      <x:c r="A203" s="10"/>
      <x:c r="B203" s="10"/>
      <x:c r="C203" s="10"/>
      <x:c r="D203" s="12"/>
      <x:c r="E203" s="10"/>
      <x:c r="F203" s="10"/>
      <x:c r="G203" s="9" t="str">
        <x:f>IF(A203="","",IF(COUNTIFS('Recipes'!$A$8:$A$207,A203)&lt;&gt;1,"Duplicate recipe ID",IF(OR(COUNTIFS('Definitions'!$A$8:$A$207,B203)&lt;&gt;1,COUNTIFS('Definitions'!$A$8:$A$207,C203)&lt;&gt;1),"Unknown / duplicate definition",IF(B203=C203,"Self reference",IF(OR(NOT(ISNUMBER(D203)),D203&lt;=0,MOD(D203,1)&lt;&gt;0),"Set positive whole quantity",IF(E203="","Set child role suffix","OK"))))))</x:f>
      </x:c>
    </x:row>
    <x:row r="204" ht="22" customHeight="1">
      <x:c r="A204" s="10"/>
      <x:c r="B204" s="10"/>
      <x:c r="C204" s="10"/>
      <x:c r="D204" s="12"/>
      <x:c r="E204" s="10"/>
      <x:c r="F204" s="10"/>
      <x:c r="G204" s="9" t="str">
        <x:f>IF(A204="","",IF(COUNTIFS('Recipes'!$A$8:$A$207,A204)&lt;&gt;1,"Duplicate recipe ID",IF(OR(COUNTIFS('Definitions'!$A$8:$A$207,B204)&lt;&gt;1,COUNTIFS('Definitions'!$A$8:$A$207,C204)&lt;&gt;1),"Unknown / duplicate definition",IF(B204=C204,"Self reference",IF(OR(NOT(ISNUMBER(D204)),D204&lt;=0,MOD(D204,1)&lt;&gt;0),"Set positive whole quantity",IF(E204="","Set child role suffix","OK"))))))</x:f>
      </x:c>
    </x:row>
    <x:row r="205" ht="22" customHeight="1">
      <x:c r="A205" s="10"/>
      <x:c r="B205" s="10"/>
      <x:c r="C205" s="10"/>
      <x:c r="D205" s="12"/>
      <x:c r="E205" s="10"/>
      <x:c r="F205" s="10"/>
      <x:c r="G205" s="9" t="str">
        <x:f>IF(A205="","",IF(COUNTIFS('Recipes'!$A$8:$A$207,A205)&lt;&gt;1,"Duplicate recipe ID",IF(OR(COUNTIFS('Definitions'!$A$8:$A$207,B205)&lt;&gt;1,COUNTIFS('Definitions'!$A$8:$A$207,C205)&lt;&gt;1),"Unknown / duplicate definition",IF(B205=C205,"Self reference",IF(OR(NOT(ISNUMBER(D205)),D205&lt;=0,MOD(D205,1)&lt;&gt;0),"Set positive whole quantity",IF(E205="","Set child role suffix","OK"))))))</x:f>
      </x:c>
    </x:row>
    <x:row r="206" ht="22" customHeight="1">
      <x:c r="A206" s="10"/>
      <x:c r="B206" s="10"/>
      <x:c r="C206" s="10"/>
      <x:c r="D206" s="12"/>
      <x:c r="E206" s="10"/>
      <x:c r="F206" s="10"/>
      <x:c r="G206" s="9" t="str">
        <x:f>IF(A206="","",IF(COUNTIFS('Recipes'!$A$8:$A$207,A206)&lt;&gt;1,"Duplicate recipe ID",IF(OR(COUNTIFS('Definitions'!$A$8:$A$207,B206)&lt;&gt;1,COUNTIFS('Definitions'!$A$8:$A$207,C206)&lt;&gt;1),"Unknown / duplicate definition",IF(B206=C206,"Self reference",IF(OR(NOT(ISNUMBER(D206)),D206&lt;=0,MOD(D206,1)&lt;&gt;0),"Set positive whole quantity",IF(E206="","Set child role suffix","OK"))))))</x:f>
      </x:c>
    </x:row>
    <x:row r="207" ht="22" customHeight="1">
      <x:c r="A207" s="10"/>
      <x:c r="B207" s="10"/>
      <x:c r="C207" s="10"/>
      <x:c r="D207" s="12"/>
      <x:c r="E207" s="10"/>
      <x:c r="F207" s="10"/>
      <x:c r="G207" s="9" t="str">
        <x:f>IF(A207="","",IF(COUNTIFS('Recipes'!$A$8:$A$207,A207)&lt;&gt;1,"Duplicate recipe ID",IF(OR(COUNTIFS('Definitions'!$A$8:$A$207,B207)&lt;&gt;1,COUNTIFS('Definitions'!$A$8:$A$207,C207)&lt;&gt;1),"Unknown / duplicate definition",IF(B207=C207,"Self reference",IF(OR(NOT(ISNUMBER(D207)),D207&lt;=0,MOD(D207,1)&lt;&gt;0),"Set positive whole quantity",IF(E207="","Set child role suffix","OK"))))))</x:f>
      </x:c>
    </x:row>
  </x:sheetData>
  <x:conditionalFormatting sqref="G8:G207">
    <x:cfRule type="expression" dxfId="3" priority="1">
      <x:formula>AND($A8&lt;&gt;"",G8&lt;&gt;"OK")</x:formula>
    </x:cfRule>
  </x:conditionalFormatting>
  <x:dataValidations count="3">
    <x:dataValidation type="list" sqref="B8:B207">
      <x:formula1>'Definitions'!$A$8:$A$207</x:formula1>
    </x:dataValidation>
    <x:dataValidation type="list" sqref="C8:C207">
      <x:formula1>'Definitions'!$A$8:$A$207</x:formula1>
    </x:dataValidation>
    <x:dataValidation type="whole" operator="between" sqref="D8:D207">
      <x:formula1>1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5cc5a3b0d4445ef"/>
  </x:tableParts>
</x:worksheet>
</file>

<file path=xl/worksheets/sheet6.xml><?xml version="1.0" encoding="utf-8"?>
<x:worksheet xmlns:x="http://schemas.openxmlformats.org/spreadsheetml/2006/main">
  <x:sheetPr>
    <x:tabColor rgb="FFCAD4DF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6" hidden="0" customWidth="1"/>
    <x:col min="4" max="4" width="28" hidden="0" customWidth="1"/>
    <x:col min="5" max="5" width="16" hidden="0" customWidth="1"/>
    <x:col min="6" max="6" width="18" hidden="0" customWidth="1"/>
    <x:col min="7" max="7" width="18" hidden="0" customWidth="1"/>
    <x:col min="8" max="8" width="34" hidden="0" customWidth="1"/>
    <x:col min="9" max="9" width="45" hidden="0" customWidth="1"/>
    <x:col min="10" max="10" width="21" hidden="0" customWidth="1"/>
    <x:col min="11" max="11" width="3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3" t="str">
        <x:v>Physical assets and role assignments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4" t="str">
        <x:v>One row per serialized item. Capture the manufacturer serial on receipt. Change assignment without changing asset identity.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2" customHeight="1">
      <x:c r="A5" s="4" t="str">
        <x:v>Amber cells are editable. Grey cells contain formulas. All populated records are illustrative.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40" customHeight="1">
      <x:c r="A7" s="8" t="str">
        <x:v>Asset ID</x:v>
      </x:c>
      <x:c r="B7" s="8" t="str">
        <x:v>Definition ID</x:v>
      </x:c>
      <x:c r="C7" s="8" t="str">
        <x:v>Manufacturer serial</x:v>
      </x:c>
      <x:c r="D7" s="8" t="str">
        <x:v>Location / box</x:v>
      </x:c>
      <x:c r="E7" s="8" t="str">
        <x:v>Condition</x:v>
      </x:c>
      <x:c r="F7" s="8" t="str">
        <x:v>State</x:v>
      </x:c>
      <x:c r="G7" s="8" t="str">
        <x:v>Allocation</x:v>
      </x:c>
      <x:c r="H7" s="8" t="str">
        <x:v>Assigned role</x:v>
      </x:c>
      <x:c r="I7" s="8" t="str">
        <x:v>Notes</x:v>
      </x:c>
      <x:c r="J7" s="8" t="str">
        <x:v>Stock covering plan</x:v>
      </x:c>
      <x:c r="K7" s="8" t="str">
        <x:v>Check</x:v>
      </x:c>
    </x:row>
    <x:row r="8" ht="22" customHeight="1">
      <x:c r="A8" s="10" t="str">
        <x:v>sys1353</x:v>
      </x:c>
      <x:c r="B8" s="10" t="str">
        <x:v>P-FHS</x:v>
      </x:c>
      <x:c r="C8" s="10" t="str">
        <x:v>EXAMPLE-SYS1353</x:v>
      </x:c>
      <x:c r="D8" s="10" t="str">
        <x:v>Store shelf A</x:v>
      </x:c>
      <x:c r="E8" s="10" t="str">
        <x:v>Good</x:v>
      </x:c>
      <x:c r="F8" s="10" t="str">
        <x:v>In stock</x:v>
      </x:c>
      <x:c r="G8" s="10" t="str">
        <x:v>This plan</x:v>
      </x:c>
      <x:c r="H8" s="10" t="str">
        <x:v>vccu1:fhs1</x:v>
      </x:c>
      <x:c r="I8" s="10" t="str">
        <x:v>Synthetic identity for the assignment example.</x:v>
      </x:c>
      <x:c r="J8" s="11" t="n">
        <x:f>IF(A8="","",IF(AND(E8="Good",OR(AND(G8="Unallocated",F8="In stock"),AND(G8="This plan",OR(F8="In stock",F8="Packed",F8="Installed")))),1,0))</x:f>
        <x:v>1</x:v>
      </x:c>
      <x:c r="K8" s="9" t="str">
        <x:f>IF(A8="","",IF(COUNTIFS('Assets'!$A$8:$A$207,A8)&lt;&gt;1,"Duplicate asset ID",IF(COUNTIFS('Definitions'!$A$8:$A$207,B8)&lt;&gt;1,"Unknown / duplicate definition",IF(VLOOKUP(B8,'Definitions'!$A$8:$J$207,7,FALSE)&lt;&gt;"Yes","Use bulk stock for untracked parts",IF(C8="","Missing manufacturer serial",IF(COUNTIFS($B$8:$B$207,B8,$C$8:$C$207,C8)&lt;&gt;1,"Duplicate part and serial",IF(OR(D8="",AND(E8&lt;&gt;"Good",E8&lt;&gt;"Faulty",E8&lt;&gt;"Unknown")),"Set location and condition",IF(AND(F8&lt;&gt;"In stock",F8&lt;&gt;"Packed",F8&lt;&gt;"Installed",F8&lt;&gt;"In transit",F8&lt;&gt;"Quarantine",F8&lt;&gt;"Retired"),"Choose asset state",IF(AND(G8&lt;&gt;"Unallocated",G8&lt;&gt;"This plan",G8&lt;&gt;"Other plan"),"Choose allocation",IF(AND(H8&lt;&gt;"",G8&lt;&gt;"This plan"),"Assigned role needs This plan",IF(AND(H8&lt;&gt;"",COUNTIFS('Layout'!$A$8:$A$207,H8)&lt;&gt;1),"Unknown / duplicate role",IF(H8&lt;&gt;"",IF(VLOOKUP(H8,'Layout'!$A$8:$N$207,7,FALSE)&lt;&gt;B8,"Assigned role part mismatch","OK"),IF(AND(F8="Installed",G8="This plan"),"Set installed role","OK")))))))))))))</x:f>
        <x:v>OK</x:v>
      </x:c>
    </x:row>
    <x:row r="9" ht="22" customHeight="1">
      <x:c r="A9" s="10" t="str">
        <x:v>optic-demo-01</x:v>
      </x:c>
      <x:c r="B9" s="10" t="str">
        <x:v>P-OPTIC</x:v>
      </x:c>
      <x:c r="C9" s="10" t="str">
        <x:v>EXAMPLE-OPT001</x:v>
      </x:c>
      <x:c r="D9" s="10" t="str">
        <x:v>Store shelf B</x:v>
      </x:c>
      <x:c r="E9" s="10" t="str">
        <x:v>Good</x:v>
      </x:c>
      <x:c r="F9" s="10" t="str">
        <x:v>In stock</x:v>
      </x:c>
      <x:c r="G9" s="10" t="str">
        <x:v>Unallocated</x:v>
      </x:c>
      <x:c r="H9" s="10" t="str"/>
      <x:c r="I9" s="10" t="str">
        <x:v>Synthetic asset.</x:v>
      </x:c>
      <x:c r="J9" s="11" t="n">
        <x:f>IF(A9="","",IF(AND(E9="Good",OR(AND(G9="Unallocated",F9="In stock"),AND(G9="This plan",OR(F9="In stock",F9="Packed",F9="Installed")))),1,0))</x:f>
        <x:v>1</x:v>
      </x:c>
      <x:c r="K9" s="9" t="str">
        <x:f>IF(A9="","",IF(COUNTIFS('Assets'!$A$8:$A$207,A9)&lt;&gt;1,"Duplicate asset ID",IF(COUNTIFS('Definitions'!$A$8:$A$207,B9)&lt;&gt;1,"Unknown / duplicate definition",IF(VLOOKUP(B9,'Definitions'!$A$8:$J$207,7,FALSE)&lt;&gt;"Yes","Use bulk stock for untracked parts",IF(C9="","Missing manufacturer serial",IF(COUNTIFS($B$8:$B$207,B9,$C$8:$C$207,C9)&lt;&gt;1,"Duplicate part and serial",IF(OR(D9="",AND(E9&lt;&gt;"Good",E9&lt;&gt;"Faulty",E9&lt;&gt;"Unknown")),"Set location and condition",IF(AND(F9&lt;&gt;"In stock",F9&lt;&gt;"Packed",F9&lt;&gt;"Installed",F9&lt;&gt;"In transit",F9&lt;&gt;"Quarantine",F9&lt;&gt;"Retired"),"Choose asset state",IF(AND(G9&lt;&gt;"Unallocated",G9&lt;&gt;"This plan",G9&lt;&gt;"Other plan"),"Choose allocation",IF(AND(H9&lt;&gt;"",G9&lt;&gt;"This plan"),"Assigned role needs This plan",IF(AND(H9&lt;&gt;"",COUNTIFS('Layout'!$A$8:$A$207,H9)&lt;&gt;1),"Unknown / duplicate role",IF(H9&lt;&gt;"",IF(VLOOKUP(H9,'Layout'!$A$8:$N$207,7,FALSE)&lt;&gt;B9,"Assigned role part mismatch","OK"),IF(AND(F9="Installed",G9="This plan"),"Set installed role","OK")))))))))))))</x:f>
        <x:v>OK</x:v>
      </x:c>
    </x:row>
    <x:row r="10" ht="22" customHeight="1">
      <x:c r="A10" s="10" t="str">
        <x:v>optic-demo-02</x:v>
      </x:c>
      <x:c r="B10" s="10" t="str">
        <x:v>P-OPTIC</x:v>
      </x:c>
      <x:c r="C10" s="10" t="str">
        <x:v>EXAMPLE-OPT002</x:v>
      </x:c>
      <x:c r="D10" s="10" t="str">
        <x:v>Quarantine shelf</x:v>
      </x:c>
      <x:c r="E10" s="10" t="str">
        <x:v>Faulty</x:v>
      </x:c>
      <x:c r="F10" s="10" t="str">
        <x:v>Quarantine</x:v>
      </x:c>
      <x:c r="G10" s="10" t="str">
        <x:v>Unallocated</x:v>
      </x:c>
      <x:c r="H10" s="10" t="str"/>
      <x:c r="I10" s="10" t="str">
        <x:v>Excluded from available stock.</x:v>
      </x:c>
      <x:c r="J10" s="11" t="n">
        <x:f>IF(A10="","",IF(AND(E10="Good",OR(AND(G10="Unallocated",F10="In stock"),AND(G10="This plan",OR(F10="In stock",F10="Packed",F10="Installed")))),1,0))</x:f>
        <x:v>0</x:v>
      </x:c>
      <x:c r="K10" s="9" t="str">
        <x:f>IF(A10="","",IF(COUNTIFS('Assets'!$A$8:$A$207,A10)&lt;&gt;1,"Duplicate asset ID",IF(COUNTIFS('Definitions'!$A$8:$A$207,B10)&lt;&gt;1,"Unknown / duplicate definition",IF(VLOOKUP(B10,'Definitions'!$A$8:$J$207,7,FALSE)&lt;&gt;"Yes","Use bulk stock for untracked parts",IF(C10="","Missing manufacturer serial",IF(COUNTIFS($B$8:$B$207,B10,$C$8:$C$207,C10)&lt;&gt;1,"Duplicate part and serial",IF(OR(D10="",AND(E10&lt;&gt;"Good",E10&lt;&gt;"Faulty",E10&lt;&gt;"Unknown")),"Set location and condition",IF(AND(F10&lt;&gt;"In stock",F10&lt;&gt;"Packed",F10&lt;&gt;"Installed",F10&lt;&gt;"In transit",F10&lt;&gt;"Quarantine",F10&lt;&gt;"Retired"),"Choose asset state",IF(AND(G10&lt;&gt;"Unallocated",G10&lt;&gt;"This plan",G10&lt;&gt;"Other plan"),"Choose allocation",IF(AND(H10&lt;&gt;"",G10&lt;&gt;"This plan"),"Assigned role needs This plan",IF(AND(H10&lt;&gt;"",COUNTIFS('Layout'!$A$8:$A$207,H10)&lt;&gt;1),"Unknown / duplicate role",IF(H10&lt;&gt;"",IF(VLOOKUP(H10,'Layout'!$A$8:$N$207,7,FALSE)&lt;&gt;B10,"Assigned role part mismatch","OK"),IF(AND(F10="Installed",G10="This plan"),"Set installed role","OK")))))))))))))</x:f>
        <x:v>OK</x:v>
      </x:c>
    </x:row>
    <x:row r="11" ht="22" customHeight="1">
      <x:c r="A11" s="10" t="str">
        <x:v>switch-other</x:v>
      </x:c>
      <x:c r="B11" s="10" t="str">
        <x:v>P-SWITCH</x:v>
      </x:c>
      <x:c r="C11" s="10" t="str">
        <x:v>EXAMPLE-SW001</x:v>
      </x:c>
      <x:c r="D11" s="10" t="str">
        <x:v>Store shelf C</x:v>
      </x:c>
      <x:c r="E11" s="10" t="str">
        <x:v>Good</x:v>
      </x:c>
      <x:c r="F11" s="10" t="str">
        <x:v>In stock</x:v>
      </x:c>
      <x:c r="G11" s="10" t="str">
        <x:v>Other plan</x:v>
      </x:c>
      <x:c r="H11" s="10" t="str"/>
      <x:c r="I11" s="10" t="str">
        <x:v>Excluded from this plan.</x:v>
      </x:c>
      <x:c r="J11" s="11" t="n">
        <x:f>IF(A11="","",IF(AND(E11="Good",OR(AND(G11="Unallocated",F11="In stock"),AND(G11="This plan",OR(F11="In stock",F11="Packed",F11="Installed")))),1,0))</x:f>
        <x:v>0</x:v>
      </x:c>
      <x:c r="K11" s="9" t="str">
        <x:f>IF(A11="","",IF(COUNTIFS('Assets'!$A$8:$A$207,A11)&lt;&gt;1,"Duplicate asset ID",IF(COUNTIFS('Definitions'!$A$8:$A$207,B11)&lt;&gt;1,"Unknown / duplicate definition",IF(VLOOKUP(B11,'Definitions'!$A$8:$J$207,7,FALSE)&lt;&gt;"Yes","Use bulk stock for untracked parts",IF(C11="","Missing manufacturer serial",IF(COUNTIFS($B$8:$B$207,B11,$C$8:$C$207,C11)&lt;&gt;1,"Duplicate part and serial",IF(OR(D11="",AND(E11&lt;&gt;"Good",E11&lt;&gt;"Faulty",E11&lt;&gt;"Unknown")),"Set location and condition",IF(AND(F11&lt;&gt;"In stock",F11&lt;&gt;"Packed",F11&lt;&gt;"Installed",F11&lt;&gt;"In transit",F11&lt;&gt;"Quarantine",F11&lt;&gt;"Retired"),"Choose asset state",IF(AND(G11&lt;&gt;"Unallocated",G11&lt;&gt;"This plan",G11&lt;&gt;"Other plan"),"Choose allocation",IF(AND(H11&lt;&gt;"",G11&lt;&gt;"This plan"),"Assigned role needs This plan",IF(AND(H11&lt;&gt;"",COUNTIFS('Layout'!$A$8:$A$207,H11)&lt;&gt;1),"Unknown / duplicate role",IF(H11&lt;&gt;"",IF(VLOOKUP(H11,'Layout'!$A$8:$N$207,7,FALSE)&lt;&gt;B11,"Assigned role part mismatch","OK"),IF(AND(F11="Installed",G11="This plan"),"Set installed role","OK")))))))))))))</x:f>
        <x:v>OK</x:v>
      </x:c>
    </x:row>
    <x:row r="12" ht="22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1" t="str">
        <x:f>IF(A12="","",IF(AND(E12="Good",OR(AND(G12="Unallocated",F12="In stock"),AND(G12="This plan",OR(F12="In stock",F12="Packed",F12="Installed")))),1,0))</x:f>
      </x:c>
      <x:c r="K12" s="9" t="str">
        <x:f>IF(A12="","",IF(COUNTIFS('Assets'!$A$8:$A$207,A12)&lt;&gt;1,"Duplicate asset ID",IF(COUNTIFS('Definitions'!$A$8:$A$207,B12)&lt;&gt;1,"Unknown / duplicate definition",IF(VLOOKUP(B12,'Definitions'!$A$8:$J$207,7,FALSE)&lt;&gt;"Yes","Use bulk stock for untracked parts",IF(C12="","Missing manufacturer serial",IF(COUNTIFS($B$8:$B$207,B12,$C$8:$C$207,C12)&lt;&gt;1,"Duplicate part and serial",IF(OR(D12="",AND(E12&lt;&gt;"Good",E12&lt;&gt;"Faulty",E12&lt;&gt;"Unknown")),"Set location and condition",IF(AND(F12&lt;&gt;"In stock",F12&lt;&gt;"Packed",F12&lt;&gt;"Installed",F12&lt;&gt;"In transit",F12&lt;&gt;"Quarantine",F12&lt;&gt;"Retired"),"Choose asset state",IF(AND(G12&lt;&gt;"Unallocated",G12&lt;&gt;"This plan",G12&lt;&gt;"Other plan"),"Choose allocation",IF(AND(H12&lt;&gt;"",G12&lt;&gt;"This plan"),"Assigned role needs This plan",IF(AND(H12&lt;&gt;"",COUNTIFS('Layout'!$A$8:$A$207,H12)&lt;&gt;1),"Unknown / duplicate role",IF(H12&lt;&gt;"",IF(VLOOKUP(H12,'Layout'!$A$8:$N$207,7,FALSE)&lt;&gt;B12,"Assigned role part mismatch","OK"),IF(AND(F12="Installed",G12="This plan"),"Set installed role","OK")))))))))))))</x:f>
      </x:c>
    </x:row>
    <x:row r="13" ht="22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1" t="str">
        <x:f>IF(A13="","",IF(AND(E13="Good",OR(AND(G13="Unallocated",F13="In stock"),AND(G13="This plan",OR(F13="In stock",F13="Packed",F13="Installed")))),1,0))</x:f>
      </x:c>
      <x:c r="K13" s="9" t="str">
        <x:f>IF(A13="","",IF(COUNTIFS('Assets'!$A$8:$A$207,A13)&lt;&gt;1,"Duplicate asset ID",IF(COUNTIFS('Definitions'!$A$8:$A$207,B13)&lt;&gt;1,"Unknown / duplicate definition",IF(VLOOKUP(B13,'Definitions'!$A$8:$J$207,7,FALSE)&lt;&gt;"Yes","Use bulk stock for untracked parts",IF(C13="","Missing manufacturer serial",IF(COUNTIFS($B$8:$B$207,B13,$C$8:$C$207,C13)&lt;&gt;1,"Duplicate part and serial",IF(OR(D13="",AND(E13&lt;&gt;"Good",E13&lt;&gt;"Faulty",E13&lt;&gt;"Unknown")),"Set location and condition",IF(AND(F13&lt;&gt;"In stock",F13&lt;&gt;"Packed",F13&lt;&gt;"Installed",F13&lt;&gt;"In transit",F13&lt;&gt;"Quarantine",F13&lt;&gt;"Retired"),"Choose asset state",IF(AND(G13&lt;&gt;"Unallocated",G13&lt;&gt;"This plan",G13&lt;&gt;"Other plan"),"Choose allocation",IF(AND(H13&lt;&gt;"",G13&lt;&gt;"This plan"),"Assigned role needs This plan",IF(AND(H13&lt;&gt;"",COUNTIFS('Layout'!$A$8:$A$207,H13)&lt;&gt;1),"Unknown / duplicate role",IF(H13&lt;&gt;"",IF(VLOOKUP(H13,'Layout'!$A$8:$N$207,7,FALSE)&lt;&gt;B13,"Assigned role part mismatch","OK"),IF(AND(F13="Installed",G13="This plan"),"Set installed role","OK")))))))))))))</x:f>
      </x:c>
    </x:row>
    <x:row r="14" ht="22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1" t="str">
        <x:f>IF(A14="","",IF(AND(E14="Good",OR(AND(G14="Unallocated",F14="In stock"),AND(G14="This plan",OR(F14="In stock",F14="Packed",F14="Installed")))),1,0))</x:f>
      </x:c>
      <x:c r="K14" s="9" t="str">
        <x:f>IF(A14="","",IF(COUNTIFS('Assets'!$A$8:$A$207,A14)&lt;&gt;1,"Duplicate asset ID",IF(COUNTIFS('Definitions'!$A$8:$A$207,B14)&lt;&gt;1,"Unknown / duplicate definition",IF(VLOOKUP(B14,'Definitions'!$A$8:$J$207,7,FALSE)&lt;&gt;"Yes","Use bulk stock for untracked parts",IF(C14="","Missing manufacturer serial",IF(COUNTIFS($B$8:$B$207,B14,$C$8:$C$207,C14)&lt;&gt;1,"Duplicate part and serial",IF(OR(D14="",AND(E14&lt;&gt;"Good",E14&lt;&gt;"Faulty",E14&lt;&gt;"Unknown")),"Set location and condition",IF(AND(F14&lt;&gt;"In stock",F14&lt;&gt;"Packed",F14&lt;&gt;"Installed",F14&lt;&gt;"In transit",F14&lt;&gt;"Quarantine",F14&lt;&gt;"Retired"),"Choose asset state",IF(AND(G14&lt;&gt;"Unallocated",G14&lt;&gt;"This plan",G14&lt;&gt;"Other plan"),"Choose allocation",IF(AND(H14&lt;&gt;"",G14&lt;&gt;"This plan"),"Assigned role needs This plan",IF(AND(H14&lt;&gt;"",COUNTIFS('Layout'!$A$8:$A$207,H14)&lt;&gt;1),"Unknown / duplicate role",IF(H14&lt;&gt;"",IF(VLOOKUP(H14,'Layout'!$A$8:$N$207,7,FALSE)&lt;&gt;B14,"Assigned role part mismatch","OK"),IF(AND(F14="Installed",G14="This plan"),"Set installed role","OK")))))))))))))</x:f>
      </x:c>
    </x:row>
    <x:row r="15" ht="22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1" t="str">
        <x:f>IF(A15="","",IF(AND(E15="Good",OR(AND(G15="Unallocated",F15="In stock"),AND(G15="This plan",OR(F15="In stock",F15="Packed",F15="Installed")))),1,0))</x:f>
      </x:c>
      <x:c r="K15" s="9" t="str">
        <x:f>IF(A15="","",IF(COUNTIFS('Assets'!$A$8:$A$207,A15)&lt;&gt;1,"Duplicate asset ID",IF(COUNTIFS('Definitions'!$A$8:$A$207,B15)&lt;&gt;1,"Unknown / duplicate definition",IF(VLOOKUP(B15,'Definitions'!$A$8:$J$207,7,FALSE)&lt;&gt;"Yes","Use bulk stock for untracked parts",IF(C15="","Missing manufacturer serial",IF(COUNTIFS($B$8:$B$207,B15,$C$8:$C$207,C15)&lt;&gt;1,"Duplicate part and serial",IF(OR(D15="",AND(E15&lt;&gt;"Good",E15&lt;&gt;"Faulty",E15&lt;&gt;"Unknown")),"Set location and condition",IF(AND(F15&lt;&gt;"In stock",F15&lt;&gt;"Packed",F15&lt;&gt;"Installed",F15&lt;&gt;"In transit",F15&lt;&gt;"Quarantine",F15&lt;&gt;"Retired"),"Choose asset state",IF(AND(G15&lt;&gt;"Unallocated",G15&lt;&gt;"This plan",G15&lt;&gt;"Other plan"),"Choose allocation",IF(AND(H15&lt;&gt;"",G15&lt;&gt;"This plan"),"Assigned role needs This plan",IF(AND(H15&lt;&gt;"",COUNTIFS('Layout'!$A$8:$A$207,H15)&lt;&gt;1),"Unknown / duplicate role",IF(H15&lt;&gt;"",IF(VLOOKUP(H15,'Layout'!$A$8:$N$207,7,FALSE)&lt;&gt;B15,"Assigned role part mismatch","OK"),IF(AND(F15="Installed",G15="This plan"),"Set installed role","OK")))))))))))))</x:f>
      </x:c>
    </x:row>
    <x:row r="16" ht="22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1" t="str">
        <x:f>IF(A16="","",IF(AND(E16="Good",OR(AND(G16="Unallocated",F16="In stock"),AND(G16="This plan",OR(F16="In stock",F16="Packed",F16="Installed")))),1,0))</x:f>
      </x:c>
      <x:c r="K16" s="9" t="str">
        <x:f>IF(A16="","",IF(COUNTIFS('Assets'!$A$8:$A$207,A16)&lt;&gt;1,"Duplicate asset ID",IF(COUNTIFS('Definitions'!$A$8:$A$207,B16)&lt;&gt;1,"Unknown / duplicate definition",IF(VLOOKUP(B16,'Definitions'!$A$8:$J$207,7,FALSE)&lt;&gt;"Yes","Use bulk stock for untracked parts",IF(C16="","Missing manufacturer serial",IF(COUNTIFS($B$8:$B$207,B16,$C$8:$C$207,C16)&lt;&gt;1,"Duplicate part and serial",IF(OR(D16="",AND(E16&lt;&gt;"Good",E16&lt;&gt;"Faulty",E16&lt;&gt;"Unknown")),"Set location and condition",IF(AND(F16&lt;&gt;"In stock",F16&lt;&gt;"Packed",F16&lt;&gt;"Installed",F16&lt;&gt;"In transit",F16&lt;&gt;"Quarantine",F16&lt;&gt;"Retired"),"Choose asset state",IF(AND(G16&lt;&gt;"Unallocated",G16&lt;&gt;"This plan",G16&lt;&gt;"Other plan"),"Choose allocation",IF(AND(H16&lt;&gt;"",G16&lt;&gt;"This plan"),"Assigned role needs This plan",IF(AND(H16&lt;&gt;"",COUNTIFS('Layout'!$A$8:$A$207,H16)&lt;&gt;1),"Unknown / duplicate role",IF(H16&lt;&gt;"",IF(VLOOKUP(H16,'Layout'!$A$8:$N$207,7,FALSE)&lt;&gt;B16,"Assigned role part mismatch","OK"),IF(AND(F16="Installed",G16="This plan"),"Set installed role","OK")))))))))))))</x:f>
      </x:c>
    </x:row>
    <x:row r="17" ht="22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1" t="str">
        <x:f>IF(A17="","",IF(AND(E17="Good",OR(AND(G17="Unallocated",F17="In stock"),AND(G17="This plan",OR(F17="In stock",F17="Packed",F17="Installed")))),1,0))</x:f>
      </x:c>
      <x:c r="K17" s="9" t="str">
        <x:f>IF(A17="","",IF(COUNTIFS('Assets'!$A$8:$A$207,A17)&lt;&gt;1,"Duplicate asset ID",IF(COUNTIFS('Definitions'!$A$8:$A$207,B17)&lt;&gt;1,"Unknown / duplicate definition",IF(VLOOKUP(B17,'Definitions'!$A$8:$J$207,7,FALSE)&lt;&gt;"Yes","Use bulk stock for untracked parts",IF(C17="","Missing manufacturer serial",IF(COUNTIFS($B$8:$B$207,B17,$C$8:$C$207,C17)&lt;&gt;1,"Duplicate part and serial",IF(OR(D17="",AND(E17&lt;&gt;"Good",E17&lt;&gt;"Faulty",E17&lt;&gt;"Unknown")),"Set location and condition",IF(AND(F17&lt;&gt;"In stock",F17&lt;&gt;"Packed",F17&lt;&gt;"Installed",F17&lt;&gt;"In transit",F17&lt;&gt;"Quarantine",F17&lt;&gt;"Retired"),"Choose asset state",IF(AND(G17&lt;&gt;"Unallocated",G17&lt;&gt;"This plan",G17&lt;&gt;"Other plan"),"Choose allocation",IF(AND(H17&lt;&gt;"",G17&lt;&gt;"This plan"),"Assigned role needs This plan",IF(AND(H17&lt;&gt;"",COUNTIFS('Layout'!$A$8:$A$207,H17)&lt;&gt;1),"Unknown / duplicate role",IF(H17&lt;&gt;"",IF(VLOOKUP(H17,'Layout'!$A$8:$N$207,7,FALSE)&lt;&gt;B17,"Assigned role part mismatch","OK"),IF(AND(F17="Installed",G17="This plan"),"Set installed role","OK")))))))))))))</x:f>
      </x:c>
    </x:row>
    <x:row r="18" ht="22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1" t="str">
        <x:f>IF(A18="","",IF(AND(E18="Good",OR(AND(G18="Unallocated",F18="In stock"),AND(G18="This plan",OR(F18="In stock",F18="Packed",F18="Installed")))),1,0))</x:f>
      </x:c>
      <x:c r="K18" s="9" t="str">
        <x:f>IF(A18="","",IF(COUNTIFS('Assets'!$A$8:$A$207,A18)&lt;&gt;1,"Duplicate asset ID",IF(COUNTIFS('Definitions'!$A$8:$A$207,B18)&lt;&gt;1,"Unknown / duplicate definition",IF(VLOOKUP(B18,'Definitions'!$A$8:$J$207,7,FALSE)&lt;&gt;"Yes","Use bulk stock for untracked parts",IF(C18="","Missing manufacturer serial",IF(COUNTIFS($B$8:$B$207,B18,$C$8:$C$207,C18)&lt;&gt;1,"Duplicate part and serial",IF(OR(D18="",AND(E18&lt;&gt;"Good",E18&lt;&gt;"Faulty",E18&lt;&gt;"Unknown")),"Set location and condition",IF(AND(F18&lt;&gt;"In stock",F18&lt;&gt;"Packed",F18&lt;&gt;"Installed",F18&lt;&gt;"In transit",F18&lt;&gt;"Quarantine",F18&lt;&gt;"Retired"),"Choose asset state",IF(AND(G18&lt;&gt;"Unallocated",G18&lt;&gt;"This plan",G18&lt;&gt;"Other plan"),"Choose allocation",IF(AND(H18&lt;&gt;"",G18&lt;&gt;"This plan"),"Assigned role needs This plan",IF(AND(H18&lt;&gt;"",COUNTIFS('Layout'!$A$8:$A$207,H18)&lt;&gt;1),"Unknown / duplicate role",IF(H18&lt;&gt;"",IF(VLOOKUP(H18,'Layout'!$A$8:$N$207,7,FALSE)&lt;&gt;B18,"Assigned role part mismatch","OK"),IF(AND(F18="Installed",G18="This plan"),"Set installed role","OK")))))))))))))</x:f>
      </x:c>
    </x:row>
    <x:row r="19" ht="22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1" t="str">
        <x:f>IF(A19="","",IF(AND(E19="Good",OR(AND(G19="Unallocated",F19="In stock"),AND(G19="This plan",OR(F19="In stock",F19="Packed",F19="Installed")))),1,0))</x:f>
      </x:c>
      <x:c r="K19" s="9" t="str">
        <x:f>IF(A19="","",IF(COUNTIFS('Assets'!$A$8:$A$207,A19)&lt;&gt;1,"Duplicate asset ID",IF(COUNTIFS('Definitions'!$A$8:$A$207,B19)&lt;&gt;1,"Unknown / duplicate definition",IF(VLOOKUP(B19,'Definitions'!$A$8:$J$207,7,FALSE)&lt;&gt;"Yes","Use bulk stock for untracked parts",IF(C19="","Missing manufacturer serial",IF(COUNTIFS($B$8:$B$207,B19,$C$8:$C$207,C19)&lt;&gt;1,"Duplicate part and serial",IF(OR(D19="",AND(E19&lt;&gt;"Good",E19&lt;&gt;"Faulty",E19&lt;&gt;"Unknown")),"Set location and condition",IF(AND(F19&lt;&gt;"In stock",F19&lt;&gt;"Packed",F19&lt;&gt;"Installed",F19&lt;&gt;"In transit",F19&lt;&gt;"Quarantine",F19&lt;&gt;"Retired"),"Choose asset state",IF(AND(G19&lt;&gt;"Unallocated",G19&lt;&gt;"This plan",G19&lt;&gt;"Other plan"),"Choose allocation",IF(AND(H19&lt;&gt;"",G19&lt;&gt;"This plan"),"Assigned role needs This plan",IF(AND(H19&lt;&gt;"",COUNTIFS('Layout'!$A$8:$A$207,H19)&lt;&gt;1),"Unknown / duplicate role",IF(H19&lt;&gt;"",IF(VLOOKUP(H19,'Layout'!$A$8:$N$207,7,FALSE)&lt;&gt;B19,"Assigned role part mismatch","OK"),IF(AND(F19="Installed",G19="This plan"),"Set installed role","OK")))))))))))))</x:f>
      </x:c>
    </x:row>
    <x:row r="20" ht="22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1" t="str">
        <x:f>IF(A20="","",IF(AND(E20="Good",OR(AND(G20="Unallocated",F20="In stock"),AND(G20="This plan",OR(F20="In stock",F20="Packed",F20="Installed")))),1,0))</x:f>
      </x:c>
      <x:c r="K20" s="9" t="str">
        <x:f>IF(A20="","",IF(COUNTIFS('Assets'!$A$8:$A$207,A20)&lt;&gt;1,"Duplicate asset ID",IF(COUNTIFS('Definitions'!$A$8:$A$207,B20)&lt;&gt;1,"Unknown / duplicate definition",IF(VLOOKUP(B20,'Definitions'!$A$8:$J$207,7,FALSE)&lt;&gt;"Yes","Use bulk stock for untracked parts",IF(C20="","Missing manufacturer serial",IF(COUNTIFS($B$8:$B$207,B20,$C$8:$C$207,C20)&lt;&gt;1,"Duplicate part and serial",IF(OR(D20="",AND(E20&lt;&gt;"Good",E20&lt;&gt;"Faulty",E20&lt;&gt;"Unknown")),"Set location and condition",IF(AND(F20&lt;&gt;"In stock",F20&lt;&gt;"Packed",F20&lt;&gt;"Installed",F20&lt;&gt;"In transit",F20&lt;&gt;"Quarantine",F20&lt;&gt;"Retired"),"Choose asset state",IF(AND(G20&lt;&gt;"Unallocated",G20&lt;&gt;"This plan",G20&lt;&gt;"Other plan"),"Choose allocation",IF(AND(H20&lt;&gt;"",G20&lt;&gt;"This plan"),"Assigned role needs This plan",IF(AND(H20&lt;&gt;"",COUNTIFS('Layout'!$A$8:$A$207,H20)&lt;&gt;1),"Unknown / duplicate role",IF(H20&lt;&gt;"",IF(VLOOKUP(H20,'Layout'!$A$8:$N$207,7,FALSE)&lt;&gt;B20,"Assigned role part mismatch","OK"),IF(AND(F20="Installed",G20="This plan"),"Set installed role","OK")))))))))))))</x:f>
      </x:c>
    </x:row>
    <x:row r="21" ht="22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1" t="str">
        <x:f>IF(A21="","",IF(AND(E21="Good",OR(AND(G21="Unallocated",F21="In stock"),AND(G21="This plan",OR(F21="In stock",F21="Packed",F21="Installed")))),1,0))</x:f>
      </x:c>
      <x:c r="K21" s="9" t="str">
        <x:f>IF(A21="","",IF(COUNTIFS('Assets'!$A$8:$A$207,A21)&lt;&gt;1,"Duplicate asset ID",IF(COUNTIFS('Definitions'!$A$8:$A$207,B21)&lt;&gt;1,"Unknown / duplicate definition",IF(VLOOKUP(B21,'Definitions'!$A$8:$J$207,7,FALSE)&lt;&gt;"Yes","Use bulk stock for untracked parts",IF(C21="","Missing manufacturer serial",IF(COUNTIFS($B$8:$B$207,B21,$C$8:$C$207,C21)&lt;&gt;1,"Duplicate part and serial",IF(OR(D21="",AND(E21&lt;&gt;"Good",E21&lt;&gt;"Faulty",E21&lt;&gt;"Unknown")),"Set location and condition",IF(AND(F21&lt;&gt;"In stock",F21&lt;&gt;"Packed",F21&lt;&gt;"Installed",F21&lt;&gt;"In transit",F21&lt;&gt;"Quarantine",F21&lt;&gt;"Retired"),"Choose asset state",IF(AND(G21&lt;&gt;"Unallocated",G21&lt;&gt;"This plan",G21&lt;&gt;"Other plan"),"Choose allocation",IF(AND(H21&lt;&gt;"",G21&lt;&gt;"This plan"),"Assigned role needs This plan",IF(AND(H21&lt;&gt;"",COUNTIFS('Layout'!$A$8:$A$207,H21)&lt;&gt;1),"Unknown / duplicate role",IF(H21&lt;&gt;"",IF(VLOOKUP(H21,'Layout'!$A$8:$N$207,7,FALSE)&lt;&gt;B21,"Assigned role part mismatch","OK"),IF(AND(F21="Installed",G21="This plan"),"Set installed role","OK")))))))))))))</x:f>
      </x:c>
    </x:row>
    <x:row r="22" ht="22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1" t="str">
        <x:f>IF(A22="","",IF(AND(E22="Good",OR(AND(G22="Unallocated",F22="In stock"),AND(G22="This plan",OR(F22="In stock",F22="Packed",F22="Installed")))),1,0))</x:f>
      </x:c>
      <x:c r="K22" s="9" t="str">
        <x:f>IF(A22="","",IF(COUNTIFS('Assets'!$A$8:$A$207,A22)&lt;&gt;1,"Duplicate asset ID",IF(COUNTIFS('Definitions'!$A$8:$A$207,B22)&lt;&gt;1,"Unknown / duplicate definition",IF(VLOOKUP(B22,'Definitions'!$A$8:$J$207,7,FALSE)&lt;&gt;"Yes","Use bulk stock for untracked parts",IF(C22="","Missing manufacturer serial",IF(COUNTIFS($B$8:$B$207,B22,$C$8:$C$207,C22)&lt;&gt;1,"Duplicate part and serial",IF(OR(D22="",AND(E22&lt;&gt;"Good",E22&lt;&gt;"Faulty",E22&lt;&gt;"Unknown")),"Set location and condition",IF(AND(F22&lt;&gt;"In stock",F22&lt;&gt;"Packed",F22&lt;&gt;"Installed",F22&lt;&gt;"In transit",F22&lt;&gt;"Quarantine",F22&lt;&gt;"Retired"),"Choose asset state",IF(AND(G22&lt;&gt;"Unallocated",G22&lt;&gt;"This plan",G22&lt;&gt;"Other plan"),"Choose allocation",IF(AND(H22&lt;&gt;"",G22&lt;&gt;"This plan"),"Assigned role needs This plan",IF(AND(H22&lt;&gt;"",COUNTIFS('Layout'!$A$8:$A$207,H22)&lt;&gt;1),"Unknown / duplicate role",IF(H22&lt;&gt;"",IF(VLOOKUP(H22,'Layout'!$A$8:$N$207,7,FALSE)&lt;&gt;B22,"Assigned role part mismatch","OK"),IF(AND(F22="Installed",G22="This plan"),"Set installed role","OK")))))))))))))</x:f>
      </x:c>
    </x:row>
    <x:row r="23" ht="22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1" t="str">
        <x:f>IF(A23="","",IF(AND(E23="Good",OR(AND(G23="Unallocated",F23="In stock"),AND(G23="This plan",OR(F23="In stock",F23="Packed",F23="Installed")))),1,0))</x:f>
      </x:c>
      <x:c r="K23" s="9" t="str">
        <x:f>IF(A23="","",IF(COUNTIFS('Assets'!$A$8:$A$207,A23)&lt;&gt;1,"Duplicate asset ID",IF(COUNTIFS('Definitions'!$A$8:$A$207,B23)&lt;&gt;1,"Unknown / duplicate definition",IF(VLOOKUP(B23,'Definitions'!$A$8:$J$207,7,FALSE)&lt;&gt;"Yes","Use bulk stock for untracked parts",IF(C23="","Missing manufacturer serial",IF(COUNTIFS($B$8:$B$207,B23,$C$8:$C$207,C23)&lt;&gt;1,"Duplicate part and serial",IF(OR(D23="",AND(E23&lt;&gt;"Good",E23&lt;&gt;"Faulty",E23&lt;&gt;"Unknown")),"Set location and condition",IF(AND(F23&lt;&gt;"In stock",F23&lt;&gt;"Packed",F23&lt;&gt;"Installed",F23&lt;&gt;"In transit",F23&lt;&gt;"Quarantine",F23&lt;&gt;"Retired"),"Choose asset state",IF(AND(G23&lt;&gt;"Unallocated",G23&lt;&gt;"This plan",G23&lt;&gt;"Other plan"),"Choose allocation",IF(AND(H23&lt;&gt;"",G23&lt;&gt;"This plan"),"Assigned role needs This plan",IF(AND(H23&lt;&gt;"",COUNTIFS('Layout'!$A$8:$A$207,H23)&lt;&gt;1),"Unknown / duplicate role",IF(H23&lt;&gt;"",IF(VLOOKUP(H23,'Layout'!$A$8:$N$207,7,FALSE)&lt;&gt;B23,"Assigned role part mismatch","OK"),IF(AND(F23="Installed",G23="This plan"),"Set installed role","OK")))))))))))))</x:f>
      </x:c>
    </x:row>
    <x:row r="24" ht="22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1" t="str">
        <x:f>IF(A24="","",IF(AND(E24="Good",OR(AND(G24="Unallocated",F24="In stock"),AND(G24="This plan",OR(F24="In stock",F24="Packed",F24="Installed")))),1,0))</x:f>
      </x:c>
      <x:c r="K24" s="9" t="str">
        <x:f>IF(A24="","",IF(COUNTIFS('Assets'!$A$8:$A$207,A24)&lt;&gt;1,"Duplicate asset ID",IF(COUNTIFS('Definitions'!$A$8:$A$207,B24)&lt;&gt;1,"Unknown / duplicate definition",IF(VLOOKUP(B24,'Definitions'!$A$8:$J$207,7,FALSE)&lt;&gt;"Yes","Use bulk stock for untracked parts",IF(C24="","Missing manufacturer serial",IF(COUNTIFS($B$8:$B$207,B24,$C$8:$C$207,C24)&lt;&gt;1,"Duplicate part and serial",IF(OR(D24="",AND(E24&lt;&gt;"Good",E24&lt;&gt;"Faulty",E24&lt;&gt;"Unknown")),"Set location and condition",IF(AND(F24&lt;&gt;"In stock",F24&lt;&gt;"Packed",F24&lt;&gt;"Installed",F24&lt;&gt;"In transit",F24&lt;&gt;"Quarantine",F24&lt;&gt;"Retired"),"Choose asset state",IF(AND(G24&lt;&gt;"Unallocated",G24&lt;&gt;"This plan",G24&lt;&gt;"Other plan"),"Choose allocation",IF(AND(H24&lt;&gt;"",G24&lt;&gt;"This plan"),"Assigned role needs This plan",IF(AND(H24&lt;&gt;"",COUNTIFS('Layout'!$A$8:$A$207,H24)&lt;&gt;1),"Unknown / duplicate role",IF(H24&lt;&gt;"",IF(VLOOKUP(H24,'Layout'!$A$8:$N$207,7,FALSE)&lt;&gt;B24,"Assigned role part mismatch","OK"),IF(AND(F24="Installed",G24="This plan"),"Set installed role","OK")))))))))))))</x:f>
      </x:c>
    </x:row>
    <x:row r="25" ht="22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1" t="str">
        <x:f>IF(A25="","",IF(AND(E25="Good",OR(AND(G25="Unallocated",F25="In stock"),AND(G25="This plan",OR(F25="In stock",F25="Packed",F25="Installed")))),1,0))</x:f>
      </x:c>
      <x:c r="K25" s="9" t="str">
        <x:f>IF(A25="","",IF(COUNTIFS('Assets'!$A$8:$A$207,A25)&lt;&gt;1,"Duplicate asset ID",IF(COUNTIFS('Definitions'!$A$8:$A$207,B25)&lt;&gt;1,"Unknown / duplicate definition",IF(VLOOKUP(B25,'Definitions'!$A$8:$J$207,7,FALSE)&lt;&gt;"Yes","Use bulk stock for untracked parts",IF(C25="","Missing manufacturer serial",IF(COUNTIFS($B$8:$B$207,B25,$C$8:$C$207,C25)&lt;&gt;1,"Duplicate part and serial",IF(OR(D25="",AND(E25&lt;&gt;"Good",E25&lt;&gt;"Faulty",E25&lt;&gt;"Unknown")),"Set location and condition",IF(AND(F25&lt;&gt;"In stock",F25&lt;&gt;"Packed",F25&lt;&gt;"Installed",F25&lt;&gt;"In transit",F25&lt;&gt;"Quarantine",F25&lt;&gt;"Retired"),"Choose asset state",IF(AND(G25&lt;&gt;"Unallocated",G25&lt;&gt;"This plan",G25&lt;&gt;"Other plan"),"Choose allocation",IF(AND(H25&lt;&gt;"",G25&lt;&gt;"This plan"),"Assigned role needs This plan",IF(AND(H25&lt;&gt;"",COUNTIFS('Layout'!$A$8:$A$207,H25)&lt;&gt;1),"Unknown / duplicate role",IF(H25&lt;&gt;"",IF(VLOOKUP(H25,'Layout'!$A$8:$N$207,7,FALSE)&lt;&gt;B25,"Assigned role part mismatch","OK"),IF(AND(F25="Installed",G25="This plan"),"Set installed role","OK")))))))))))))</x:f>
      </x:c>
    </x:row>
    <x:row r="26" ht="22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1" t="str">
        <x:f>IF(A26="","",IF(AND(E26="Good",OR(AND(G26="Unallocated",F26="In stock"),AND(G26="This plan",OR(F26="In stock",F26="Packed",F26="Installed")))),1,0))</x:f>
      </x:c>
      <x:c r="K26" s="9" t="str">
        <x:f>IF(A26="","",IF(COUNTIFS('Assets'!$A$8:$A$207,A26)&lt;&gt;1,"Duplicate asset ID",IF(COUNTIFS('Definitions'!$A$8:$A$207,B26)&lt;&gt;1,"Unknown / duplicate definition",IF(VLOOKUP(B26,'Definitions'!$A$8:$J$207,7,FALSE)&lt;&gt;"Yes","Use bulk stock for untracked parts",IF(C26="","Missing manufacturer serial",IF(COUNTIFS($B$8:$B$207,B26,$C$8:$C$207,C26)&lt;&gt;1,"Duplicate part and serial",IF(OR(D26="",AND(E26&lt;&gt;"Good",E26&lt;&gt;"Faulty",E26&lt;&gt;"Unknown")),"Set location and condition",IF(AND(F26&lt;&gt;"In stock",F26&lt;&gt;"Packed",F26&lt;&gt;"Installed",F26&lt;&gt;"In transit",F26&lt;&gt;"Quarantine",F26&lt;&gt;"Retired"),"Choose asset state",IF(AND(G26&lt;&gt;"Unallocated",G26&lt;&gt;"This plan",G26&lt;&gt;"Other plan"),"Choose allocation",IF(AND(H26&lt;&gt;"",G26&lt;&gt;"This plan"),"Assigned role needs This plan",IF(AND(H26&lt;&gt;"",COUNTIFS('Layout'!$A$8:$A$207,H26)&lt;&gt;1),"Unknown / duplicate role",IF(H26&lt;&gt;"",IF(VLOOKUP(H26,'Layout'!$A$8:$N$207,7,FALSE)&lt;&gt;B26,"Assigned role part mismatch","OK"),IF(AND(F26="Installed",G26="This plan"),"Set installed role","OK")))))))))))))</x:f>
      </x:c>
    </x:row>
    <x:row r="27" ht="22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1" t="str">
        <x:f>IF(A27="","",IF(AND(E27="Good",OR(AND(G27="Unallocated",F27="In stock"),AND(G27="This plan",OR(F27="In stock",F27="Packed",F27="Installed")))),1,0))</x:f>
      </x:c>
      <x:c r="K27" s="9" t="str">
        <x:f>IF(A27="","",IF(COUNTIFS('Assets'!$A$8:$A$207,A27)&lt;&gt;1,"Duplicate asset ID",IF(COUNTIFS('Definitions'!$A$8:$A$207,B27)&lt;&gt;1,"Unknown / duplicate definition",IF(VLOOKUP(B27,'Definitions'!$A$8:$J$207,7,FALSE)&lt;&gt;"Yes","Use bulk stock for untracked parts",IF(C27="","Missing manufacturer serial",IF(COUNTIFS($B$8:$B$207,B27,$C$8:$C$207,C27)&lt;&gt;1,"Duplicate part and serial",IF(OR(D27="",AND(E27&lt;&gt;"Good",E27&lt;&gt;"Faulty",E27&lt;&gt;"Unknown")),"Set location and condition",IF(AND(F27&lt;&gt;"In stock",F27&lt;&gt;"Packed",F27&lt;&gt;"Installed",F27&lt;&gt;"In transit",F27&lt;&gt;"Quarantine",F27&lt;&gt;"Retired"),"Choose asset state",IF(AND(G27&lt;&gt;"Unallocated",G27&lt;&gt;"This plan",G27&lt;&gt;"Other plan"),"Choose allocation",IF(AND(H27&lt;&gt;"",G27&lt;&gt;"This plan"),"Assigned role needs This plan",IF(AND(H27&lt;&gt;"",COUNTIFS('Layout'!$A$8:$A$207,H27)&lt;&gt;1),"Unknown / duplicate role",IF(H27&lt;&gt;"",IF(VLOOKUP(H27,'Layout'!$A$8:$N$207,7,FALSE)&lt;&gt;B27,"Assigned role part mismatch","OK"),IF(AND(F27="Installed",G27="This plan"),"Set installed role","OK")))))))))))))</x:f>
      </x:c>
    </x:row>
    <x:row r="28" ht="22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1" t="str">
        <x:f>IF(A28="","",IF(AND(E28="Good",OR(AND(G28="Unallocated",F28="In stock"),AND(G28="This plan",OR(F28="In stock",F28="Packed",F28="Installed")))),1,0))</x:f>
      </x:c>
      <x:c r="K28" s="9" t="str">
        <x:f>IF(A28="","",IF(COUNTIFS('Assets'!$A$8:$A$207,A28)&lt;&gt;1,"Duplicate asset ID",IF(COUNTIFS('Definitions'!$A$8:$A$207,B28)&lt;&gt;1,"Unknown / duplicate definition",IF(VLOOKUP(B28,'Definitions'!$A$8:$J$207,7,FALSE)&lt;&gt;"Yes","Use bulk stock for untracked parts",IF(C28="","Missing manufacturer serial",IF(COUNTIFS($B$8:$B$207,B28,$C$8:$C$207,C28)&lt;&gt;1,"Duplicate part and serial",IF(OR(D28="",AND(E28&lt;&gt;"Good",E28&lt;&gt;"Faulty",E28&lt;&gt;"Unknown")),"Set location and condition",IF(AND(F28&lt;&gt;"In stock",F28&lt;&gt;"Packed",F28&lt;&gt;"Installed",F28&lt;&gt;"In transit",F28&lt;&gt;"Quarantine",F28&lt;&gt;"Retired"),"Choose asset state",IF(AND(G28&lt;&gt;"Unallocated",G28&lt;&gt;"This plan",G28&lt;&gt;"Other plan"),"Choose allocation",IF(AND(H28&lt;&gt;"",G28&lt;&gt;"This plan"),"Assigned role needs This plan",IF(AND(H28&lt;&gt;"",COUNTIFS('Layout'!$A$8:$A$207,H28)&lt;&gt;1),"Unknown / duplicate role",IF(H28&lt;&gt;"",IF(VLOOKUP(H28,'Layout'!$A$8:$N$207,7,FALSE)&lt;&gt;B28,"Assigned role part mismatch","OK"),IF(AND(F28="Installed",G28="This plan"),"Set installed role","OK")))))))))))))</x:f>
      </x:c>
    </x:row>
    <x:row r="29" ht="22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1" t="str">
        <x:f>IF(A29="","",IF(AND(E29="Good",OR(AND(G29="Unallocated",F29="In stock"),AND(G29="This plan",OR(F29="In stock",F29="Packed",F29="Installed")))),1,0))</x:f>
      </x:c>
      <x:c r="K29" s="9" t="str">
        <x:f>IF(A29="","",IF(COUNTIFS('Assets'!$A$8:$A$207,A29)&lt;&gt;1,"Duplicate asset ID",IF(COUNTIFS('Definitions'!$A$8:$A$207,B29)&lt;&gt;1,"Unknown / duplicate definition",IF(VLOOKUP(B29,'Definitions'!$A$8:$J$207,7,FALSE)&lt;&gt;"Yes","Use bulk stock for untracked parts",IF(C29="","Missing manufacturer serial",IF(COUNTIFS($B$8:$B$207,B29,$C$8:$C$207,C29)&lt;&gt;1,"Duplicate part and serial",IF(OR(D29="",AND(E29&lt;&gt;"Good",E29&lt;&gt;"Faulty",E29&lt;&gt;"Unknown")),"Set location and condition",IF(AND(F29&lt;&gt;"In stock",F29&lt;&gt;"Packed",F29&lt;&gt;"Installed",F29&lt;&gt;"In transit",F29&lt;&gt;"Quarantine",F29&lt;&gt;"Retired"),"Choose asset state",IF(AND(G29&lt;&gt;"Unallocated",G29&lt;&gt;"This plan",G29&lt;&gt;"Other plan"),"Choose allocation",IF(AND(H29&lt;&gt;"",G29&lt;&gt;"This plan"),"Assigned role needs This plan",IF(AND(H29&lt;&gt;"",COUNTIFS('Layout'!$A$8:$A$207,H29)&lt;&gt;1),"Unknown / duplicate role",IF(H29&lt;&gt;"",IF(VLOOKUP(H29,'Layout'!$A$8:$N$207,7,FALSE)&lt;&gt;B29,"Assigned role part mismatch","OK"),IF(AND(F29="Installed",G29="This plan"),"Set installed role","OK")))))))))))))</x:f>
      </x:c>
    </x:row>
    <x:row r="30" ht="22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1" t="str">
        <x:f>IF(A30="","",IF(AND(E30="Good",OR(AND(G30="Unallocated",F30="In stock"),AND(G30="This plan",OR(F30="In stock",F30="Packed",F30="Installed")))),1,0))</x:f>
      </x:c>
      <x:c r="K30" s="9" t="str">
        <x:f>IF(A30="","",IF(COUNTIFS('Assets'!$A$8:$A$207,A30)&lt;&gt;1,"Duplicate asset ID",IF(COUNTIFS('Definitions'!$A$8:$A$207,B30)&lt;&gt;1,"Unknown / duplicate definition",IF(VLOOKUP(B30,'Definitions'!$A$8:$J$207,7,FALSE)&lt;&gt;"Yes","Use bulk stock for untracked parts",IF(C30="","Missing manufacturer serial",IF(COUNTIFS($B$8:$B$207,B30,$C$8:$C$207,C30)&lt;&gt;1,"Duplicate part and serial",IF(OR(D30="",AND(E30&lt;&gt;"Good",E30&lt;&gt;"Faulty",E30&lt;&gt;"Unknown")),"Set location and condition",IF(AND(F30&lt;&gt;"In stock",F30&lt;&gt;"Packed",F30&lt;&gt;"Installed",F30&lt;&gt;"In transit",F30&lt;&gt;"Quarantine",F30&lt;&gt;"Retired"),"Choose asset state",IF(AND(G30&lt;&gt;"Unallocated",G30&lt;&gt;"This plan",G30&lt;&gt;"Other plan"),"Choose allocation",IF(AND(H30&lt;&gt;"",G30&lt;&gt;"This plan"),"Assigned role needs This plan",IF(AND(H30&lt;&gt;"",COUNTIFS('Layout'!$A$8:$A$207,H30)&lt;&gt;1),"Unknown / duplicate role",IF(H30&lt;&gt;"",IF(VLOOKUP(H30,'Layout'!$A$8:$N$207,7,FALSE)&lt;&gt;B30,"Assigned role part mismatch","OK"),IF(AND(F30="Installed",G30="This plan"),"Set installed role","OK")))))))))))))</x:f>
      </x:c>
    </x:row>
    <x:row r="31" ht="22" customHeight="1">
      <x:c r="A31" s="10"/>
      <x:c r="B31" s="10"/>
      <x:c r="C31" s="10"/>
      <x:c r="D31" s="10"/>
      <x:c r="E31" s="10"/>
      <x:c r="F31" s="10"/>
      <x:c r="G31" s="10"/>
      <x:c r="H31" s="10"/>
      <x:c r="I31" s="10"/>
      <x:c r="J31" s="11" t="str">
        <x:f>IF(A31="","",IF(AND(E31="Good",OR(AND(G31="Unallocated",F31="In stock"),AND(G31="This plan",OR(F31="In stock",F31="Packed",F31="Installed")))),1,0))</x:f>
      </x:c>
      <x:c r="K31" s="9" t="str">
        <x:f>IF(A31="","",IF(COUNTIFS('Assets'!$A$8:$A$207,A31)&lt;&gt;1,"Duplicate asset ID",IF(COUNTIFS('Definitions'!$A$8:$A$207,B31)&lt;&gt;1,"Unknown / duplicate definition",IF(VLOOKUP(B31,'Definitions'!$A$8:$J$207,7,FALSE)&lt;&gt;"Yes","Use bulk stock for untracked parts",IF(C31="","Missing manufacturer serial",IF(COUNTIFS($B$8:$B$207,B31,$C$8:$C$207,C31)&lt;&gt;1,"Duplicate part and serial",IF(OR(D31="",AND(E31&lt;&gt;"Good",E31&lt;&gt;"Faulty",E31&lt;&gt;"Unknown")),"Set location and condition",IF(AND(F31&lt;&gt;"In stock",F31&lt;&gt;"Packed",F31&lt;&gt;"Installed",F31&lt;&gt;"In transit",F31&lt;&gt;"Quarantine",F31&lt;&gt;"Retired"),"Choose asset state",IF(AND(G31&lt;&gt;"Unallocated",G31&lt;&gt;"This plan",G31&lt;&gt;"Other plan"),"Choose allocation",IF(AND(H31&lt;&gt;"",G31&lt;&gt;"This plan"),"Assigned role needs This plan",IF(AND(H31&lt;&gt;"",COUNTIFS('Layout'!$A$8:$A$207,H31)&lt;&gt;1),"Unknown / duplicate role",IF(H31&lt;&gt;"",IF(VLOOKUP(H31,'Layout'!$A$8:$N$207,7,FALSE)&lt;&gt;B31,"Assigned role part mismatch","OK"),IF(AND(F31="Installed",G31="This plan"),"Set installed role","OK")))))))))))))</x:f>
      </x:c>
    </x:row>
    <x:row r="32" ht="22" customHeight="1">
      <x:c r="A32" s="10"/>
      <x:c r="B32" s="10"/>
      <x:c r="C32" s="10"/>
      <x:c r="D32" s="10"/>
      <x:c r="E32" s="10"/>
      <x:c r="F32" s="10"/>
      <x:c r="G32" s="10"/>
      <x:c r="H32" s="10"/>
      <x:c r="I32" s="10"/>
      <x:c r="J32" s="11" t="str">
        <x:f>IF(A32="","",IF(AND(E32="Good",OR(AND(G32="Unallocated",F32="In stock"),AND(G32="This plan",OR(F32="In stock",F32="Packed",F32="Installed")))),1,0))</x:f>
      </x:c>
      <x:c r="K32" s="9" t="str">
        <x:f>IF(A32="","",IF(COUNTIFS('Assets'!$A$8:$A$207,A32)&lt;&gt;1,"Duplicate asset ID",IF(COUNTIFS('Definitions'!$A$8:$A$207,B32)&lt;&gt;1,"Unknown / duplicate definition",IF(VLOOKUP(B32,'Definitions'!$A$8:$J$207,7,FALSE)&lt;&gt;"Yes","Use bulk stock for untracked parts",IF(C32="","Missing manufacturer serial",IF(COUNTIFS($B$8:$B$207,B32,$C$8:$C$207,C32)&lt;&gt;1,"Duplicate part and serial",IF(OR(D32="",AND(E32&lt;&gt;"Good",E32&lt;&gt;"Faulty",E32&lt;&gt;"Unknown")),"Set location and condition",IF(AND(F32&lt;&gt;"In stock",F32&lt;&gt;"Packed",F32&lt;&gt;"Installed",F32&lt;&gt;"In transit",F32&lt;&gt;"Quarantine",F32&lt;&gt;"Retired"),"Choose asset state",IF(AND(G32&lt;&gt;"Unallocated",G32&lt;&gt;"This plan",G32&lt;&gt;"Other plan"),"Choose allocation",IF(AND(H32&lt;&gt;"",G32&lt;&gt;"This plan"),"Assigned role needs This plan",IF(AND(H32&lt;&gt;"",COUNTIFS('Layout'!$A$8:$A$207,H32)&lt;&gt;1),"Unknown / duplicate role",IF(H32&lt;&gt;"",IF(VLOOKUP(H32,'Layout'!$A$8:$N$207,7,FALSE)&lt;&gt;B32,"Assigned role part mismatch","OK"),IF(AND(F32="Installed",G32="This plan"),"Set installed role","OK")))))))))))))</x:f>
      </x:c>
    </x:row>
    <x:row r="33" ht="22" customHeight="1">
      <x:c r="A33" s="10"/>
      <x:c r="B33" s="10"/>
      <x:c r="C33" s="10"/>
      <x:c r="D33" s="10"/>
      <x:c r="E33" s="10"/>
      <x:c r="F33" s="10"/>
      <x:c r="G33" s="10"/>
      <x:c r="H33" s="10"/>
      <x:c r="I33" s="10"/>
      <x:c r="J33" s="11" t="str">
        <x:f>IF(A33="","",IF(AND(E33="Good",OR(AND(G33="Unallocated",F33="In stock"),AND(G33="This plan",OR(F33="In stock",F33="Packed",F33="Installed")))),1,0))</x:f>
      </x:c>
      <x:c r="K33" s="9" t="str">
        <x:f>IF(A33="","",IF(COUNTIFS('Assets'!$A$8:$A$207,A33)&lt;&gt;1,"Duplicate asset ID",IF(COUNTIFS('Definitions'!$A$8:$A$207,B33)&lt;&gt;1,"Unknown / duplicate definition",IF(VLOOKUP(B33,'Definitions'!$A$8:$J$207,7,FALSE)&lt;&gt;"Yes","Use bulk stock for untracked parts",IF(C33="","Missing manufacturer serial",IF(COUNTIFS($B$8:$B$207,B33,$C$8:$C$207,C33)&lt;&gt;1,"Duplicate part and serial",IF(OR(D33="",AND(E33&lt;&gt;"Good",E33&lt;&gt;"Faulty",E33&lt;&gt;"Unknown")),"Set location and condition",IF(AND(F33&lt;&gt;"In stock",F33&lt;&gt;"Packed",F33&lt;&gt;"Installed",F33&lt;&gt;"In transit",F33&lt;&gt;"Quarantine",F33&lt;&gt;"Retired"),"Choose asset state",IF(AND(G33&lt;&gt;"Unallocated",G33&lt;&gt;"This plan",G33&lt;&gt;"Other plan"),"Choose allocation",IF(AND(H33&lt;&gt;"",G33&lt;&gt;"This plan"),"Assigned role needs This plan",IF(AND(H33&lt;&gt;"",COUNTIFS('Layout'!$A$8:$A$207,H33)&lt;&gt;1),"Unknown / duplicate role",IF(H33&lt;&gt;"",IF(VLOOKUP(H33,'Layout'!$A$8:$N$207,7,FALSE)&lt;&gt;B33,"Assigned role part mismatch","OK"),IF(AND(F33="Installed",G33="This plan"),"Set installed role","OK")))))))))))))</x:f>
      </x:c>
    </x:row>
    <x:row r="34" ht="22" customHeight="1">
      <x:c r="A34" s="10"/>
      <x:c r="B34" s="10"/>
      <x:c r="C34" s="10"/>
      <x:c r="D34" s="10"/>
      <x:c r="E34" s="10"/>
      <x:c r="F34" s="10"/>
      <x:c r="G34" s="10"/>
      <x:c r="H34" s="10"/>
      <x:c r="I34" s="10"/>
      <x:c r="J34" s="11" t="str">
        <x:f>IF(A34="","",IF(AND(E34="Good",OR(AND(G34="Unallocated",F34="In stock"),AND(G34="This plan",OR(F34="In stock",F34="Packed",F34="Installed")))),1,0))</x:f>
      </x:c>
      <x:c r="K34" s="9" t="str">
        <x:f>IF(A34="","",IF(COUNTIFS('Assets'!$A$8:$A$207,A34)&lt;&gt;1,"Duplicate asset ID",IF(COUNTIFS('Definitions'!$A$8:$A$207,B34)&lt;&gt;1,"Unknown / duplicate definition",IF(VLOOKUP(B34,'Definitions'!$A$8:$J$207,7,FALSE)&lt;&gt;"Yes","Use bulk stock for untracked parts",IF(C34="","Missing manufacturer serial",IF(COUNTIFS($B$8:$B$207,B34,$C$8:$C$207,C34)&lt;&gt;1,"Duplicate part and serial",IF(OR(D34="",AND(E34&lt;&gt;"Good",E34&lt;&gt;"Faulty",E34&lt;&gt;"Unknown")),"Set location and condition",IF(AND(F34&lt;&gt;"In stock",F34&lt;&gt;"Packed",F34&lt;&gt;"Installed",F34&lt;&gt;"In transit",F34&lt;&gt;"Quarantine",F34&lt;&gt;"Retired"),"Choose asset state",IF(AND(G34&lt;&gt;"Unallocated",G34&lt;&gt;"This plan",G34&lt;&gt;"Other plan"),"Choose allocation",IF(AND(H34&lt;&gt;"",G34&lt;&gt;"This plan"),"Assigned role needs This plan",IF(AND(H34&lt;&gt;"",COUNTIFS('Layout'!$A$8:$A$207,H34)&lt;&gt;1),"Unknown / duplicate role",IF(H34&lt;&gt;"",IF(VLOOKUP(H34,'Layout'!$A$8:$N$207,7,FALSE)&lt;&gt;B34,"Assigned role part mismatch","OK"),IF(AND(F34="Installed",G34="This plan"),"Set installed role","OK")))))))))))))</x:f>
      </x:c>
    </x:row>
    <x:row r="35" ht="22" customHeight="1">
      <x:c r="A35" s="10"/>
      <x:c r="B35" s="10"/>
      <x:c r="C35" s="10"/>
      <x:c r="D35" s="10"/>
      <x:c r="E35" s="10"/>
      <x:c r="F35" s="10"/>
      <x:c r="G35" s="10"/>
      <x:c r="H35" s="10"/>
      <x:c r="I35" s="10"/>
      <x:c r="J35" s="11" t="str">
        <x:f>IF(A35="","",IF(AND(E35="Good",OR(AND(G35="Unallocated",F35="In stock"),AND(G35="This plan",OR(F35="In stock",F35="Packed",F35="Installed")))),1,0))</x:f>
      </x:c>
      <x:c r="K35" s="9" t="str">
        <x:f>IF(A35="","",IF(COUNTIFS('Assets'!$A$8:$A$207,A35)&lt;&gt;1,"Duplicate asset ID",IF(COUNTIFS('Definitions'!$A$8:$A$207,B35)&lt;&gt;1,"Unknown / duplicate definition",IF(VLOOKUP(B35,'Definitions'!$A$8:$J$207,7,FALSE)&lt;&gt;"Yes","Use bulk stock for untracked parts",IF(C35="","Missing manufacturer serial",IF(COUNTIFS($B$8:$B$207,B35,$C$8:$C$207,C35)&lt;&gt;1,"Duplicate part and serial",IF(OR(D35="",AND(E35&lt;&gt;"Good",E35&lt;&gt;"Faulty",E35&lt;&gt;"Unknown")),"Set location and condition",IF(AND(F35&lt;&gt;"In stock",F35&lt;&gt;"Packed",F35&lt;&gt;"Installed",F35&lt;&gt;"In transit",F35&lt;&gt;"Quarantine",F35&lt;&gt;"Retired"),"Choose asset state",IF(AND(G35&lt;&gt;"Unallocated",G35&lt;&gt;"This plan",G35&lt;&gt;"Other plan"),"Choose allocation",IF(AND(H35&lt;&gt;"",G35&lt;&gt;"This plan"),"Assigned role needs This plan",IF(AND(H35&lt;&gt;"",COUNTIFS('Layout'!$A$8:$A$207,H35)&lt;&gt;1),"Unknown / duplicate role",IF(H35&lt;&gt;"",IF(VLOOKUP(H35,'Layout'!$A$8:$N$207,7,FALSE)&lt;&gt;B35,"Assigned role part mismatch","OK"),IF(AND(F35="Installed",G35="This plan"),"Set installed role","OK")))))))))))))</x:f>
      </x:c>
    </x:row>
    <x:row r="36" ht="22" customHeight="1">
      <x:c r="A36" s="10"/>
      <x:c r="B36" s="10"/>
      <x:c r="C36" s="10"/>
      <x:c r="D36" s="10"/>
      <x:c r="E36" s="10"/>
      <x:c r="F36" s="10"/>
      <x:c r="G36" s="10"/>
      <x:c r="H36" s="10"/>
      <x:c r="I36" s="10"/>
      <x:c r="J36" s="11" t="str">
        <x:f>IF(A36="","",IF(AND(E36="Good",OR(AND(G36="Unallocated",F36="In stock"),AND(G36="This plan",OR(F36="In stock",F36="Packed",F36="Installed")))),1,0))</x:f>
      </x:c>
      <x:c r="K36" s="9" t="str">
        <x:f>IF(A36="","",IF(COUNTIFS('Assets'!$A$8:$A$207,A36)&lt;&gt;1,"Duplicate asset ID",IF(COUNTIFS('Definitions'!$A$8:$A$207,B36)&lt;&gt;1,"Unknown / duplicate definition",IF(VLOOKUP(B36,'Definitions'!$A$8:$J$207,7,FALSE)&lt;&gt;"Yes","Use bulk stock for untracked parts",IF(C36="","Missing manufacturer serial",IF(COUNTIFS($B$8:$B$207,B36,$C$8:$C$207,C36)&lt;&gt;1,"Duplicate part and serial",IF(OR(D36="",AND(E36&lt;&gt;"Good",E36&lt;&gt;"Faulty",E36&lt;&gt;"Unknown")),"Set location and condition",IF(AND(F36&lt;&gt;"In stock",F36&lt;&gt;"Packed",F36&lt;&gt;"Installed",F36&lt;&gt;"In transit",F36&lt;&gt;"Quarantine",F36&lt;&gt;"Retired"),"Choose asset state",IF(AND(G36&lt;&gt;"Unallocated",G36&lt;&gt;"This plan",G36&lt;&gt;"Other plan"),"Choose allocation",IF(AND(H36&lt;&gt;"",G36&lt;&gt;"This plan"),"Assigned role needs This plan",IF(AND(H36&lt;&gt;"",COUNTIFS('Layout'!$A$8:$A$207,H36)&lt;&gt;1),"Unknown / duplicate role",IF(H36&lt;&gt;"",IF(VLOOKUP(H36,'Layout'!$A$8:$N$207,7,FALSE)&lt;&gt;B36,"Assigned role part mismatch","OK"),IF(AND(F36="Installed",G36="This plan"),"Set installed role","OK")))))))))))))</x:f>
      </x:c>
    </x:row>
    <x:row r="37" ht="22" customHeight="1">
      <x:c r="A37" s="10"/>
      <x:c r="B37" s="10"/>
      <x:c r="C37" s="10"/>
      <x:c r="D37" s="10"/>
      <x:c r="E37" s="10"/>
      <x:c r="F37" s="10"/>
      <x:c r="G37" s="10"/>
      <x:c r="H37" s="10"/>
      <x:c r="I37" s="10"/>
      <x:c r="J37" s="11" t="str">
        <x:f>IF(A37="","",IF(AND(E37="Good",OR(AND(G37="Unallocated",F37="In stock"),AND(G37="This plan",OR(F37="In stock",F37="Packed",F37="Installed")))),1,0))</x:f>
      </x:c>
      <x:c r="K37" s="9" t="str">
        <x:f>IF(A37="","",IF(COUNTIFS('Assets'!$A$8:$A$207,A37)&lt;&gt;1,"Duplicate asset ID",IF(COUNTIFS('Definitions'!$A$8:$A$207,B37)&lt;&gt;1,"Unknown / duplicate definition",IF(VLOOKUP(B37,'Definitions'!$A$8:$J$207,7,FALSE)&lt;&gt;"Yes","Use bulk stock for untracked parts",IF(C37="","Missing manufacturer serial",IF(COUNTIFS($B$8:$B$207,B37,$C$8:$C$207,C37)&lt;&gt;1,"Duplicate part and serial",IF(OR(D37="",AND(E37&lt;&gt;"Good",E37&lt;&gt;"Faulty",E37&lt;&gt;"Unknown")),"Set location and condition",IF(AND(F37&lt;&gt;"In stock",F37&lt;&gt;"Packed",F37&lt;&gt;"Installed",F37&lt;&gt;"In transit",F37&lt;&gt;"Quarantine",F37&lt;&gt;"Retired"),"Choose asset state",IF(AND(G37&lt;&gt;"Unallocated",G37&lt;&gt;"This plan",G37&lt;&gt;"Other plan"),"Choose allocation",IF(AND(H37&lt;&gt;"",G37&lt;&gt;"This plan"),"Assigned role needs This plan",IF(AND(H37&lt;&gt;"",COUNTIFS('Layout'!$A$8:$A$207,H37)&lt;&gt;1),"Unknown / duplicate role",IF(H37&lt;&gt;"",IF(VLOOKUP(H37,'Layout'!$A$8:$N$207,7,FALSE)&lt;&gt;B37,"Assigned role part mismatch","OK"),IF(AND(F37="Installed",G37="This plan"),"Set installed role","OK")))))))))))))</x:f>
      </x:c>
    </x:row>
    <x:row r="38" ht="22" customHeight="1">
      <x:c r="A38" s="10"/>
      <x:c r="B38" s="10"/>
      <x:c r="C38" s="10"/>
      <x:c r="D38" s="10"/>
      <x:c r="E38" s="10"/>
      <x:c r="F38" s="10"/>
      <x:c r="G38" s="10"/>
      <x:c r="H38" s="10"/>
      <x:c r="I38" s="10"/>
      <x:c r="J38" s="11" t="str">
        <x:f>IF(A38="","",IF(AND(E38="Good",OR(AND(G38="Unallocated",F38="In stock"),AND(G38="This plan",OR(F38="In stock",F38="Packed",F38="Installed")))),1,0))</x:f>
      </x:c>
      <x:c r="K38" s="9" t="str">
        <x:f>IF(A38="","",IF(COUNTIFS('Assets'!$A$8:$A$207,A38)&lt;&gt;1,"Duplicate asset ID",IF(COUNTIFS('Definitions'!$A$8:$A$207,B38)&lt;&gt;1,"Unknown / duplicate definition",IF(VLOOKUP(B38,'Definitions'!$A$8:$J$207,7,FALSE)&lt;&gt;"Yes","Use bulk stock for untracked parts",IF(C38="","Missing manufacturer serial",IF(COUNTIFS($B$8:$B$207,B38,$C$8:$C$207,C38)&lt;&gt;1,"Duplicate part and serial",IF(OR(D38="",AND(E38&lt;&gt;"Good",E38&lt;&gt;"Faulty",E38&lt;&gt;"Unknown")),"Set location and condition",IF(AND(F38&lt;&gt;"In stock",F38&lt;&gt;"Packed",F38&lt;&gt;"Installed",F38&lt;&gt;"In transit",F38&lt;&gt;"Quarantine",F38&lt;&gt;"Retired"),"Choose asset state",IF(AND(G38&lt;&gt;"Unallocated",G38&lt;&gt;"This plan",G38&lt;&gt;"Other plan"),"Choose allocation",IF(AND(H38&lt;&gt;"",G38&lt;&gt;"This plan"),"Assigned role needs This plan",IF(AND(H38&lt;&gt;"",COUNTIFS('Layout'!$A$8:$A$207,H38)&lt;&gt;1),"Unknown / duplicate role",IF(H38&lt;&gt;"",IF(VLOOKUP(H38,'Layout'!$A$8:$N$207,7,FALSE)&lt;&gt;B38,"Assigned role part mismatch","OK"),IF(AND(F38="Installed",G38="This plan"),"Set installed role","OK")))))))))))))</x:f>
      </x:c>
    </x:row>
    <x:row r="39" ht="22" customHeight="1">
      <x:c r="A39" s="10"/>
      <x:c r="B39" s="10"/>
      <x:c r="C39" s="10"/>
      <x:c r="D39" s="10"/>
      <x:c r="E39" s="10"/>
      <x:c r="F39" s="10"/>
      <x:c r="G39" s="10"/>
      <x:c r="H39" s="10"/>
      <x:c r="I39" s="10"/>
      <x:c r="J39" s="11" t="str">
        <x:f>IF(A39="","",IF(AND(E39="Good",OR(AND(G39="Unallocated",F39="In stock"),AND(G39="This plan",OR(F39="In stock",F39="Packed",F39="Installed")))),1,0))</x:f>
      </x:c>
      <x:c r="K39" s="9" t="str">
        <x:f>IF(A39="","",IF(COUNTIFS('Assets'!$A$8:$A$207,A39)&lt;&gt;1,"Duplicate asset ID",IF(COUNTIFS('Definitions'!$A$8:$A$207,B39)&lt;&gt;1,"Unknown / duplicate definition",IF(VLOOKUP(B39,'Definitions'!$A$8:$J$207,7,FALSE)&lt;&gt;"Yes","Use bulk stock for untracked parts",IF(C39="","Missing manufacturer serial",IF(COUNTIFS($B$8:$B$207,B39,$C$8:$C$207,C39)&lt;&gt;1,"Duplicate part and serial",IF(OR(D39="",AND(E39&lt;&gt;"Good",E39&lt;&gt;"Faulty",E39&lt;&gt;"Unknown")),"Set location and condition",IF(AND(F39&lt;&gt;"In stock",F39&lt;&gt;"Packed",F39&lt;&gt;"Installed",F39&lt;&gt;"In transit",F39&lt;&gt;"Quarantine",F39&lt;&gt;"Retired"),"Choose asset state",IF(AND(G39&lt;&gt;"Unallocated",G39&lt;&gt;"This plan",G39&lt;&gt;"Other plan"),"Choose allocation",IF(AND(H39&lt;&gt;"",G39&lt;&gt;"This plan"),"Assigned role needs This plan",IF(AND(H39&lt;&gt;"",COUNTIFS('Layout'!$A$8:$A$207,H39)&lt;&gt;1),"Unknown / duplicate role",IF(H39&lt;&gt;"",IF(VLOOKUP(H39,'Layout'!$A$8:$N$207,7,FALSE)&lt;&gt;B39,"Assigned role part mismatch","OK"),IF(AND(F39="Installed",G39="This plan"),"Set installed role","OK")))))))))))))</x:f>
      </x:c>
    </x:row>
    <x:row r="40" ht="22" customHeight="1">
      <x:c r="A40" s="10"/>
      <x:c r="B40" s="10"/>
      <x:c r="C40" s="10"/>
      <x:c r="D40" s="10"/>
      <x:c r="E40" s="10"/>
      <x:c r="F40" s="10"/>
      <x:c r="G40" s="10"/>
      <x:c r="H40" s="10"/>
      <x:c r="I40" s="10"/>
      <x:c r="J40" s="11" t="str">
        <x:f>IF(A40="","",IF(AND(E40="Good",OR(AND(G40="Unallocated",F40="In stock"),AND(G40="This plan",OR(F40="In stock",F40="Packed",F40="Installed")))),1,0))</x:f>
      </x:c>
      <x:c r="K40" s="9" t="str">
        <x:f>IF(A40="","",IF(COUNTIFS('Assets'!$A$8:$A$207,A40)&lt;&gt;1,"Duplicate asset ID",IF(COUNTIFS('Definitions'!$A$8:$A$207,B40)&lt;&gt;1,"Unknown / duplicate definition",IF(VLOOKUP(B40,'Definitions'!$A$8:$J$207,7,FALSE)&lt;&gt;"Yes","Use bulk stock for untracked parts",IF(C40="","Missing manufacturer serial",IF(COUNTIFS($B$8:$B$207,B40,$C$8:$C$207,C40)&lt;&gt;1,"Duplicate part and serial",IF(OR(D40="",AND(E40&lt;&gt;"Good",E40&lt;&gt;"Faulty",E40&lt;&gt;"Unknown")),"Set location and condition",IF(AND(F40&lt;&gt;"In stock",F40&lt;&gt;"Packed",F40&lt;&gt;"Installed",F40&lt;&gt;"In transit",F40&lt;&gt;"Quarantine",F40&lt;&gt;"Retired"),"Choose asset state",IF(AND(G40&lt;&gt;"Unallocated",G40&lt;&gt;"This plan",G40&lt;&gt;"Other plan"),"Choose allocation",IF(AND(H40&lt;&gt;"",G40&lt;&gt;"This plan"),"Assigned role needs This plan",IF(AND(H40&lt;&gt;"",COUNTIFS('Layout'!$A$8:$A$207,H40)&lt;&gt;1),"Unknown / duplicate role",IF(H40&lt;&gt;"",IF(VLOOKUP(H40,'Layout'!$A$8:$N$207,7,FALSE)&lt;&gt;B40,"Assigned role part mismatch","OK"),IF(AND(F40="Installed",G40="This plan"),"Set installed role","OK")))))))))))))</x:f>
      </x:c>
    </x:row>
    <x:row r="41" ht="22" customHeight="1">
      <x:c r="A41" s="10"/>
      <x:c r="B41" s="10"/>
      <x:c r="C41" s="10"/>
      <x:c r="D41" s="10"/>
      <x:c r="E41" s="10"/>
      <x:c r="F41" s="10"/>
      <x:c r="G41" s="10"/>
      <x:c r="H41" s="10"/>
      <x:c r="I41" s="10"/>
      <x:c r="J41" s="11" t="str">
        <x:f>IF(A41="","",IF(AND(E41="Good",OR(AND(G41="Unallocated",F41="In stock"),AND(G41="This plan",OR(F41="In stock",F41="Packed",F41="Installed")))),1,0))</x:f>
      </x:c>
      <x:c r="K41" s="9" t="str">
        <x:f>IF(A41="","",IF(COUNTIFS('Assets'!$A$8:$A$207,A41)&lt;&gt;1,"Duplicate asset ID",IF(COUNTIFS('Definitions'!$A$8:$A$207,B41)&lt;&gt;1,"Unknown / duplicate definition",IF(VLOOKUP(B41,'Definitions'!$A$8:$J$207,7,FALSE)&lt;&gt;"Yes","Use bulk stock for untracked parts",IF(C41="","Missing manufacturer serial",IF(COUNTIFS($B$8:$B$207,B41,$C$8:$C$207,C41)&lt;&gt;1,"Duplicate part and serial",IF(OR(D41="",AND(E41&lt;&gt;"Good",E41&lt;&gt;"Faulty",E41&lt;&gt;"Unknown")),"Set location and condition",IF(AND(F41&lt;&gt;"In stock",F41&lt;&gt;"Packed",F41&lt;&gt;"Installed",F41&lt;&gt;"In transit",F41&lt;&gt;"Quarantine",F41&lt;&gt;"Retired"),"Choose asset state",IF(AND(G41&lt;&gt;"Unallocated",G41&lt;&gt;"This plan",G41&lt;&gt;"Other plan"),"Choose allocation",IF(AND(H41&lt;&gt;"",G41&lt;&gt;"This plan"),"Assigned role needs This plan",IF(AND(H41&lt;&gt;"",COUNTIFS('Layout'!$A$8:$A$207,H41)&lt;&gt;1),"Unknown / duplicate role",IF(H41&lt;&gt;"",IF(VLOOKUP(H41,'Layout'!$A$8:$N$207,7,FALSE)&lt;&gt;B41,"Assigned role part mismatch","OK"),IF(AND(F41="Installed",G41="This plan"),"Set installed role","OK")))))))))))))</x:f>
      </x:c>
    </x:row>
    <x:row r="42" ht="22" customHeight="1">
      <x:c r="A42" s="10"/>
      <x:c r="B42" s="10"/>
      <x:c r="C42" s="10"/>
      <x:c r="D42" s="10"/>
      <x:c r="E42" s="10"/>
      <x:c r="F42" s="10"/>
      <x:c r="G42" s="10"/>
      <x:c r="H42" s="10"/>
      <x:c r="I42" s="10"/>
      <x:c r="J42" s="11" t="str">
        <x:f>IF(A42="","",IF(AND(E42="Good",OR(AND(G42="Unallocated",F42="In stock"),AND(G42="This plan",OR(F42="In stock",F42="Packed",F42="Installed")))),1,0))</x:f>
      </x:c>
      <x:c r="K42" s="9" t="str">
        <x:f>IF(A42="","",IF(COUNTIFS('Assets'!$A$8:$A$207,A42)&lt;&gt;1,"Duplicate asset ID",IF(COUNTIFS('Definitions'!$A$8:$A$207,B42)&lt;&gt;1,"Unknown / duplicate definition",IF(VLOOKUP(B42,'Definitions'!$A$8:$J$207,7,FALSE)&lt;&gt;"Yes","Use bulk stock for untracked parts",IF(C42="","Missing manufacturer serial",IF(COUNTIFS($B$8:$B$207,B42,$C$8:$C$207,C42)&lt;&gt;1,"Duplicate part and serial",IF(OR(D42="",AND(E42&lt;&gt;"Good",E42&lt;&gt;"Faulty",E42&lt;&gt;"Unknown")),"Set location and condition",IF(AND(F42&lt;&gt;"In stock",F42&lt;&gt;"Packed",F42&lt;&gt;"Installed",F42&lt;&gt;"In transit",F42&lt;&gt;"Quarantine",F42&lt;&gt;"Retired"),"Choose asset state",IF(AND(G42&lt;&gt;"Unallocated",G42&lt;&gt;"This plan",G42&lt;&gt;"Other plan"),"Choose allocation",IF(AND(H42&lt;&gt;"",G42&lt;&gt;"This plan"),"Assigned role needs This plan",IF(AND(H42&lt;&gt;"",COUNTIFS('Layout'!$A$8:$A$207,H42)&lt;&gt;1),"Unknown / duplicate role",IF(H42&lt;&gt;"",IF(VLOOKUP(H42,'Layout'!$A$8:$N$207,7,FALSE)&lt;&gt;B42,"Assigned role part mismatch","OK"),IF(AND(F42="Installed",G42="This plan"),"Set installed role","OK")))))))))))))</x:f>
      </x:c>
    </x:row>
    <x:row r="43" ht="22" customHeight="1">
      <x:c r="A43" s="10"/>
      <x:c r="B43" s="10"/>
      <x:c r="C43" s="10"/>
      <x:c r="D43" s="10"/>
      <x:c r="E43" s="10"/>
      <x:c r="F43" s="10"/>
      <x:c r="G43" s="10"/>
      <x:c r="H43" s="10"/>
      <x:c r="I43" s="10"/>
      <x:c r="J43" s="11" t="str">
        <x:f>IF(A43="","",IF(AND(E43="Good",OR(AND(G43="Unallocated",F43="In stock"),AND(G43="This plan",OR(F43="In stock",F43="Packed",F43="Installed")))),1,0))</x:f>
      </x:c>
      <x:c r="K43" s="9" t="str">
        <x:f>IF(A43="","",IF(COUNTIFS('Assets'!$A$8:$A$207,A43)&lt;&gt;1,"Duplicate asset ID",IF(COUNTIFS('Definitions'!$A$8:$A$207,B43)&lt;&gt;1,"Unknown / duplicate definition",IF(VLOOKUP(B43,'Definitions'!$A$8:$J$207,7,FALSE)&lt;&gt;"Yes","Use bulk stock for untracked parts",IF(C43="","Missing manufacturer serial",IF(COUNTIFS($B$8:$B$207,B43,$C$8:$C$207,C43)&lt;&gt;1,"Duplicate part and serial",IF(OR(D43="",AND(E43&lt;&gt;"Good",E43&lt;&gt;"Faulty",E43&lt;&gt;"Unknown")),"Set location and condition",IF(AND(F43&lt;&gt;"In stock",F43&lt;&gt;"Packed",F43&lt;&gt;"Installed",F43&lt;&gt;"In transit",F43&lt;&gt;"Quarantine",F43&lt;&gt;"Retired"),"Choose asset state",IF(AND(G43&lt;&gt;"Unallocated",G43&lt;&gt;"This plan",G43&lt;&gt;"Other plan"),"Choose allocation",IF(AND(H43&lt;&gt;"",G43&lt;&gt;"This plan"),"Assigned role needs This plan",IF(AND(H43&lt;&gt;"",COUNTIFS('Layout'!$A$8:$A$207,H43)&lt;&gt;1),"Unknown / duplicate role",IF(H43&lt;&gt;"",IF(VLOOKUP(H43,'Layout'!$A$8:$N$207,7,FALSE)&lt;&gt;B43,"Assigned role part mismatch","OK"),IF(AND(F43="Installed",G43="This plan"),"Set installed role","OK")))))))))))))</x:f>
      </x:c>
    </x:row>
    <x:row r="44" ht="22" customHeight="1">
      <x:c r="A44" s="10"/>
      <x:c r="B44" s="10"/>
      <x:c r="C44" s="10"/>
      <x:c r="D44" s="10"/>
      <x:c r="E44" s="10"/>
      <x:c r="F44" s="10"/>
      <x:c r="G44" s="10"/>
      <x:c r="H44" s="10"/>
      <x:c r="I44" s="10"/>
      <x:c r="J44" s="11" t="str">
        <x:f>IF(A44="","",IF(AND(E44="Good",OR(AND(G44="Unallocated",F44="In stock"),AND(G44="This plan",OR(F44="In stock",F44="Packed",F44="Installed")))),1,0))</x:f>
      </x:c>
      <x:c r="K44" s="9" t="str">
        <x:f>IF(A44="","",IF(COUNTIFS('Assets'!$A$8:$A$207,A44)&lt;&gt;1,"Duplicate asset ID",IF(COUNTIFS('Definitions'!$A$8:$A$207,B44)&lt;&gt;1,"Unknown / duplicate definition",IF(VLOOKUP(B44,'Definitions'!$A$8:$J$207,7,FALSE)&lt;&gt;"Yes","Use bulk stock for untracked parts",IF(C44="","Missing manufacturer serial",IF(COUNTIFS($B$8:$B$207,B44,$C$8:$C$207,C44)&lt;&gt;1,"Duplicate part and serial",IF(OR(D44="",AND(E44&lt;&gt;"Good",E44&lt;&gt;"Faulty",E44&lt;&gt;"Unknown")),"Set location and condition",IF(AND(F44&lt;&gt;"In stock",F44&lt;&gt;"Packed",F44&lt;&gt;"Installed",F44&lt;&gt;"In transit",F44&lt;&gt;"Quarantine",F44&lt;&gt;"Retired"),"Choose asset state",IF(AND(G44&lt;&gt;"Unallocated",G44&lt;&gt;"This plan",G44&lt;&gt;"Other plan"),"Choose allocation",IF(AND(H44&lt;&gt;"",G44&lt;&gt;"This plan"),"Assigned role needs This plan",IF(AND(H44&lt;&gt;"",COUNTIFS('Layout'!$A$8:$A$207,H44)&lt;&gt;1),"Unknown / duplicate role",IF(H44&lt;&gt;"",IF(VLOOKUP(H44,'Layout'!$A$8:$N$207,7,FALSE)&lt;&gt;B44,"Assigned role part mismatch","OK"),IF(AND(F44="Installed",G44="This plan"),"Set installed role","OK")))))))))))))</x:f>
      </x:c>
    </x:row>
    <x:row r="45" ht="22" customHeight="1">
      <x:c r="A45" s="10"/>
      <x:c r="B45" s="10"/>
      <x:c r="C45" s="10"/>
      <x:c r="D45" s="10"/>
      <x:c r="E45" s="10"/>
      <x:c r="F45" s="10"/>
      <x:c r="G45" s="10"/>
      <x:c r="H45" s="10"/>
      <x:c r="I45" s="10"/>
      <x:c r="J45" s="11" t="str">
        <x:f>IF(A45="","",IF(AND(E45="Good",OR(AND(G45="Unallocated",F45="In stock"),AND(G45="This plan",OR(F45="In stock",F45="Packed",F45="Installed")))),1,0))</x:f>
      </x:c>
      <x:c r="K45" s="9" t="str">
        <x:f>IF(A45="","",IF(COUNTIFS('Assets'!$A$8:$A$207,A45)&lt;&gt;1,"Duplicate asset ID",IF(COUNTIFS('Definitions'!$A$8:$A$207,B45)&lt;&gt;1,"Unknown / duplicate definition",IF(VLOOKUP(B45,'Definitions'!$A$8:$J$207,7,FALSE)&lt;&gt;"Yes","Use bulk stock for untracked parts",IF(C45="","Missing manufacturer serial",IF(COUNTIFS($B$8:$B$207,B45,$C$8:$C$207,C45)&lt;&gt;1,"Duplicate part and serial",IF(OR(D45="",AND(E45&lt;&gt;"Good",E45&lt;&gt;"Faulty",E45&lt;&gt;"Unknown")),"Set location and condition",IF(AND(F45&lt;&gt;"In stock",F45&lt;&gt;"Packed",F45&lt;&gt;"Installed",F45&lt;&gt;"In transit",F45&lt;&gt;"Quarantine",F45&lt;&gt;"Retired"),"Choose asset state",IF(AND(G45&lt;&gt;"Unallocated",G45&lt;&gt;"This plan",G45&lt;&gt;"Other plan"),"Choose allocation",IF(AND(H45&lt;&gt;"",G45&lt;&gt;"This plan"),"Assigned role needs This plan",IF(AND(H45&lt;&gt;"",COUNTIFS('Layout'!$A$8:$A$207,H45)&lt;&gt;1),"Unknown / duplicate role",IF(H45&lt;&gt;"",IF(VLOOKUP(H45,'Layout'!$A$8:$N$207,7,FALSE)&lt;&gt;B45,"Assigned role part mismatch","OK"),IF(AND(F45="Installed",G45="This plan"),"Set installed role","OK")))))))))))))</x:f>
      </x:c>
    </x:row>
    <x:row r="46" ht="22" customHeight="1">
      <x:c r="A46" s="10"/>
      <x:c r="B46" s="10"/>
      <x:c r="C46" s="10"/>
      <x:c r="D46" s="10"/>
      <x:c r="E46" s="10"/>
      <x:c r="F46" s="10"/>
      <x:c r="G46" s="10"/>
      <x:c r="H46" s="10"/>
      <x:c r="I46" s="10"/>
      <x:c r="J46" s="11" t="str">
        <x:f>IF(A46="","",IF(AND(E46="Good",OR(AND(G46="Unallocated",F46="In stock"),AND(G46="This plan",OR(F46="In stock",F46="Packed",F46="Installed")))),1,0))</x:f>
      </x:c>
      <x:c r="K46" s="9" t="str">
        <x:f>IF(A46="","",IF(COUNTIFS('Assets'!$A$8:$A$207,A46)&lt;&gt;1,"Duplicate asset ID",IF(COUNTIFS('Definitions'!$A$8:$A$207,B46)&lt;&gt;1,"Unknown / duplicate definition",IF(VLOOKUP(B46,'Definitions'!$A$8:$J$207,7,FALSE)&lt;&gt;"Yes","Use bulk stock for untracked parts",IF(C46="","Missing manufacturer serial",IF(COUNTIFS($B$8:$B$207,B46,$C$8:$C$207,C46)&lt;&gt;1,"Duplicate part and serial",IF(OR(D46="",AND(E46&lt;&gt;"Good",E46&lt;&gt;"Faulty",E46&lt;&gt;"Unknown")),"Set location and condition",IF(AND(F46&lt;&gt;"In stock",F46&lt;&gt;"Packed",F46&lt;&gt;"Installed",F46&lt;&gt;"In transit",F46&lt;&gt;"Quarantine",F46&lt;&gt;"Retired"),"Choose asset state",IF(AND(G46&lt;&gt;"Unallocated",G46&lt;&gt;"This plan",G46&lt;&gt;"Other plan"),"Choose allocation",IF(AND(H46&lt;&gt;"",G46&lt;&gt;"This plan"),"Assigned role needs This plan",IF(AND(H46&lt;&gt;"",COUNTIFS('Layout'!$A$8:$A$207,H46)&lt;&gt;1),"Unknown / duplicate role",IF(H46&lt;&gt;"",IF(VLOOKUP(H46,'Layout'!$A$8:$N$207,7,FALSE)&lt;&gt;B46,"Assigned role part mismatch","OK"),IF(AND(F46="Installed",G46="This plan"),"Set installed role","OK")))))))))))))</x:f>
      </x:c>
    </x:row>
    <x:row r="47" ht="22" customHeight="1">
      <x:c r="A47" s="10"/>
      <x:c r="B47" s="10"/>
      <x:c r="C47" s="10"/>
      <x:c r="D47" s="10"/>
      <x:c r="E47" s="10"/>
      <x:c r="F47" s="10"/>
      <x:c r="G47" s="10"/>
      <x:c r="H47" s="10"/>
      <x:c r="I47" s="10"/>
      <x:c r="J47" s="11" t="str">
        <x:f>IF(A47="","",IF(AND(E47="Good",OR(AND(G47="Unallocated",F47="In stock"),AND(G47="This plan",OR(F47="In stock",F47="Packed",F47="Installed")))),1,0))</x:f>
      </x:c>
      <x:c r="K47" s="9" t="str">
        <x:f>IF(A47="","",IF(COUNTIFS('Assets'!$A$8:$A$207,A47)&lt;&gt;1,"Duplicate asset ID",IF(COUNTIFS('Definitions'!$A$8:$A$207,B47)&lt;&gt;1,"Unknown / duplicate definition",IF(VLOOKUP(B47,'Definitions'!$A$8:$J$207,7,FALSE)&lt;&gt;"Yes","Use bulk stock for untracked parts",IF(C47="","Missing manufacturer serial",IF(COUNTIFS($B$8:$B$207,B47,$C$8:$C$207,C47)&lt;&gt;1,"Duplicate part and serial",IF(OR(D47="",AND(E47&lt;&gt;"Good",E47&lt;&gt;"Faulty",E47&lt;&gt;"Unknown")),"Set location and condition",IF(AND(F47&lt;&gt;"In stock",F47&lt;&gt;"Packed",F47&lt;&gt;"Installed",F47&lt;&gt;"In transit",F47&lt;&gt;"Quarantine",F47&lt;&gt;"Retired"),"Choose asset state",IF(AND(G47&lt;&gt;"Unallocated",G47&lt;&gt;"This plan",G47&lt;&gt;"Other plan"),"Choose allocation",IF(AND(H47&lt;&gt;"",G47&lt;&gt;"This plan"),"Assigned role needs This plan",IF(AND(H47&lt;&gt;"",COUNTIFS('Layout'!$A$8:$A$207,H47)&lt;&gt;1),"Unknown / duplicate role",IF(H47&lt;&gt;"",IF(VLOOKUP(H47,'Layout'!$A$8:$N$207,7,FALSE)&lt;&gt;B47,"Assigned role part mismatch","OK"),IF(AND(F47="Installed",G47="This plan"),"Set installed role","OK")))))))))))))</x:f>
      </x:c>
    </x:row>
    <x:row r="48" ht="22" customHeight="1">
      <x:c r="A48" s="10"/>
      <x:c r="B48" s="10"/>
      <x:c r="C48" s="10"/>
      <x:c r="D48" s="10"/>
      <x:c r="E48" s="10"/>
      <x:c r="F48" s="10"/>
      <x:c r="G48" s="10"/>
      <x:c r="H48" s="10"/>
      <x:c r="I48" s="10"/>
      <x:c r="J48" s="11" t="str">
        <x:f>IF(A48="","",IF(AND(E48="Good",OR(AND(G48="Unallocated",F48="In stock"),AND(G48="This plan",OR(F48="In stock",F48="Packed",F48="Installed")))),1,0))</x:f>
      </x:c>
      <x:c r="K48" s="9" t="str">
        <x:f>IF(A48="","",IF(COUNTIFS('Assets'!$A$8:$A$207,A48)&lt;&gt;1,"Duplicate asset ID",IF(COUNTIFS('Definitions'!$A$8:$A$207,B48)&lt;&gt;1,"Unknown / duplicate definition",IF(VLOOKUP(B48,'Definitions'!$A$8:$J$207,7,FALSE)&lt;&gt;"Yes","Use bulk stock for untracked parts",IF(C48="","Missing manufacturer serial",IF(COUNTIFS($B$8:$B$207,B48,$C$8:$C$207,C48)&lt;&gt;1,"Duplicate part and serial",IF(OR(D48="",AND(E48&lt;&gt;"Good",E48&lt;&gt;"Faulty",E48&lt;&gt;"Unknown")),"Set location and condition",IF(AND(F48&lt;&gt;"In stock",F48&lt;&gt;"Packed",F48&lt;&gt;"Installed",F48&lt;&gt;"In transit",F48&lt;&gt;"Quarantine",F48&lt;&gt;"Retired"),"Choose asset state",IF(AND(G48&lt;&gt;"Unallocated",G48&lt;&gt;"This plan",G48&lt;&gt;"Other plan"),"Choose allocation",IF(AND(H48&lt;&gt;"",G48&lt;&gt;"This plan"),"Assigned role needs This plan",IF(AND(H48&lt;&gt;"",COUNTIFS('Layout'!$A$8:$A$207,H48)&lt;&gt;1),"Unknown / duplicate role",IF(H48&lt;&gt;"",IF(VLOOKUP(H48,'Layout'!$A$8:$N$207,7,FALSE)&lt;&gt;B48,"Assigned role part mismatch","OK"),IF(AND(F48="Installed",G48="This plan"),"Set installed role","OK")))))))))))))</x:f>
      </x:c>
    </x:row>
    <x:row r="49" ht="22" customHeight="1">
      <x:c r="A49" s="10"/>
      <x:c r="B49" s="10"/>
      <x:c r="C49" s="10"/>
      <x:c r="D49" s="10"/>
      <x:c r="E49" s="10"/>
      <x:c r="F49" s="10"/>
      <x:c r="G49" s="10"/>
      <x:c r="H49" s="10"/>
      <x:c r="I49" s="10"/>
      <x:c r="J49" s="11" t="str">
        <x:f>IF(A49="","",IF(AND(E49="Good",OR(AND(G49="Unallocated",F49="In stock"),AND(G49="This plan",OR(F49="In stock",F49="Packed",F49="Installed")))),1,0))</x:f>
      </x:c>
      <x:c r="K49" s="9" t="str">
        <x:f>IF(A49="","",IF(COUNTIFS('Assets'!$A$8:$A$207,A49)&lt;&gt;1,"Duplicate asset ID",IF(COUNTIFS('Definitions'!$A$8:$A$207,B49)&lt;&gt;1,"Unknown / duplicate definition",IF(VLOOKUP(B49,'Definitions'!$A$8:$J$207,7,FALSE)&lt;&gt;"Yes","Use bulk stock for untracked parts",IF(C49="","Missing manufacturer serial",IF(COUNTIFS($B$8:$B$207,B49,$C$8:$C$207,C49)&lt;&gt;1,"Duplicate part and serial",IF(OR(D49="",AND(E49&lt;&gt;"Good",E49&lt;&gt;"Faulty",E49&lt;&gt;"Unknown")),"Set location and condition",IF(AND(F49&lt;&gt;"In stock",F49&lt;&gt;"Packed",F49&lt;&gt;"Installed",F49&lt;&gt;"In transit",F49&lt;&gt;"Quarantine",F49&lt;&gt;"Retired"),"Choose asset state",IF(AND(G49&lt;&gt;"Unallocated",G49&lt;&gt;"This plan",G49&lt;&gt;"Other plan"),"Choose allocation",IF(AND(H49&lt;&gt;"",G49&lt;&gt;"This plan"),"Assigned role needs This plan",IF(AND(H49&lt;&gt;"",COUNTIFS('Layout'!$A$8:$A$207,H49)&lt;&gt;1),"Unknown / duplicate role",IF(H49&lt;&gt;"",IF(VLOOKUP(H49,'Layout'!$A$8:$N$207,7,FALSE)&lt;&gt;B49,"Assigned role part mismatch","OK"),IF(AND(F49="Installed",G49="This plan"),"Set installed role","OK")))))))))))))</x:f>
      </x:c>
    </x:row>
    <x:row r="50" ht="22" customHeight="1">
      <x:c r="A50" s="10"/>
      <x:c r="B50" s="10"/>
      <x:c r="C50" s="10"/>
      <x:c r="D50" s="10"/>
      <x:c r="E50" s="10"/>
      <x:c r="F50" s="10"/>
      <x:c r="G50" s="10"/>
      <x:c r="H50" s="10"/>
      <x:c r="I50" s="10"/>
      <x:c r="J50" s="11" t="str">
        <x:f>IF(A50="","",IF(AND(E50="Good",OR(AND(G50="Unallocated",F50="In stock"),AND(G50="This plan",OR(F50="In stock",F50="Packed",F50="Installed")))),1,0))</x:f>
      </x:c>
      <x:c r="K50" s="9" t="str">
        <x:f>IF(A50="","",IF(COUNTIFS('Assets'!$A$8:$A$207,A50)&lt;&gt;1,"Duplicate asset ID",IF(COUNTIFS('Definitions'!$A$8:$A$207,B50)&lt;&gt;1,"Unknown / duplicate definition",IF(VLOOKUP(B50,'Definitions'!$A$8:$J$207,7,FALSE)&lt;&gt;"Yes","Use bulk stock for untracked parts",IF(C50="","Missing manufacturer serial",IF(COUNTIFS($B$8:$B$207,B50,$C$8:$C$207,C50)&lt;&gt;1,"Duplicate part and serial",IF(OR(D50="",AND(E50&lt;&gt;"Good",E50&lt;&gt;"Faulty",E50&lt;&gt;"Unknown")),"Set location and condition",IF(AND(F50&lt;&gt;"In stock",F50&lt;&gt;"Packed",F50&lt;&gt;"Installed",F50&lt;&gt;"In transit",F50&lt;&gt;"Quarantine",F50&lt;&gt;"Retired"),"Choose asset state",IF(AND(G50&lt;&gt;"Unallocated",G50&lt;&gt;"This plan",G50&lt;&gt;"Other plan"),"Choose allocation",IF(AND(H50&lt;&gt;"",G50&lt;&gt;"This plan"),"Assigned role needs This plan",IF(AND(H50&lt;&gt;"",COUNTIFS('Layout'!$A$8:$A$207,H50)&lt;&gt;1),"Unknown / duplicate role",IF(H50&lt;&gt;"",IF(VLOOKUP(H50,'Layout'!$A$8:$N$207,7,FALSE)&lt;&gt;B50,"Assigned role part mismatch","OK"),IF(AND(F50="Installed",G50="This plan"),"Set installed role","OK")))))))))))))</x:f>
      </x:c>
    </x:row>
    <x:row r="51" ht="22" customHeight="1">
      <x:c r="A51" s="10"/>
      <x:c r="B51" s="10"/>
      <x:c r="C51" s="10"/>
      <x:c r="D51" s="10"/>
      <x:c r="E51" s="10"/>
      <x:c r="F51" s="10"/>
      <x:c r="G51" s="10"/>
      <x:c r="H51" s="10"/>
      <x:c r="I51" s="10"/>
      <x:c r="J51" s="11" t="str">
        <x:f>IF(A51="","",IF(AND(E51="Good",OR(AND(G51="Unallocated",F51="In stock"),AND(G51="This plan",OR(F51="In stock",F51="Packed",F51="Installed")))),1,0))</x:f>
      </x:c>
      <x:c r="K51" s="9" t="str">
        <x:f>IF(A51="","",IF(COUNTIFS('Assets'!$A$8:$A$207,A51)&lt;&gt;1,"Duplicate asset ID",IF(COUNTIFS('Definitions'!$A$8:$A$207,B51)&lt;&gt;1,"Unknown / duplicate definition",IF(VLOOKUP(B51,'Definitions'!$A$8:$J$207,7,FALSE)&lt;&gt;"Yes","Use bulk stock for untracked parts",IF(C51="","Missing manufacturer serial",IF(COUNTIFS($B$8:$B$207,B51,$C$8:$C$207,C51)&lt;&gt;1,"Duplicate part and serial",IF(OR(D51="",AND(E51&lt;&gt;"Good",E51&lt;&gt;"Faulty",E51&lt;&gt;"Unknown")),"Set location and condition",IF(AND(F51&lt;&gt;"In stock",F51&lt;&gt;"Packed",F51&lt;&gt;"Installed",F51&lt;&gt;"In transit",F51&lt;&gt;"Quarantine",F51&lt;&gt;"Retired"),"Choose asset state",IF(AND(G51&lt;&gt;"Unallocated",G51&lt;&gt;"This plan",G51&lt;&gt;"Other plan"),"Choose allocation",IF(AND(H51&lt;&gt;"",G51&lt;&gt;"This plan"),"Assigned role needs This plan",IF(AND(H51&lt;&gt;"",COUNTIFS('Layout'!$A$8:$A$207,H51)&lt;&gt;1),"Unknown / duplicate role",IF(H51&lt;&gt;"",IF(VLOOKUP(H51,'Layout'!$A$8:$N$207,7,FALSE)&lt;&gt;B51,"Assigned role part mismatch","OK"),IF(AND(F51="Installed",G51="This plan"),"Set installed role","OK")))))))))))))</x:f>
      </x:c>
    </x:row>
    <x:row r="52" ht="22" customHeight="1">
      <x:c r="A52" s="10"/>
      <x:c r="B52" s="10"/>
      <x:c r="C52" s="10"/>
      <x:c r="D52" s="10"/>
      <x:c r="E52" s="10"/>
      <x:c r="F52" s="10"/>
      <x:c r="G52" s="10"/>
      <x:c r="H52" s="10"/>
      <x:c r="I52" s="10"/>
      <x:c r="J52" s="11" t="str">
        <x:f>IF(A52="","",IF(AND(E52="Good",OR(AND(G52="Unallocated",F52="In stock"),AND(G52="This plan",OR(F52="In stock",F52="Packed",F52="Installed")))),1,0))</x:f>
      </x:c>
      <x:c r="K52" s="9" t="str">
        <x:f>IF(A52="","",IF(COUNTIFS('Assets'!$A$8:$A$207,A52)&lt;&gt;1,"Duplicate asset ID",IF(COUNTIFS('Definitions'!$A$8:$A$207,B52)&lt;&gt;1,"Unknown / duplicate definition",IF(VLOOKUP(B52,'Definitions'!$A$8:$J$207,7,FALSE)&lt;&gt;"Yes","Use bulk stock for untracked parts",IF(C52="","Missing manufacturer serial",IF(COUNTIFS($B$8:$B$207,B52,$C$8:$C$207,C52)&lt;&gt;1,"Duplicate part and serial",IF(OR(D52="",AND(E52&lt;&gt;"Good",E52&lt;&gt;"Faulty",E52&lt;&gt;"Unknown")),"Set location and condition",IF(AND(F52&lt;&gt;"In stock",F52&lt;&gt;"Packed",F52&lt;&gt;"Installed",F52&lt;&gt;"In transit",F52&lt;&gt;"Quarantine",F52&lt;&gt;"Retired"),"Choose asset state",IF(AND(G52&lt;&gt;"Unallocated",G52&lt;&gt;"This plan",G52&lt;&gt;"Other plan"),"Choose allocation",IF(AND(H52&lt;&gt;"",G52&lt;&gt;"This plan"),"Assigned role needs This plan",IF(AND(H52&lt;&gt;"",COUNTIFS('Layout'!$A$8:$A$207,H52)&lt;&gt;1),"Unknown / duplicate role",IF(H52&lt;&gt;"",IF(VLOOKUP(H52,'Layout'!$A$8:$N$207,7,FALSE)&lt;&gt;B52,"Assigned role part mismatch","OK"),IF(AND(F52="Installed",G52="This plan"),"Set installed role","OK")))))))))))))</x:f>
      </x:c>
    </x:row>
    <x:row r="53" ht="22" customHeight="1">
      <x:c r="A53" s="10"/>
      <x:c r="B53" s="10"/>
      <x:c r="C53" s="10"/>
      <x:c r="D53" s="10"/>
      <x:c r="E53" s="10"/>
      <x:c r="F53" s="10"/>
      <x:c r="G53" s="10"/>
      <x:c r="H53" s="10"/>
      <x:c r="I53" s="10"/>
      <x:c r="J53" s="11" t="str">
        <x:f>IF(A53="","",IF(AND(E53="Good",OR(AND(G53="Unallocated",F53="In stock"),AND(G53="This plan",OR(F53="In stock",F53="Packed",F53="Installed")))),1,0))</x:f>
      </x:c>
      <x:c r="K53" s="9" t="str">
        <x:f>IF(A53="","",IF(COUNTIFS('Assets'!$A$8:$A$207,A53)&lt;&gt;1,"Duplicate asset ID",IF(COUNTIFS('Definitions'!$A$8:$A$207,B53)&lt;&gt;1,"Unknown / duplicate definition",IF(VLOOKUP(B53,'Definitions'!$A$8:$J$207,7,FALSE)&lt;&gt;"Yes","Use bulk stock for untracked parts",IF(C53="","Missing manufacturer serial",IF(COUNTIFS($B$8:$B$207,B53,$C$8:$C$207,C53)&lt;&gt;1,"Duplicate part and serial",IF(OR(D53="",AND(E53&lt;&gt;"Good",E53&lt;&gt;"Faulty",E53&lt;&gt;"Unknown")),"Set location and condition",IF(AND(F53&lt;&gt;"In stock",F53&lt;&gt;"Packed",F53&lt;&gt;"Installed",F53&lt;&gt;"In transit",F53&lt;&gt;"Quarantine",F53&lt;&gt;"Retired"),"Choose asset state",IF(AND(G53&lt;&gt;"Unallocated",G53&lt;&gt;"This plan",G53&lt;&gt;"Other plan"),"Choose allocation",IF(AND(H53&lt;&gt;"",G53&lt;&gt;"This plan"),"Assigned role needs This plan",IF(AND(H53&lt;&gt;"",COUNTIFS('Layout'!$A$8:$A$207,H53)&lt;&gt;1),"Unknown / duplicate role",IF(H53&lt;&gt;"",IF(VLOOKUP(H53,'Layout'!$A$8:$N$207,7,FALSE)&lt;&gt;B53,"Assigned role part mismatch","OK"),IF(AND(F53="Installed",G53="This plan"),"Set installed role","OK")))))))))))))</x:f>
      </x:c>
    </x:row>
    <x:row r="54" ht="22" customHeight="1">
      <x:c r="A54" s="10"/>
      <x:c r="B54" s="10"/>
      <x:c r="C54" s="10"/>
      <x:c r="D54" s="10"/>
      <x:c r="E54" s="10"/>
      <x:c r="F54" s="10"/>
      <x:c r="G54" s="10"/>
      <x:c r="H54" s="10"/>
      <x:c r="I54" s="10"/>
      <x:c r="J54" s="11" t="str">
        <x:f>IF(A54="","",IF(AND(E54="Good",OR(AND(G54="Unallocated",F54="In stock"),AND(G54="This plan",OR(F54="In stock",F54="Packed",F54="Installed")))),1,0))</x:f>
      </x:c>
      <x:c r="K54" s="9" t="str">
        <x:f>IF(A54="","",IF(COUNTIFS('Assets'!$A$8:$A$207,A54)&lt;&gt;1,"Duplicate asset ID",IF(COUNTIFS('Definitions'!$A$8:$A$207,B54)&lt;&gt;1,"Unknown / duplicate definition",IF(VLOOKUP(B54,'Definitions'!$A$8:$J$207,7,FALSE)&lt;&gt;"Yes","Use bulk stock for untracked parts",IF(C54="","Missing manufacturer serial",IF(COUNTIFS($B$8:$B$207,B54,$C$8:$C$207,C54)&lt;&gt;1,"Duplicate part and serial",IF(OR(D54="",AND(E54&lt;&gt;"Good",E54&lt;&gt;"Faulty",E54&lt;&gt;"Unknown")),"Set location and condition",IF(AND(F54&lt;&gt;"In stock",F54&lt;&gt;"Packed",F54&lt;&gt;"Installed",F54&lt;&gt;"In transit",F54&lt;&gt;"Quarantine",F54&lt;&gt;"Retired"),"Choose asset state",IF(AND(G54&lt;&gt;"Unallocated",G54&lt;&gt;"This plan",G54&lt;&gt;"Other plan"),"Choose allocation",IF(AND(H54&lt;&gt;"",G54&lt;&gt;"This plan"),"Assigned role needs This plan",IF(AND(H54&lt;&gt;"",COUNTIFS('Layout'!$A$8:$A$207,H54)&lt;&gt;1),"Unknown / duplicate role",IF(H54&lt;&gt;"",IF(VLOOKUP(H54,'Layout'!$A$8:$N$207,7,FALSE)&lt;&gt;B54,"Assigned role part mismatch","OK"),IF(AND(F54="Installed",G54="This plan"),"Set installed role","OK")))))))))))))</x:f>
      </x:c>
    </x:row>
    <x:row r="55" ht="22" customHeight="1">
      <x:c r="A55" s="10"/>
      <x:c r="B55" s="10"/>
      <x:c r="C55" s="10"/>
      <x:c r="D55" s="10"/>
      <x:c r="E55" s="10"/>
      <x:c r="F55" s="10"/>
      <x:c r="G55" s="10"/>
      <x:c r="H55" s="10"/>
      <x:c r="I55" s="10"/>
      <x:c r="J55" s="11" t="str">
        <x:f>IF(A55="","",IF(AND(E55="Good",OR(AND(G55="Unallocated",F55="In stock"),AND(G55="This plan",OR(F55="In stock",F55="Packed",F55="Installed")))),1,0))</x:f>
      </x:c>
      <x:c r="K55" s="9" t="str">
        <x:f>IF(A55="","",IF(COUNTIFS('Assets'!$A$8:$A$207,A55)&lt;&gt;1,"Duplicate asset ID",IF(COUNTIFS('Definitions'!$A$8:$A$207,B55)&lt;&gt;1,"Unknown / duplicate definition",IF(VLOOKUP(B55,'Definitions'!$A$8:$J$207,7,FALSE)&lt;&gt;"Yes","Use bulk stock for untracked parts",IF(C55="","Missing manufacturer serial",IF(COUNTIFS($B$8:$B$207,B55,$C$8:$C$207,C55)&lt;&gt;1,"Duplicate part and serial",IF(OR(D55="",AND(E55&lt;&gt;"Good",E55&lt;&gt;"Faulty",E55&lt;&gt;"Unknown")),"Set location and condition",IF(AND(F55&lt;&gt;"In stock",F55&lt;&gt;"Packed",F55&lt;&gt;"Installed",F55&lt;&gt;"In transit",F55&lt;&gt;"Quarantine",F55&lt;&gt;"Retired"),"Choose asset state",IF(AND(G55&lt;&gt;"Unallocated",G55&lt;&gt;"This plan",G55&lt;&gt;"Other plan"),"Choose allocation",IF(AND(H55&lt;&gt;"",G55&lt;&gt;"This plan"),"Assigned role needs This plan",IF(AND(H55&lt;&gt;"",COUNTIFS('Layout'!$A$8:$A$207,H55)&lt;&gt;1),"Unknown / duplicate role",IF(H55&lt;&gt;"",IF(VLOOKUP(H55,'Layout'!$A$8:$N$207,7,FALSE)&lt;&gt;B55,"Assigned role part mismatch","OK"),IF(AND(F55="Installed",G55="This plan"),"Set installed role","OK")))))))))))))</x:f>
      </x:c>
    </x:row>
    <x:row r="56" ht="22" customHeight="1">
      <x:c r="A56" s="10"/>
      <x:c r="B56" s="10"/>
      <x:c r="C56" s="10"/>
      <x:c r="D56" s="10"/>
      <x:c r="E56" s="10"/>
      <x:c r="F56" s="10"/>
      <x:c r="G56" s="10"/>
      <x:c r="H56" s="10"/>
      <x:c r="I56" s="10"/>
      <x:c r="J56" s="11" t="str">
        <x:f>IF(A56="","",IF(AND(E56="Good",OR(AND(G56="Unallocated",F56="In stock"),AND(G56="This plan",OR(F56="In stock",F56="Packed",F56="Installed")))),1,0))</x:f>
      </x:c>
      <x:c r="K56" s="9" t="str">
        <x:f>IF(A56="","",IF(COUNTIFS('Assets'!$A$8:$A$207,A56)&lt;&gt;1,"Duplicate asset ID",IF(COUNTIFS('Definitions'!$A$8:$A$207,B56)&lt;&gt;1,"Unknown / duplicate definition",IF(VLOOKUP(B56,'Definitions'!$A$8:$J$207,7,FALSE)&lt;&gt;"Yes","Use bulk stock for untracked parts",IF(C56="","Missing manufacturer serial",IF(COUNTIFS($B$8:$B$207,B56,$C$8:$C$207,C56)&lt;&gt;1,"Duplicate part and serial",IF(OR(D56="",AND(E56&lt;&gt;"Good",E56&lt;&gt;"Faulty",E56&lt;&gt;"Unknown")),"Set location and condition",IF(AND(F56&lt;&gt;"In stock",F56&lt;&gt;"Packed",F56&lt;&gt;"Installed",F56&lt;&gt;"In transit",F56&lt;&gt;"Quarantine",F56&lt;&gt;"Retired"),"Choose asset state",IF(AND(G56&lt;&gt;"Unallocated",G56&lt;&gt;"This plan",G56&lt;&gt;"Other plan"),"Choose allocation",IF(AND(H56&lt;&gt;"",G56&lt;&gt;"This plan"),"Assigned role needs This plan",IF(AND(H56&lt;&gt;"",COUNTIFS('Layout'!$A$8:$A$207,H56)&lt;&gt;1),"Unknown / duplicate role",IF(H56&lt;&gt;"",IF(VLOOKUP(H56,'Layout'!$A$8:$N$207,7,FALSE)&lt;&gt;B56,"Assigned role part mismatch","OK"),IF(AND(F56="Installed",G56="This plan"),"Set installed role","OK")))))))))))))</x:f>
      </x:c>
    </x:row>
    <x:row r="57" ht="22" customHeight="1">
      <x:c r="A57" s="10"/>
      <x:c r="B57" s="10"/>
      <x:c r="C57" s="10"/>
      <x:c r="D57" s="10"/>
      <x:c r="E57" s="10"/>
      <x:c r="F57" s="10"/>
      <x:c r="G57" s="10"/>
      <x:c r="H57" s="10"/>
      <x:c r="I57" s="10"/>
      <x:c r="J57" s="11" t="str">
        <x:f>IF(A57="","",IF(AND(E57="Good",OR(AND(G57="Unallocated",F57="In stock"),AND(G57="This plan",OR(F57="In stock",F57="Packed",F57="Installed")))),1,0))</x:f>
      </x:c>
      <x:c r="K57" s="9" t="str">
        <x:f>IF(A57="","",IF(COUNTIFS('Assets'!$A$8:$A$207,A57)&lt;&gt;1,"Duplicate asset ID",IF(COUNTIFS('Definitions'!$A$8:$A$207,B57)&lt;&gt;1,"Unknown / duplicate definition",IF(VLOOKUP(B57,'Definitions'!$A$8:$J$207,7,FALSE)&lt;&gt;"Yes","Use bulk stock for untracked parts",IF(C57="","Missing manufacturer serial",IF(COUNTIFS($B$8:$B$207,B57,$C$8:$C$207,C57)&lt;&gt;1,"Duplicate part and serial",IF(OR(D57="",AND(E57&lt;&gt;"Good",E57&lt;&gt;"Faulty",E57&lt;&gt;"Unknown")),"Set location and condition",IF(AND(F57&lt;&gt;"In stock",F57&lt;&gt;"Packed",F57&lt;&gt;"Installed",F57&lt;&gt;"In transit",F57&lt;&gt;"Quarantine",F57&lt;&gt;"Retired"),"Choose asset state",IF(AND(G57&lt;&gt;"Unallocated",G57&lt;&gt;"This plan",G57&lt;&gt;"Other plan"),"Choose allocation",IF(AND(H57&lt;&gt;"",G57&lt;&gt;"This plan"),"Assigned role needs This plan",IF(AND(H57&lt;&gt;"",COUNTIFS('Layout'!$A$8:$A$207,H57)&lt;&gt;1),"Unknown / duplicate role",IF(H57&lt;&gt;"",IF(VLOOKUP(H57,'Layout'!$A$8:$N$207,7,FALSE)&lt;&gt;B57,"Assigned role part mismatch","OK"),IF(AND(F57="Installed",G57="This plan"),"Set installed role","OK")))))))))))))</x:f>
      </x:c>
    </x:row>
    <x:row r="58" ht="22" customHeight="1">
      <x:c r="A58" s="10"/>
      <x:c r="B58" s="10"/>
      <x:c r="C58" s="10"/>
      <x:c r="D58" s="10"/>
      <x:c r="E58" s="10"/>
      <x:c r="F58" s="10"/>
      <x:c r="G58" s="10"/>
      <x:c r="H58" s="10"/>
      <x:c r="I58" s="10"/>
      <x:c r="J58" s="11" t="str">
        <x:f>IF(A58="","",IF(AND(E58="Good",OR(AND(G58="Unallocated",F58="In stock"),AND(G58="This plan",OR(F58="In stock",F58="Packed",F58="Installed")))),1,0))</x:f>
      </x:c>
      <x:c r="K58" s="9" t="str">
        <x:f>IF(A58="","",IF(COUNTIFS('Assets'!$A$8:$A$207,A58)&lt;&gt;1,"Duplicate asset ID",IF(COUNTIFS('Definitions'!$A$8:$A$207,B58)&lt;&gt;1,"Unknown / duplicate definition",IF(VLOOKUP(B58,'Definitions'!$A$8:$J$207,7,FALSE)&lt;&gt;"Yes","Use bulk stock for untracked parts",IF(C58="","Missing manufacturer serial",IF(COUNTIFS($B$8:$B$207,B58,$C$8:$C$207,C58)&lt;&gt;1,"Duplicate part and serial",IF(OR(D58="",AND(E58&lt;&gt;"Good",E58&lt;&gt;"Faulty",E58&lt;&gt;"Unknown")),"Set location and condition",IF(AND(F58&lt;&gt;"In stock",F58&lt;&gt;"Packed",F58&lt;&gt;"Installed",F58&lt;&gt;"In transit",F58&lt;&gt;"Quarantine",F58&lt;&gt;"Retired"),"Choose asset state",IF(AND(G58&lt;&gt;"Unallocated",G58&lt;&gt;"This plan",G58&lt;&gt;"Other plan"),"Choose allocation",IF(AND(H58&lt;&gt;"",G58&lt;&gt;"This plan"),"Assigned role needs This plan",IF(AND(H58&lt;&gt;"",COUNTIFS('Layout'!$A$8:$A$207,H58)&lt;&gt;1),"Unknown / duplicate role",IF(H58&lt;&gt;"",IF(VLOOKUP(H58,'Layout'!$A$8:$N$207,7,FALSE)&lt;&gt;B58,"Assigned role part mismatch","OK"),IF(AND(F58="Installed",G58="This plan"),"Set installed role","OK")))))))))))))</x:f>
      </x:c>
    </x:row>
    <x:row r="59" ht="22" customHeight="1">
      <x:c r="A59" s="10"/>
      <x:c r="B59" s="10"/>
      <x:c r="C59" s="10"/>
      <x:c r="D59" s="10"/>
      <x:c r="E59" s="10"/>
      <x:c r="F59" s="10"/>
      <x:c r="G59" s="10"/>
      <x:c r="H59" s="10"/>
      <x:c r="I59" s="10"/>
      <x:c r="J59" s="11" t="str">
        <x:f>IF(A59="","",IF(AND(E59="Good",OR(AND(G59="Unallocated",F59="In stock"),AND(G59="This plan",OR(F59="In stock",F59="Packed",F59="Installed")))),1,0))</x:f>
      </x:c>
      <x:c r="K59" s="9" t="str">
        <x:f>IF(A59="","",IF(COUNTIFS('Assets'!$A$8:$A$207,A59)&lt;&gt;1,"Duplicate asset ID",IF(COUNTIFS('Definitions'!$A$8:$A$207,B59)&lt;&gt;1,"Unknown / duplicate definition",IF(VLOOKUP(B59,'Definitions'!$A$8:$J$207,7,FALSE)&lt;&gt;"Yes","Use bulk stock for untracked parts",IF(C59="","Missing manufacturer serial",IF(COUNTIFS($B$8:$B$207,B59,$C$8:$C$207,C59)&lt;&gt;1,"Duplicate part and serial",IF(OR(D59="",AND(E59&lt;&gt;"Good",E59&lt;&gt;"Faulty",E59&lt;&gt;"Unknown")),"Set location and condition",IF(AND(F59&lt;&gt;"In stock",F59&lt;&gt;"Packed",F59&lt;&gt;"Installed",F59&lt;&gt;"In transit",F59&lt;&gt;"Quarantine",F59&lt;&gt;"Retired"),"Choose asset state",IF(AND(G59&lt;&gt;"Unallocated",G59&lt;&gt;"This plan",G59&lt;&gt;"Other plan"),"Choose allocation",IF(AND(H59&lt;&gt;"",G59&lt;&gt;"This plan"),"Assigned role needs This plan",IF(AND(H59&lt;&gt;"",COUNTIFS('Layout'!$A$8:$A$207,H59)&lt;&gt;1),"Unknown / duplicate role",IF(H59&lt;&gt;"",IF(VLOOKUP(H59,'Layout'!$A$8:$N$207,7,FALSE)&lt;&gt;B59,"Assigned role part mismatch","OK"),IF(AND(F59="Installed",G59="This plan"),"Set installed role","OK")))))))))))))</x:f>
      </x:c>
    </x:row>
    <x:row r="60" ht="22" customHeight="1">
      <x:c r="A60" s="10"/>
      <x:c r="B60" s="10"/>
      <x:c r="C60" s="10"/>
      <x:c r="D60" s="10"/>
      <x:c r="E60" s="10"/>
      <x:c r="F60" s="10"/>
      <x:c r="G60" s="10"/>
      <x:c r="H60" s="10"/>
      <x:c r="I60" s="10"/>
      <x:c r="J60" s="11" t="str">
        <x:f>IF(A60="","",IF(AND(E60="Good",OR(AND(G60="Unallocated",F60="In stock"),AND(G60="This plan",OR(F60="In stock",F60="Packed",F60="Installed")))),1,0))</x:f>
      </x:c>
      <x:c r="K60" s="9" t="str">
        <x:f>IF(A60="","",IF(COUNTIFS('Assets'!$A$8:$A$207,A60)&lt;&gt;1,"Duplicate asset ID",IF(COUNTIFS('Definitions'!$A$8:$A$207,B60)&lt;&gt;1,"Unknown / duplicate definition",IF(VLOOKUP(B60,'Definitions'!$A$8:$J$207,7,FALSE)&lt;&gt;"Yes","Use bulk stock for untracked parts",IF(C60="","Missing manufacturer serial",IF(COUNTIFS($B$8:$B$207,B60,$C$8:$C$207,C60)&lt;&gt;1,"Duplicate part and serial",IF(OR(D60="",AND(E60&lt;&gt;"Good",E60&lt;&gt;"Faulty",E60&lt;&gt;"Unknown")),"Set location and condition",IF(AND(F60&lt;&gt;"In stock",F60&lt;&gt;"Packed",F60&lt;&gt;"Installed",F60&lt;&gt;"In transit",F60&lt;&gt;"Quarantine",F60&lt;&gt;"Retired"),"Choose asset state",IF(AND(G60&lt;&gt;"Unallocated",G60&lt;&gt;"This plan",G60&lt;&gt;"Other plan"),"Choose allocation",IF(AND(H60&lt;&gt;"",G60&lt;&gt;"This plan"),"Assigned role needs This plan",IF(AND(H60&lt;&gt;"",COUNTIFS('Layout'!$A$8:$A$207,H60)&lt;&gt;1),"Unknown / duplicate role",IF(H60&lt;&gt;"",IF(VLOOKUP(H60,'Layout'!$A$8:$N$207,7,FALSE)&lt;&gt;B60,"Assigned role part mismatch","OK"),IF(AND(F60="Installed",G60="This plan"),"Set installed role","OK")))))))))))))</x:f>
      </x:c>
    </x:row>
    <x:row r="61" ht="22" customHeight="1">
      <x:c r="A61" s="10"/>
      <x:c r="B61" s="10"/>
      <x:c r="C61" s="10"/>
      <x:c r="D61" s="10"/>
      <x:c r="E61" s="10"/>
      <x:c r="F61" s="10"/>
      <x:c r="G61" s="10"/>
      <x:c r="H61" s="10"/>
      <x:c r="I61" s="10"/>
      <x:c r="J61" s="11" t="str">
        <x:f>IF(A61="","",IF(AND(E61="Good",OR(AND(G61="Unallocated",F61="In stock"),AND(G61="This plan",OR(F61="In stock",F61="Packed",F61="Installed")))),1,0))</x:f>
      </x:c>
      <x:c r="K61" s="9" t="str">
        <x:f>IF(A61="","",IF(COUNTIFS('Assets'!$A$8:$A$207,A61)&lt;&gt;1,"Duplicate asset ID",IF(COUNTIFS('Definitions'!$A$8:$A$207,B61)&lt;&gt;1,"Unknown / duplicate definition",IF(VLOOKUP(B61,'Definitions'!$A$8:$J$207,7,FALSE)&lt;&gt;"Yes","Use bulk stock for untracked parts",IF(C61="","Missing manufacturer serial",IF(COUNTIFS($B$8:$B$207,B61,$C$8:$C$207,C61)&lt;&gt;1,"Duplicate part and serial",IF(OR(D61="",AND(E61&lt;&gt;"Good",E61&lt;&gt;"Faulty",E61&lt;&gt;"Unknown")),"Set location and condition",IF(AND(F61&lt;&gt;"In stock",F61&lt;&gt;"Packed",F61&lt;&gt;"Installed",F61&lt;&gt;"In transit",F61&lt;&gt;"Quarantine",F61&lt;&gt;"Retired"),"Choose asset state",IF(AND(G61&lt;&gt;"Unallocated",G61&lt;&gt;"This plan",G61&lt;&gt;"Other plan"),"Choose allocation",IF(AND(H61&lt;&gt;"",G61&lt;&gt;"This plan"),"Assigned role needs This plan",IF(AND(H61&lt;&gt;"",COUNTIFS('Layout'!$A$8:$A$207,H61)&lt;&gt;1),"Unknown / duplicate role",IF(H61&lt;&gt;"",IF(VLOOKUP(H61,'Layout'!$A$8:$N$207,7,FALSE)&lt;&gt;B61,"Assigned role part mismatch","OK"),IF(AND(F61="Installed",G61="This plan"),"Set installed role","OK")))))))))))))</x:f>
      </x:c>
    </x:row>
    <x:row r="62" ht="22" customHeight="1">
      <x:c r="A62" s="10"/>
      <x:c r="B62" s="10"/>
      <x:c r="C62" s="10"/>
      <x:c r="D62" s="10"/>
      <x:c r="E62" s="10"/>
      <x:c r="F62" s="10"/>
      <x:c r="G62" s="10"/>
      <x:c r="H62" s="10"/>
      <x:c r="I62" s="10"/>
      <x:c r="J62" s="11" t="str">
        <x:f>IF(A62="","",IF(AND(E62="Good",OR(AND(G62="Unallocated",F62="In stock"),AND(G62="This plan",OR(F62="In stock",F62="Packed",F62="Installed")))),1,0))</x:f>
      </x:c>
      <x:c r="K62" s="9" t="str">
        <x:f>IF(A62="","",IF(COUNTIFS('Assets'!$A$8:$A$207,A62)&lt;&gt;1,"Duplicate asset ID",IF(COUNTIFS('Definitions'!$A$8:$A$207,B62)&lt;&gt;1,"Unknown / duplicate definition",IF(VLOOKUP(B62,'Definitions'!$A$8:$J$207,7,FALSE)&lt;&gt;"Yes","Use bulk stock for untracked parts",IF(C62="","Missing manufacturer serial",IF(COUNTIFS($B$8:$B$207,B62,$C$8:$C$207,C62)&lt;&gt;1,"Duplicate part and serial",IF(OR(D62="",AND(E62&lt;&gt;"Good",E62&lt;&gt;"Faulty",E62&lt;&gt;"Unknown")),"Set location and condition",IF(AND(F62&lt;&gt;"In stock",F62&lt;&gt;"Packed",F62&lt;&gt;"Installed",F62&lt;&gt;"In transit",F62&lt;&gt;"Quarantine",F62&lt;&gt;"Retired"),"Choose asset state",IF(AND(G62&lt;&gt;"Unallocated",G62&lt;&gt;"This plan",G62&lt;&gt;"Other plan"),"Choose allocation",IF(AND(H62&lt;&gt;"",G62&lt;&gt;"This plan"),"Assigned role needs This plan",IF(AND(H62&lt;&gt;"",COUNTIFS('Layout'!$A$8:$A$207,H62)&lt;&gt;1),"Unknown / duplicate role",IF(H62&lt;&gt;"",IF(VLOOKUP(H62,'Layout'!$A$8:$N$207,7,FALSE)&lt;&gt;B62,"Assigned role part mismatch","OK"),IF(AND(F62="Installed",G62="This plan"),"Set installed role","OK")))))))))))))</x:f>
      </x:c>
    </x:row>
    <x:row r="63" ht="22" customHeight="1">
      <x:c r="A63" s="10"/>
      <x:c r="B63" s="10"/>
      <x:c r="C63" s="10"/>
      <x:c r="D63" s="10"/>
      <x:c r="E63" s="10"/>
      <x:c r="F63" s="10"/>
      <x:c r="G63" s="10"/>
      <x:c r="H63" s="10"/>
      <x:c r="I63" s="10"/>
      <x:c r="J63" s="11" t="str">
        <x:f>IF(A63="","",IF(AND(E63="Good",OR(AND(G63="Unallocated",F63="In stock"),AND(G63="This plan",OR(F63="In stock",F63="Packed",F63="Installed")))),1,0))</x:f>
      </x:c>
      <x:c r="K63" s="9" t="str">
        <x:f>IF(A63="","",IF(COUNTIFS('Assets'!$A$8:$A$207,A63)&lt;&gt;1,"Duplicate asset ID",IF(COUNTIFS('Definitions'!$A$8:$A$207,B63)&lt;&gt;1,"Unknown / duplicate definition",IF(VLOOKUP(B63,'Definitions'!$A$8:$J$207,7,FALSE)&lt;&gt;"Yes","Use bulk stock for untracked parts",IF(C63="","Missing manufacturer serial",IF(COUNTIFS($B$8:$B$207,B63,$C$8:$C$207,C63)&lt;&gt;1,"Duplicate part and serial",IF(OR(D63="",AND(E63&lt;&gt;"Good",E63&lt;&gt;"Faulty",E63&lt;&gt;"Unknown")),"Set location and condition",IF(AND(F63&lt;&gt;"In stock",F63&lt;&gt;"Packed",F63&lt;&gt;"Installed",F63&lt;&gt;"In transit",F63&lt;&gt;"Quarantine",F63&lt;&gt;"Retired"),"Choose asset state",IF(AND(G63&lt;&gt;"Unallocated",G63&lt;&gt;"This plan",G63&lt;&gt;"Other plan"),"Choose allocation",IF(AND(H63&lt;&gt;"",G63&lt;&gt;"This plan"),"Assigned role needs This plan",IF(AND(H63&lt;&gt;"",COUNTIFS('Layout'!$A$8:$A$207,H63)&lt;&gt;1),"Unknown / duplicate role",IF(H63&lt;&gt;"",IF(VLOOKUP(H63,'Layout'!$A$8:$N$207,7,FALSE)&lt;&gt;B63,"Assigned role part mismatch","OK"),IF(AND(F63="Installed",G63="This plan"),"Set installed role","OK")))))))))))))</x:f>
      </x:c>
    </x:row>
    <x:row r="64" ht="22" customHeight="1">
      <x:c r="A64" s="10"/>
      <x:c r="B64" s="10"/>
      <x:c r="C64" s="10"/>
      <x:c r="D64" s="10"/>
      <x:c r="E64" s="10"/>
      <x:c r="F64" s="10"/>
      <x:c r="G64" s="10"/>
      <x:c r="H64" s="10"/>
      <x:c r="I64" s="10"/>
      <x:c r="J64" s="11" t="str">
        <x:f>IF(A64="","",IF(AND(E64="Good",OR(AND(G64="Unallocated",F64="In stock"),AND(G64="This plan",OR(F64="In stock",F64="Packed",F64="Installed")))),1,0))</x:f>
      </x:c>
      <x:c r="K64" s="9" t="str">
        <x:f>IF(A64="","",IF(COUNTIFS('Assets'!$A$8:$A$207,A64)&lt;&gt;1,"Duplicate asset ID",IF(COUNTIFS('Definitions'!$A$8:$A$207,B64)&lt;&gt;1,"Unknown / duplicate definition",IF(VLOOKUP(B64,'Definitions'!$A$8:$J$207,7,FALSE)&lt;&gt;"Yes","Use bulk stock for untracked parts",IF(C64="","Missing manufacturer serial",IF(COUNTIFS($B$8:$B$207,B64,$C$8:$C$207,C64)&lt;&gt;1,"Duplicate part and serial",IF(OR(D64="",AND(E64&lt;&gt;"Good",E64&lt;&gt;"Faulty",E64&lt;&gt;"Unknown")),"Set location and condition",IF(AND(F64&lt;&gt;"In stock",F64&lt;&gt;"Packed",F64&lt;&gt;"Installed",F64&lt;&gt;"In transit",F64&lt;&gt;"Quarantine",F64&lt;&gt;"Retired"),"Choose asset state",IF(AND(G64&lt;&gt;"Unallocated",G64&lt;&gt;"This plan",G64&lt;&gt;"Other plan"),"Choose allocation",IF(AND(H64&lt;&gt;"",G64&lt;&gt;"This plan"),"Assigned role needs This plan",IF(AND(H64&lt;&gt;"",COUNTIFS('Layout'!$A$8:$A$207,H64)&lt;&gt;1),"Unknown / duplicate role",IF(H64&lt;&gt;"",IF(VLOOKUP(H64,'Layout'!$A$8:$N$207,7,FALSE)&lt;&gt;B64,"Assigned role part mismatch","OK"),IF(AND(F64="Installed",G64="This plan"),"Set installed role","OK")))))))))))))</x:f>
      </x:c>
    </x:row>
    <x:row r="65" ht="22" customHeight="1">
      <x:c r="A65" s="10"/>
      <x:c r="B65" s="10"/>
      <x:c r="C65" s="10"/>
      <x:c r="D65" s="10"/>
      <x:c r="E65" s="10"/>
      <x:c r="F65" s="10"/>
      <x:c r="G65" s="10"/>
      <x:c r="H65" s="10"/>
      <x:c r="I65" s="10"/>
      <x:c r="J65" s="11" t="str">
        <x:f>IF(A65="","",IF(AND(E65="Good",OR(AND(G65="Unallocated",F65="In stock"),AND(G65="This plan",OR(F65="In stock",F65="Packed",F65="Installed")))),1,0))</x:f>
      </x:c>
      <x:c r="K65" s="9" t="str">
        <x:f>IF(A65="","",IF(COUNTIFS('Assets'!$A$8:$A$207,A65)&lt;&gt;1,"Duplicate asset ID",IF(COUNTIFS('Definitions'!$A$8:$A$207,B65)&lt;&gt;1,"Unknown / duplicate definition",IF(VLOOKUP(B65,'Definitions'!$A$8:$J$207,7,FALSE)&lt;&gt;"Yes","Use bulk stock for untracked parts",IF(C65="","Missing manufacturer serial",IF(COUNTIFS($B$8:$B$207,B65,$C$8:$C$207,C65)&lt;&gt;1,"Duplicate part and serial",IF(OR(D65="",AND(E65&lt;&gt;"Good",E65&lt;&gt;"Faulty",E65&lt;&gt;"Unknown")),"Set location and condition",IF(AND(F65&lt;&gt;"In stock",F65&lt;&gt;"Packed",F65&lt;&gt;"Installed",F65&lt;&gt;"In transit",F65&lt;&gt;"Quarantine",F65&lt;&gt;"Retired"),"Choose asset state",IF(AND(G65&lt;&gt;"Unallocated",G65&lt;&gt;"This plan",G65&lt;&gt;"Other plan"),"Choose allocation",IF(AND(H65&lt;&gt;"",G65&lt;&gt;"This plan"),"Assigned role needs This plan",IF(AND(H65&lt;&gt;"",COUNTIFS('Layout'!$A$8:$A$207,H65)&lt;&gt;1),"Unknown / duplicate role",IF(H65&lt;&gt;"",IF(VLOOKUP(H65,'Layout'!$A$8:$N$207,7,FALSE)&lt;&gt;B65,"Assigned role part mismatch","OK"),IF(AND(F65="Installed",G65="This plan"),"Set installed role","OK")))))))))))))</x:f>
      </x:c>
    </x:row>
    <x:row r="66" ht="22" customHeight="1">
      <x:c r="A66" s="10"/>
      <x:c r="B66" s="10"/>
      <x:c r="C66" s="10"/>
      <x:c r="D66" s="10"/>
      <x:c r="E66" s="10"/>
      <x:c r="F66" s="10"/>
      <x:c r="G66" s="10"/>
      <x:c r="H66" s="10"/>
      <x:c r="I66" s="10"/>
      <x:c r="J66" s="11" t="str">
        <x:f>IF(A66="","",IF(AND(E66="Good",OR(AND(G66="Unallocated",F66="In stock"),AND(G66="This plan",OR(F66="In stock",F66="Packed",F66="Installed")))),1,0))</x:f>
      </x:c>
      <x:c r="K66" s="9" t="str">
        <x:f>IF(A66="","",IF(COUNTIFS('Assets'!$A$8:$A$207,A66)&lt;&gt;1,"Duplicate asset ID",IF(COUNTIFS('Definitions'!$A$8:$A$207,B66)&lt;&gt;1,"Unknown / duplicate definition",IF(VLOOKUP(B66,'Definitions'!$A$8:$J$207,7,FALSE)&lt;&gt;"Yes","Use bulk stock for untracked parts",IF(C66="","Missing manufacturer serial",IF(COUNTIFS($B$8:$B$207,B66,$C$8:$C$207,C66)&lt;&gt;1,"Duplicate part and serial",IF(OR(D66="",AND(E66&lt;&gt;"Good",E66&lt;&gt;"Faulty",E66&lt;&gt;"Unknown")),"Set location and condition",IF(AND(F66&lt;&gt;"In stock",F66&lt;&gt;"Packed",F66&lt;&gt;"Installed",F66&lt;&gt;"In transit",F66&lt;&gt;"Quarantine",F66&lt;&gt;"Retired"),"Choose asset state",IF(AND(G66&lt;&gt;"Unallocated",G66&lt;&gt;"This plan",G66&lt;&gt;"Other plan"),"Choose allocation",IF(AND(H66&lt;&gt;"",G66&lt;&gt;"This plan"),"Assigned role needs This plan",IF(AND(H66&lt;&gt;"",COUNTIFS('Layout'!$A$8:$A$207,H66)&lt;&gt;1),"Unknown / duplicate role",IF(H66&lt;&gt;"",IF(VLOOKUP(H66,'Layout'!$A$8:$N$207,7,FALSE)&lt;&gt;B66,"Assigned role part mismatch","OK"),IF(AND(F66="Installed",G66="This plan"),"Set installed role","OK")))))))))))))</x:f>
      </x:c>
    </x:row>
    <x:row r="67" ht="22" customHeight="1">
      <x:c r="A67" s="10"/>
      <x:c r="B67" s="10"/>
      <x:c r="C67" s="10"/>
      <x:c r="D67" s="10"/>
      <x:c r="E67" s="10"/>
      <x:c r="F67" s="10"/>
      <x:c r="G67" s="10"/>
      <x:c r="H67" s="10"/>
      <x:c r="I67" s="10"/>
      <x:c r="J67" s="11" t="str">
        <x:f>IF(A67="","",IF(AND(E67="Good",OR(AND(G67="Unallocated",F67="In stock"),AND(G67="This plan",OR(F67="In stock",F67="Packed",F67="Installed")))),1,0))</x:f>
      </x:c>
      <x:c r="K67" s="9" t="str">
        <x:f>IF(A67="","",IF(COUNTIFS('Assets'!$A$8:$A$207,A67)&lt;&gt;1,"Duplicate asset ID",IF(COUNTIFS('Definitions'!$A$8:$A$207,B67)&lt;&gt;1,"Unknown / duplicate definition",IF(VLOOKUP(B67,'Definitions'!$A$8:$J$207,7,FALSE)&lt;&gt;"Yes","Use bulk stock for untracked parts",IF(C67="","Missing manufacturer serial",IF(COUNTIFS($B$8:$B$207,B67,$C$8:$C$207,C67)&lt;&gt;1,"Duplicate part and serial",IF(OR(D67="",AND(E67&lt;&gt;"Good",E67&lt;&gt;"Faulty",E67&lt;&gt;"Unknown")),"Set location and condition",IF(AND(F67&lt;&gt;"In stock",F67&lt;&gt;"Packed",F67&lt;&gt;"Installed",F67&lt;&gt;"In transit",F67&lt;&gt;"Quarantine",F67&lt;&gt;"Retired"),"Choose asset state",IF(AND(G67&lt;&gt;"Unallocated",G67&lt;&gt;"This plan",G67&lt;&gt;"Other plan"),"Choose allocation",IF(AND(H67&lt;&gt;"",G67&lt;&gt;"This plan"),"Assigned role needs This plan",IF(AND(H67&lt;&gt;"",COUNTIFS('Layout'!$A$8:$A$207,H67)&lt;&gt;1),"Unknown / duplicate role",IF(H67&lt;&gt;"",IF(VLOOKUP(H67,'Layout'!$A$8:$N$207,7,FALSE)&lt;&gt;B67,"Assigned role part mismatch","OK"),IF(AND(F67="Installed",G67="This plan"),"Set installed role","OK")))))))))))))</x:f>
      </x:c>
    </x:row>
    <x:row r="68" ht="22" customHeight="1">
      <x:c r="A68" s="10"/>
      <x:c r="B68" s="10"/>
      <x:c r="C68" s="10"/>
      <x:c r="D68" s="10"/>
      <x:c r="E68" s="10"/>
      <x:c r="F68" s="10"/>
      <x:c r="G68" s="10"/>
      <x:c r="H68" s="10"/>
      <x:c r="I68" s="10"/>
      <x:c r="J68" s="11" t="str">
        <x:f>IF(A68="","",IF(AND(E68="Good",OR(AND(G68="Unallocated",F68="In stock"),AND(G68="This plan",OR(F68="In stock",F68="Packed",F68="Installed")))),1,0))</x:f>
      </x:c>
      <x:c r="K68" s="9" t="str">
        <x:f>IF(A68="","",IF(COUNTIFS('Assets'!$A$8:$A$207,A68)&lt;&gt;1,"Duplicate asset ID",IF(COUNTIFS('Definitions'!$A$8:$A$207,B68)&lt;&gt;1,"Unknown / duplicate definition",IF(VLOOKUP(B68,'Definitions'!$A$8:$J$207,7,FALSE)&lt;&gt;"Yes","Use bulk stock for untracked parts",IF(C68="","Missing manufacturer serial",IF(COUNTIFS($B$8:$B$207,B68,$C$8:$C$207,C68)&lt;&gt;1,"Duplicate part and serial",IF(OR(D68="",AND(E68&lt;&gt;"Good",E68&lt;&gt;"Faulty",E68&lt;&gt;"Unknown")),"Set location and condition",IF(AND(F68&lt;&gt;"In stock",F68&lt;&gt;"Packed",F68&lt;&gt;"Installed",F68&lt;&gt;"In transit",F68&lt;&gt;"Quarantine",F68&lt;&gt;"Retired"),"Choose asset state",IF(AND(G68&lt;&gt;"Unallocated",G68&lt;&gt;"This plan",G68&lt;&gt;"Other plan"),"Choose allocation",IF(AND(H68&lt;&gt;"",G68&lt;&gt;"This plan"),"Assigned role needs This plan",IF(AND(H68&lt;&gt;"",COUNTIFS('Layout'!$A$8:$A$207,H68)&lt;&gt;1),"Unknown / duplicate role",IF(H68&lt;&gt;"",IF(VLOOKUP(H68,'Layout'!$A$8:$N$207,7,FALSE)&lt;&gt;B68,"Assigned role part mismatch","OK"),IF(AND(F68="Installed",G68="This plan"),"Set installed role","OK")))))))))))))</x:f>
      </x:c>
    </x:row>
    <x:row r="69" ht="22" customHeight="1">
      <x:c r="A69" s="10"/>
      <x:c r="B69" s="10"/>
      <x:c r="C69" s="10"/>
      <x:c r="D69" s="10"/>
      <x:c r="E69" s="10"/>
      <x:c r="F69" s="10"/>
      <x:c r="G69" s="10"/>
      <x:c r="H69" s="10"/>
      <x:c r="I69" s="10"/>
      <x:c r="J69" s="11" t="str">
        <x:f>IF(A69="","",IF(AND(E69="Good",OR(AND(G69="Unallocated",F69="In stock"),AND(G69="This plan",OR(F69="In stock",F69="Packed",F69="Installed")))),1,0))</x:f>
      </x:c>
      <x:c r="K69" s="9" t="str">
        <x:f>IF(A69="","",IF(COUNTIFS('Assets'!$A$8:$A$207,A69)&lt;&gt;1,"Duplicate asset ID",IF(COUNTIFS('Definitions'!$A$8:$A$207,B69)&lt;&gt;1,"Unknown / duplicate definition",IF(VLOOKUP(B69,'Definitions'!$A$8:$J$207,7,FALSE)&lt;&gt;"Yes","Use bulk stock for untracked parts",IF(C69="","Missing manufacturer serial",IF(COUNTIFS($B$8:$B$207,B69,$C$8:$C$207,C69)&lt;&gt;1,"Duplicate part and serial",IF(OR(D69="",AND(E69&lt;&gt;"Good",E69&lt;&gt;"Faulty",E69&lt;&gt;"Unknown")),"Set location and condition",IF(AND(F69&lt;&gt;"In stock",F69&lt;&gt;"Packed",F69&lt;&gt;"Installed",F69&lt;&gt;"In transit",F69&lt;&gt;"Quarantine",F69&lt;&gt;"Retired"),"Choose asset state",IF(AND(G69&lt;&gt;"Unallocated",G69&lt;&gt;"This plan",G69&lt;&gt;"Other plan"),"Choose allocation",IF(AND(H69&lt;&gt;"",G69&lt;&gt;"This plan"),"Assigned role needs This plan",IF(AND(H69&lt;&gt;"",COUNTIFS('Layout'!$A$8:$A$207,H69)&lt;&gt;1),"Unknown / duplicate role",IF(H69&lt;&gt;"",IF(VLOOKUP(H69,'Layout'!$A$8:$N$207,7,FALSE)&lt;&gt;B69,"Assigned role part mismatch","OK"),IF(AND(F69="Installed",G69="This plan"),"Set installed role","OK")))))))))))))</x:f>
      </x:c>
    </x:row>
    <x:row r="70" ht="22" customHeight="1">
      <x:c r="A70" s="10"/>
      <x:c r="B70" s="10"/>
      <x:c r="C70" s="10"/>
      <x:c r="D70" s="10"/>
      <x:c r="E70" s="10"/>
      <x:c r="F70" s="10"/>
      <x:c r="G70" s="10"/>
      <x:c r="H70" s="10"/>
      <x:c r="I70" s="10"/>
      <x:c r="J70" s="11" t="str">
        <x:f>IF(A70="","",IF(AND(E70="Good",OR(AND(G70="Unallocated",F70="In stock"),AND(G70="This plan",OR(F70="In stock",F70="Packed",F70="Installed")))),1,0))</x:f>
      </x:c>
      <x:c r="K70" s="9" t="str">
        <x:f>IF(A70="","",IF(COUNTIFS('Assets'!$A$8:$A$207,A70)&lt;&gt;1,"Duplicate asset ID",IF(COUNTIFS('Definitions'!$A$8:$A$207,B70)&lt;&gt;1,"Unknown / duplicate definition",IF(VLOOKUP(B70,'Definitions'!$A$8:$J$207,7,FALSE)&lt;&gt;"Yes","Use bulk stock for untracked parts",IF(C70="","Missing manufacturer serial",IF(COUNTIFS($B$8:$B$207,B70,$C$8:$C$207,C70)&lt;&gt;1,"Duplicate part and serial",IF(OR(D70="",AND(E70&lt;&gt;"Good",E70&lt;&gt;"Faulty",E70&lt;&gt;"Unknown")),"Set location and condition",IF(AND(F70&lt;&gt;"In stock",F70&lt;&gt;"Packed",F70&lt;&gt;"Installed",F70&lt;&gt;"In transit",F70&lt;&gt;"Quarantine",F70&lt;&gt;"Retired"),"Choose asset state",IF(AND(G70&lt;&gt;"Unallocated",G70&lt;&gt;"This plan",G70&lt;&gt;"Other plan"),"Choose allocation",IF(AND(H70&lt;&gt;"",G70&lt;&gt;"This plan"),"Assigned role needs This plan",IF(AND(H70&lt;&gt;"",COUNTIFS('Layout'!$A$8:$A$207,H70)&lt;&gt;1),"Unknown / duplicate role",IF(H70&lt;&gt;"",IF(VLOOKUP(H70,'Layout'!$A$8:$N$207,7,FALSE)&lt;&gt;B70,"Assigned role part mismatch","OK"),IF(AND(F70="Installed",G70="This plan"),"Set installed role","OK")))))))))))))</x:f>
      </x:c>
    </x:row>
    <x:row r="71" ht="22" customHeight="1">
      <x:c r="A71" s="10"/>
      <x:c r="B71" s="10"/>
      <x:c r="C71" s="10"/>
      <x:c r="D71" s="10"/>
      <x:c r="E71" s="10"/>
      <x:c r="F71" s="10"/>
      <x:c r="G71" s="10"/>
      <x:c r="H71" s="10"/>
      <x:c r="I71" s="10"/>
      <x:c r="J71" s="11" t="str">
        <x:f>IF(A71="","",IF(AND(E71="Good",OR(AND(G71="Unallocated",F71="In stock"),AND(G71="This plan",OR(F71="In stock",F71="Packed",F71="Installed")))),1,0))</x:f>
      </x:c>
      <x:c r="K71" s="9" t="str">
        <x:f>IF(A71="","",IF(COUNTIFS('Assets'!$A$8:$A$207,A71)&lt;&gt;1,"Duplicate asset ID",IF(COUNTIFS('Definitions'!$A$8:$A$207,B71)&lt;&gt;1,"Unknown / duplicate definition",IF(VLOOKUP(B71,'Definitions'!$A$8:$J$207,7,FALSE)&lt;&gt;"Yes","Use bulk stock for untracked parts",IF(C71="","Missing manufacturer serial",IF(COUNTIFS($B$8:$B$207,B71,$C$8:$C$207,C71)&lt;&gt;1,"Duplicate part and serial",IF(OR(D71="",AND(E71&lt;&gt;"Good",E71&lt;&gt;"Faulty",E71&lt;&gt;"Unknown")),"Set location and condition",IF(AND(F71&lt;&gt;"In stock",F71&lt;&gt;"Packed",F71&lt;&gt;"Installed",F71&lt;&gt;"In transit",F71&lt;&gt;"Quarantine",F71&lt;&gt;"Retired"),"Choose asset state",IF(AND(G71&lt;&gt;"Unallocated",G71&lt;&gt;"This plan",G71&lt;&gt;"Other plan"),"Choose allocation",IF(AND(H71&lt;&gt;"",G71&lt;&gt;"This plan"),"Assigned role needs This plan",IF(AND(H71&lt;&gt;"",COUNTIFS('Layout'!$A$8:$A$207,H71)&lt;&gt;1),"Unknown / duplicate role",IF(H71&lt;&gt;"",IF(VLOOKUP(H71,'Layout'!$A$8:$N$207,7,FALSE)&lt;&gt;B71,"Assigned role part mismatch","OK"),IF(AND(F71="Installed",G71="This plan"),"Set installed role","OK")))))))))))))</x:f>
      </x:c>
    </x:row>
    <x:row r="72" ht="22" customHeight="1">
      <x:c r="A72" s="10"/>
      <x:c r="B72" s="10"/>
      <x:c r="C72" s="10"/>
      <x:c r="D72" s="10"/>
      <x:c r="E72" s="10"/>
      <x:c r="F72" s="10"/>
      <x:c r="G72" s="10"/>
      <x:c r="H72" s="10"/>
      <x:c r="I72" s="10"/>
      <x:c r="J72" s="11" t="str">
        <x:f>IF(A72="","",IF(AND(E72="Good",OR(AND(G72="Unallocated",F72="In stock"),AND(G72="This plan",OR(F72="In stock",F72="Packed",F72="Installed")))),1,0))</x:f>
      </x:c>
      <x:c r="K72" s="9" t="str">
        <x:f>IF(A72="","",IF(COUNTIFS('Assets'!$A$8:$A$207,A72)&lt;&gt;1,"Duplicate asset ID",IF(COUNTIFS('Definitions'!$A$8:$A$207,B72)&lt;&gt;1,"Unknown / duplicate definition",IF(VLOOKUP(B72,'Definitions'!$A$8:$J$207,7,FALSE)&lt;&gt;"Yes","Use bulk stock for untracked parts",IF(C72="","Missing manufacturer serial",IF(COUNTIFS($B$8:$B$207,B72,$C$8:$C$207,C72)&lt;&gt;1,"Duplicate part and serial",IF(OR(D72="",AND(E72&lt;&gt;"Good",E72&lt;&gt;"Faulty",E72&lt;&gt;"Unknown")),"Set location and condition",IF(AND(F72&lt;&gt;"In stock",F72&lt;&gt;"Packed",F72&lt;&gt;"Installed",F72&lt;&gt;"In transit",F72&lt;&gt;"Quarantine",F72&lt;&gt;"Retired"),"Choose asset state",IF(AND(G72&lt;&gt;"Unallocated",G72&lt;&gt;"This plan",G72&lt;&gt;"Other plan"),"Choose allocation",IF(AND(H72&lt;&gt;"",G72&lt;&gt;"This plan"),"Assigned role needs This plan",IF(AND(H72&lt;&gt;"",COUNTIFS('Layout'!$A$8:$A$207,H72)&lt;&gt;1),"Unknown / duplicate role",IF(H72&lt;&gt;"",IF(VLOOKUP(H72,'Layout'!$A$8:$N$207,7,FALSE)&lt;&gt;B72,"Assigned role part mismatch","OK"),IF(AND(F72="Installed",G72="This plan"),"Set installed role","OK")))))))))))))</x:f>
      </x:c>
    </x:row>
    <x:row r="73" ht="22" customHeight="1">
      <x:c r="A73" s="10"/>
      <x:c r="B73" s="10"/>
      <x:c r="C73" s="10"/>
      <x:c r="D73" s="10"/>
      <x:c r="E73" s="10"/>
      <x:c r="F73" s="10"/>
      <x:c r="G73" s="10"/>
      <x:c r="H73" s="10"/>
      <x:c r="I73" s="10"/>
      <x:c r="J73" s="11" t="str">
        <x:f>IF(A73="","",IF(AND(E73="Good",OR(AND(G73="Unallocated",F73="In stock"),AND(G73="This plan",OR(F73="In stock",F73="Packed",F73="Installed")))),1,0))</x:f>
      </x:c>
      <x:c r="K73" s="9" t="str">
        <x:f>IF(A73="","",IF(COUNTIFS('Assets'!$A$8:$A$207,A73)&lt;&gt;1,"Duplicate asset ID",IF(COUNTIFS('Definitions'!$A$8:$A$207,B73)&lt;&gt;1,"Unknown / duplicate definition",IF(VLOOKUP(B73,'Definitions'!$A$8:$J$207,7,FALSE)&lt;&gt;"Yes","Use bulk stock for untracked parts",IF(C73="","Missing manufacturer serial",IF(COUNTIFS($B$8:$B$207,B73,$C$8:$C$207,C73)&lt;&gt;1,"Duplicate part and serial",IF(OR(D73="",AND(E73&lt;&gt;"Good",E73&lt;&gt;"Faulty",E73&lt;&gt;"Unknown")),"Set location and condition",IF(AND(F73&lt;&gt;"In stock",F73&lt;&gt;"Packed",F73&lt;&gt;"Installed",F73&lt;&gt;"In transit",F73&lt;&gt;"Quarantine",F73&lt;&gt;"Retired"),"Choose asset state",IF(AND(G73&lt;&gt;"Unallocated",G73&lt;&gt;"This plan",G73&lt;&gt;"Other plan"),"Choose allocation",IF(AND(H73&lt;&gt;"",G73&lt;&gt;"This plan"),"Assigned role needs This plan",IF(AND(H73&lt;&gt;"",COUNTIFS('Layout'!$A$8:$A$207,H73)&lt;&gt;1),"Unknown / duplicate role",IF(H73&lt;&gt;"",IF(VLOOKUP(H73,'Layout'!$A$8:$N$207,7,FALSE)&lt;&gt;B73,"Assigned role part mismatch","OK"),IF(AND(F73="Installed",G73="This plan"),"Set installed role","OK")))))))))))))</x:f>
      </x:c>
    </x:row>
    <x:row r="74" ht="22" customHeight="1">
      <x:c r="A74" s="10"/>
      <x:c r="B74" s="10"/>
      <x:c r="C74" s="10"/>
      <x:c r="D74" s="10"/>
      <x:c r="E74" s="10"/>
      <x:c r="F74" s="10"/>
      <x:c r="G74" s="10"/>
      <x:c r="H74" s="10"/>
      <x:c r="I74" s="10"/>
      <x:c r="J74" s="11" t="str">
        <x:f>IF(A74="","",IF(AND(E74="Good",OR(AND(G74="Unallocated",F74="In stock"),AND(G74="This plan",OR(F74="In stock",F74="Packed",F74="Installed")))),1,0))</x:f>
      </x:c>
      <x:c r="K74" s="9" t="str">
        <x:f>IF(A74="","",IF(COUNTIFS('Assets'!$A$8:$A$207,A74)&lt;&gt;1,"Duplicate asset ID",IF(COUNTIFS('Definitions'!$A$8:$A$207,B74)&lt;&gt;1,"Unknown / duplicate definition",IF(VLOOKUP(B74,'Definitions'!$A$8:$J$207,7,FALSE)&lt;&gt;"Yes","Use bulk stock for untracked parts",IF(C74="","Missing manufacturer serial",IF(COUNTIFS($B$8:$B$207,B74,$C$8:$C$207,C74)&lt;&gt;1,"Duplicate part and serial",IF(OR(D74="",AND(E74&lt;&gt;"Good",E74&lt;&gt;"Faulty",E74&lt;&gt;"Unknown")),"Set location and condition",IF(AND(F74&lt;&gt;"In stock",F74&lt;&gt;"Packed",F74&lt;&gt;"Installed",F74&lt;&gt;"In transit",F74&lt;&gt;"Quarantine",F74&lt;&gt;"Retired"),"Choose asset state",IF(AND(G74&lt;&gt;"Unallocated",G74&lt;&gt;"This plan",G74&lt;&gt;"Other plan"),"Choose allocation",IF(AND(H74&lt;&gt;"",G74&lt;&gt;"This plan"),"Assigned role needs This plan",IF(AND(H74&lt;&gt;"",COUNTIFS('Layout'!$A$8:$A$207,H74)&lt;&gt;1),"Unknown / duplicate role",IF(H74&lt;&gt;"",IF(VLOOKUP(H74,'Layout'!$A$8:$N$207,7,FALSE)&lt;&gt;B74,"Assigned role part mismatch","OK"),IF(AND(F74="Installed",G74="This plan"),"Set installed role","OK")))))))))))))</x:f>
      </x:c>
    </x:row>
    <x:row r="75" ht="22" customHeight="1">
      <x:c r="A75" s="10"/>
      <x:c r="B75" s="10"/>
      <x:c r="C75" s="10"/>
      <x:c r="D75" s="10"/>
      <x:c r="E75" s="10"/>
      <x:c r="F75" s="10"/>
      <x:c r="G75" s="10"/>
      <x:c r="H75" s="10"/>
      <x:c r="I75" s="10"/>
      <x:c r="J75" s="11" t="str">
        <x:f>IF(A75="","",IF(AND(E75="Good",OR(AND(G75="Unallocated",F75="In stock"),AND(G75="This plan",OR(F75="In stock",F75="Packed",F75="Installed")))),1,0))</x:f>
      </x:c>
      <x:c r="K75" s="9" t="str">
        <x:f>IF(A75="","",IF(COUNTIFS('Assets'!$A$8:$A$207,A75)&lt;&gt;1,"Duplicate asset ID",IF(COUNTIFS('Definitions'!$A$8:$A$207,B75)&lt;&gt;1,"Unknown / duplicate definition",IF(VLOOKUP(B75,'Definitions'!$A$8:$J$207,7,FALSE)&lt;&gt;"Yes","Use bulk stock for untracked parts",IF(C75="","Missing manufacturer serial",IF(COUNTIFS($B$8:$B$207,B75,$C$8:$C$207,C75)&lt;&gt;1,"Duplicate part and serial",IF(OR(D75="",AND(E75&lt;&gt;"Good",E75&lt;&gt;"Faulty",E75&lt;&gt;"Unknown")),"Set location and condition",IF(AND(F75&lt;&gt;"In stock",F75&lt;&gt;"Packed",F75&lt;&gt;"Installed",F75&lt;&gt;"In transit",F75&lt;&gt;"Quarantine",F75&lt;&gt;"Retired"),"Choose asset state",IF(AND(G75&lt;&gt;"Unallocated",G75&lt;&gt;"This plan",G75&lt;&gt;"Other plan"),"Choose allocation",IF(AND(H75&lt;&gt;"",G75&lt;&gt;"This plan"),"Assigned role needs This plan",IF(AND(H75&lt;&gt;"",COUNTIFS('Layout'!$A$8:$A$207,H75)&lt;&gt;1),"Unknown / duplicate role",IF(H75&lt;&gt;"",IF(VLOOKUP(H75,'Layout'!$A$8:$N$207,7,FALSE)&lt;&gt;B75,"Assigned role part mismatch","OK"),IF(AND(F75="Installed",G75="This plan"),"Set installed role","OK")))))))))))))</x:f>
      </x:c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1" t="str">
        <x:f>IF(A76="","",IF(AND(E76="Good",OR(AND(G76="Unallocated",F76="In stock"),AND(G76="This plan",OR(F76="In stock",F76="Packed",F76="Installed")))),1,0))</x:f>
      </x:c>
      <x:c r="K76" s="9" t="str">
        <x:f>IF(A76="","",IF(COUNTIFS('Assets'!$A$8:$A$207,A76)&lt;&gt;1,"Duplicate asset ID",IF(COUNTIFS('Definitions'!$A$8:$A$207,B76)&lt;&gt;1,"Unknown / duplicate definition",IF(VLOOKUP(B76,'Definitions'!$A$8:$J$207,7,FALSE)&lt;&gt;"Yes","Use bulk stock for untracked parts",IF(C76="","Missing manufacturer serial",IF(COUNTIFS($B$8:$B$207,B76,$C$8:$C$207,C76)&lt;&gt;1,"Duplicate part and serial",IF(OR(D76="",AND(E76&lt;&gt;"Good",E76&lt;&gt;"Faulty",E76&lt;&gt;"Unknown")),"Set location and condition",IF(AND(F76&lt;&gt;"In stock",F76&lt;&gt;"Packed",F76&lt;&gt;"Installed",F76&lt;&gt;"In transit",F76&lt;&gt;"Quarantine",F76&lt;&gt;"Retired"),"Choose asset state",IF(AND(G76&lt;&gt;"Unallocated",G76&lt;&gt;"This plan",G76&lt;&gt;"Other plan"),"Choose allocation",IF(AND(H76&lt;&gt;"",G76&lt;&gt;"This plan"),"Assigned role needs This plan",IF(AND(H76&lt;&gt;"",COUNTIFS('Layout'!$A$8:$A$207,H76)&lt;&gt;1),"Unknown / duplicate role",IF(H76&lt;&gt;"",IF(VLOOKUP(H76,'Layout'!$A$8:$N$207,7,FALSE)&lt;&gt;B76,"Assigned role part mismatch","OK"),IF(AND(F76="Installed",G76="This plan"),"Set installed role","OK")))))))))))))</x:f>
      </x:c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1" t="str">
        <x:f>IF(A77="","",IF(AND(E77="Good",OR(AND(G77="Unallocated",F77="In stock"),AND(G77="This plan",OR(F77="In stock",F77="Packed",F77="Installed")))),1,0))</x:f>
      </x:c>
      <x:c r="K77" s="9" t="str">
        <x:f>IF(A77="","",IF(COUNTIFS('Assets'!$A$8:$A$207,A77)&lt;&gt;1,"Duplicate asset ID",IF(COUNTIFS('Definitions'!$A$8:$A$207,B77)&lt;&gt;1,"Unknown / duplicate definition",IF(VLOOKUP(B77,'Definitions'!$A$8:$J$207,7,FALSE)&lt;&gt;"Yes","Use bulk stock for untracked parts",IF(C77="","Missing manufacturer serial",IF(COUNTIFS($B$8:$B$207,B77,$C$8:$C$207,C77)&lt;&gt;1,"Duplicate part and serial",IF(OR(D77="",AND(E77&lt;&gt;"Good",E77&lt;&gt;"Faulty",E77&lt;&gt;"Unknown")),"Set location and condition",IF(AND(F77&lt;&gt;"In stock",F77&lt;&gt;"Packed",F77&lt;&gt;"Installed",F77&lt;&gt;"In transit",F77&lt;&gt;"Quarantine",F77&lt;&gt;"Retired"),"Choose asset state",IF(AND(G77&lt;&gt;"Unallocated",G77&lt;&gt;"This plan",G77&lt;&gt;"Other plan"),"Choose allocation",IF(AND(H77&lt;&gt;"",G77&lt;&gt;"This plan"),"Assigned role needs This plan",IF(AND(H77&lt;&gt;"",COUNTIFS('Layout'!$A$8:$A$207,H77)&lt;&gt;1),"Unknown / duplicate role",IF(H77&lt;&gt;"",IF(VLOOKUP(H77,'Layout'!$A$8:$N$207,7,FALSE)&lt;&gt;B77,"Assigned role part mismatch","OK"),IF(AND(F77="Installed",G77="This plan"),"Set installed role","OK")))))))))))))</x:f>
      </x:c>
    </x:row>
    <x:row r="78" ht="22" customHeight="1">
      <x:c r="A78" s="10"/>
      <x:c r="B78" s="10"/>
      <x:c r="C78" s="10"/>
      <x:c r="D78" s="10"/>
      <x:c r="E78" s="10"/>
      <x:c r="F78" s="10"/>
      <x:c r="G78" s="10"/>
      <x:c r="H78" s="10"/>
      <x:c r="I78" s="10"/>
      <x:c r="J78" s="11" t="str">
        <x:f>IF(A78="","",IF(AND(E78="Good",OR(AND(G78="Unallocated",F78="In stock"),AND(G78="This plan",OR(F78="In stock",F78="Packed",F78="Installed")))),1,0))</x:f>
      </x:c>
      <x:c r="K78" s="9" t="str">
        <x:f>IF(A78="","",IF(COUNTIFS('Assets'!$A$8:$A$207,A78)&lt;&gt;1,"Duplicate asset ID",IF(COUNTIFS('Definitions'!$A$8:$A$207,B78)&lt;&gt;1,"Unknown / duplicate definition",IF(VLOOKUP(B78,'Definitions'!$A$8:$J$207,7,FALSE)&lt;&gt;"Yes","Use bulk stock for untracked parts",IF(C78="","Missing manufacturer serial",IF(COUNTIFS($B$8:$B$207,B78,$C$8:$C$207,C78)&lt;&gt;1,"Duplicate part and serial",IF(OR(D78="",AND(E78&lt;&gt;"Good",E78&lt;&gt;"Faulty",E78&lt;&gt;"Unknown")),"Set location and condition",IF(AND(F78&lt;&gt;"In stock",F78&lt;&gt;"Packed",F78&lt;&gt;"Installed",F78&lt;&gt;"In transit",F78&lt;&gt;"Quarantine",F78&lt;&gt;"Retired"),"Choose asset state",IF(AND(G78&lt;&gt;"Unallocated",G78&lt;&gt;"This plan",G78&lt;&gt;"Other plan"),"Choose allocation",IF(AND(H78&lt;&gt;"",G78&lt;&gt;"This plan"),"Assigned role needs This plan",IF(AND(H78&lt;&gt;"",COUNTIFS('Layout'!$A$8:$A$207,H78)&lt;&gt;1),"Unknown / duplicate role",IF(H78&lt;&gt;"",IF(VLOOKUP(H78,'Layout'!$A$8:$N$207,7,FALSE)&lt;&gt;B78,"Assigned role part mismatch","OK"),IF(AND(F78="Installed",G78="This plan"),"Set installed role","OK")))))))))))))</x:f>
      </x:c>
    </x:row>
    <x:row r="79" ht="22" customHeight="1">
      <x:c r="A79" s="10"/>
      <x:c r="B79" s="10"/>
      <x:c r="C79" s="10"/>
      <x:c r="D79" s="10"/>
      <x:c r="E79" s="10"/>
      <x:c r="F79" s="10"/>
      <x:c r="G79" s="10"/>
      <x:c r="H79" s="10"/>
      <x:c r="I79" s="10"/>
      <x:c r="J79" s="11" t="str">
        <x:f>IF(A79="","",IF(AND(E79="Good",OR(AND(G79="Unallocated",F79="In stock"),AND(G79="This plan",OR(F79="In stock",F79="Packed",F79="Installed")))),1,0))</x:f>
      </x:c>
      <x:c r="K79" s="9" t="str">
        <x:f>IF(A79="","",IF(COUNTIFS('Assets'!$A$8:$A$207,A79)&lt;&gt;1,"Duplicate asset ID",IF(COUNTIFS('Definitions'!$A$8:$A$207,B79)&lt;&gt;1,"Unknown / duplicate definition",IF(VLOOKUP(B79,'Definitions'!$A$8:$J$207,7,FALSE)&lt;&gt;"Yes","Use bulk stock for untracked parts",IF(C79="","Missing manufacturer serial",IF(COUNTIFS($B$8:$B$207,B79,$C$8:$C$207,C79)&lt;&gt;1,"Duplicate part and serial",IF(OR(D79="",AND(E79&lt;&gt;"Good",E79&lt;&gt;"Faulty",E79&lt;&gt;"Unknown")),"Set location and condition",IF(AND(F79&lt;&gt;"In stock",F79&lt;&gt;"Packed",F79&lt;&gt;"Installed",F79&lt;&gt;"In transit",F79&lt;&gt;"Quarantine",F79&lt;&gt;"Retired"),"Choose asset state",IF(AND(G79&lt;&gt;"Unallocated",G79&lt;&gt;"This plan",G79&lt;&gt;"Other plan"),"Choose allocation",IF(AND(H79&lt;&gt;"",G79&lt;&gt;"This plan"),"Assigned role needs This plan",IF(AND(H79&lt;&gt;"",COUNTIFS('Layout'!$A$8:$A$207,H79)&lt;&gt;1),"Unknown / duplicate role",IF(H79&lt;&gt;"",IF(VLOOKUP(H79,'Layout'!$A$8:$N$207,7,FALSE)&lt;&gt;B79,"Assigned role part mismatch","OK"),IF(AND(F79="Installed",G79="This plan"),"Set installed role","OK")))))))))))))</x:f>
      </x:c>
    </x:row>
    <x:row r="80" ht="22" customHeight="1">
      <x:c r="A80" s="10"/>
      <x:c r="B80" s="10"/>
      <x:c r="C80" s="10"/>
      <x:c r="D80" s="10"/>
      <x:c r="E80" s="10"/>
      <x:c r="F80" s="10"/>
      <x:c r="G80" s="10"/>
      <x:c r="H80" s="10"/>
      <x:c r="I80" s="10"/>
      <x:c r="J80" s="11" t="str">
        <x:f>IF(A80="","",IF(AND(E80="Good",OR(AND(G80="Unallocated",F80="In stock"),AND(G80="This plan",OR(F80="In stock",F80="Packed",F80="Installed")))),1,0))</x:f>
      </x:c>
      <x:c r="K80" s="9" t="str">
        <x:f>IF(A80="","",IF(COUNTIFS('Assets'!$A$8:$A$207,A80)&lt;&gt;1,"Duplicate asset ID",IF(COUNTIFS('Definitions'!$A$8:$A$207,B80)&lt;&gt;1,"Unknown / duplicate definition",IF(VLOOKUP(B80,'Definitions'!$A$8:$J$207,7,FALSE)&lt;&gt;"Yes","Use bulk stock for untracked parts",IF(C80="","Missing manufacturer serial",IF(COUNTIFS($B$8:$B$207,B80,$C$8:$C$207,C80)&lt;&gt;1,"Duplicate part and serial",IF(OR(D80="",AND(E80&lt;&gt;"Good",E80&lt;&gt;"Faulty",E80&lt;&gt;"Unknown")),"Set location and condition",IF(AND(F80&lt;&gt;"In stock",F80&lt;&gt;"Packed",F80&lt;&gt;"Installed",F80&lt;&gt;"In transit",F80&lt;&gt;"Quarantine",F80&lt;&gt;"Retired"),"Choose asset state",IF(AND(G80&lt;&gt;"Unallocated",G80&lt;&gt;"This plan",G80&lt;&gt;"Other plan"),"Choose allocation",IF(AND(H80&lt;&gt;"",G80&lt;&gt;"This plan"),"Assigned role needs This plan",IF(AND(H80&lt;&gt;"",COUNTIFS('Layout'!$A$8:$A$207,H80)&lt;&gt;1),"Unknown / duplicate role",IF(H80&lt;&gt;"",IF(VLOOKUP(H80,'Layout'!$A$8:$N$207,7,FALSE)&lt;&gt;B80,"Assigned role part mismatch","OK"),IF(AND(F80="Installed",G80="This plan"),"Set installed role","OK")))))))))))))</x:f>
      </x:c>
    </x:row>
    <x:row r="81" ht="22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1" t="str">
        <x:f>IF(A81="","",IF(AND(E81="Good",OR(AND(G81="Unallocated",F81="In stock"),AND(G81="This plan",OR(F81="In stock",F81="Packed",F81="Installed")))),1,0))</x:f>
      </x:c>
      <x:c r="K81" s="9" t="str">
        <x:f>IF(A81="","",IF(COUNTIFS('Assets'!$A$8:$A$207,A81)&lt;&gt;1,"Duplicate asset ID",IF(COUNTIFS('Definitions'!$A$8:$A$207,B81)&lt;&gt;1,"Unknown / duplicate definition",IF(VLOOKUP(B81,'Definitions'!$A$8:$J$207,7,FALSE)&lt;&gt;"Yes","Use bulk stock for untracked parts",IF(C81="","Missing manufacturer serial",IF(COUNTIFS($B$8:$B$207,B81,$C$8:$C$207,C81)&lt;&gt;1,"Duplicate part and serial",IF(OR(D81="",AND(E81&lt;&gt;"Good",E81&lt;&gt;"Faulty",E81&lt;&gt;"Unknown")),"Set location and condition",IF(AND(F81&lt;&gt;"In stock",F81&lt;&gt;"Packed",F81&lt;&gt;"Installed",F81&lt;&gt;"In transit",F81&lt;&gt;"Quarantine",F81&lt;&gt;"Retired"),"Choose asset state",IF(AND(G81&lt;&gt;"Unallocated",G81&lt;&gt;"This plan",G81&lt;&gt;"Other plan"),"Choose allocation",IF(AND(H81&lt;&gt;"",G81&lt;&gt;"This plan"),"Assigned role needs This plan",IF(AND(H81&lt;&gt;"",COUNTIFS('Layout'!$A$8:$A$207,H81)&lt;&gt;1),"Unknown / duplicate role",IF(H81&lt;&gt;"",IF(VLOOKUP(H81,'Layout'!$A$8:$N$207,7,FALSE)&lt;&gt;B81,"Assigned role part mismatch","OK"),IF(AND(F81="Installed",G81="This plan"),"Set installed role","OK")))))))))))))</x:f>
      </x:c>
    </x:row>
    <x:row r="82" ht="22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1" t="str">
        <x:f>IF(A82="","",IF(AND(E82="Good",OR(AND(G82="Unallocated",F82="In stock"),AND(G82="This plan",OR(F82="In stock",F82="Packed",F82="Installed")))),1,0))</x:f>
      </x:c>
      <x:c r="K82" s="9" t="str">
        <x:f>IF(A82="","",IF(COUNTIFS('Assets'!$A$8:$A$207,A82)&lt;&gt;1,"Duplicate asset ID",IF(COUNTIFS('Definitions'!$A$8:$A$207,B82)&lt;&gt;1,"Unknown / duplicate definition",IF(VLOOKUP(B82,'Definitions'!$A$8:$J$207,7,FALSE)&lt;&gt;"Yes","Use bulk stock for untracked parts",IF(C82="","Missing manufacturer serial",IF(COUNTIFS($B$8:$B$207,B82,$C$8:$C$207,C82)&lt;&gt;1,"Duplicate part and serial",IF(OR(D82="",AND(E82&lt;&gt;"Good",E82&lt;&gt;"Faulty",E82&lt;&gt;"Unknown")),"Set location and condition",IF(AND(F82&lt;&gt;"In stock",F82&lt;&gt;"Packed",F82&lt;&gt;"Installed",F82&lt;&gt;"In transit",F82&lt;&gt;"Quarantine",F82&lt;&gt;"Retired"),"Choose asset state",IF(AND(G82&lt;&gt;"Unallocated",G82&lt;&gt;"This plan",G82&lt;&gt;"Other plan"),"Choose allocation",IF(AND(H82&lt;&gt;"",G82&lt;&gt;"This plan"),"Assigned role needs This plan",IF(AND(H82&lt;&gt;"",COUNTIFS('Layout'!$A$8:$A$207,H82)&lt;&gt;1),"Unknown / duplicate role",IF(H82&lt;&gt;"",IF(VLOOKUP(H82,'Layout'!$A$8:$N$207,7,FALSE)&lt;&gt;B82,"Assigned role part mismatch","OK"),IF(AND(F82="Installed",G82="This plan"),"Set installed role","OK")))))))))))))</x:f>
      </x:c>
    </x:row>
    <x:row r="83" ht="22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1" t="str">
        <x:f>IF(A83="","",IF(AND(E83="Good",OR(AND(G83="Unallocated",F83="In stock"),AND(G83="This plan",OR(F83="In stock",F83="Packed",F83="Installed")))),1,0))</x:f>
      </x:c>
      <x:c r="K83" s="9" t="str">
        <x:f>IF(A83="","",IF(COUNTIFS('Assets'!$A$8:$A$207,A83)&lt;&gt;1,"Duplicate asset ID",IF(COUNTIFS('Definitions'!$A$8:$A$207,B83)&lt;&gt;1,"Unknown / duplicate definition",IF(VLOOKUP(B83,'Definitions'!$A$8:$J$207,7,FALSE)&lt;&gt;"Yes","Use bulk stock for untracked parts",IF(C83="","Missing manufacturer serial",IF(COUNTIFS($B$8:$B$207,B83,$C$8:$C$207,C83)&lt;&gt;1,"Duplicate part and serial",IF(OR(D83="",AND(E83&lt;&gt;"Good",E83&lt;&gt;"Faulty",E83&lt;&gt;"Unknown")),"Set location and condition",IF(AND(F83&lt;&gt;"In stock",F83&lt;&gt;"Packed",F83&lt;&gt;"Installed",F83&lt;&gt;"In transit",F83&lt;&gt;"Quarantine",F83&lt;&gt;"Retired"),"Choose asset state",IF(AND(G83&lt;&gt;"Unallocated",G83&lt;&gt;"This plan",G83&lt;&gt;"Other plan"),"Choose allocation",IF(AND(H83&lt;&gt;"",G83&lt;&gt;"This plan"),"Assigned role needs This plan",IF(AND(H83&lt;&gt;"",COUNTIFS('Layout'!$A$8:$A$207,H83)&lt;&gt;1),"Unknown / duplicate role",IF(H83&lt;&gt;"",IF(VLOOKUP(H83,'Layout'!$A$8:$N$207,7,FALSE)&lt;&gt;B83,"Assigned role part mismatch","OK"),IF(AND(F83="Installed",G83="This plan"),"Set installed role","OK")))))))))))))</x:f>
      </x:c>
    </x:row>
    <x:row r="84" ht="22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1" t="str">
        <x:f>IF(A84="","",IF(AND(E84="Good",OR(AND(G84="Unallocated",F84="In stock"),AND(G84="This plan",OR(F84="In stock",F84="Packed",F84="Installed")))),1,0))</x:f>
      </x:c>
      <x:c r="K84" s="9" t="str">
        <x:f>IF(A84="","",IF(COUNTIFS('Assets'!$A$8:$A$207,A84)&lt;&gt;1,"Duplicate asset ID",IF(COUNTIFS('Definitions'!$A$8:$A$207,B84)&lt;&gt;1,"Unknown / duplicate definition",IF(VLOOKUP(B84,'Definitions'!$A$8:$J$207,7,FALSE)&lt;&gt;"Yes","Use bulk stock for untracked parts",IF(C84="","Missing manufacturer serial",IF(COUNTIFS($B$8:$B$207,B84,$C$8:$C$207,C84)&lt;&gt;1,"Duplicate part and serial",IF(OR(D84="",AND(E84&lt;&gt;"Good",E84&lt;&gt;"Faulty",E84&lt;&gt;"Unknown")),"Set location and condition",IF(AND(F84&lt;&gt;"In stock",F84&lt;&gt;"Packed",F84&lt;&gt;"Installed",F84&lt;&gt;"In transit",F84&lt;&gt;"Quarantine",F84&lt;&gt;"Retired"),"Choose asset state",IF(AND(G84&lt;&gt;"Unallocated",G84&lt;&gt;"This plan",G84&lt;&gt;"Other plan"),"Choose allocation",IF(AND(H84&lt;&gt;"",G84&lt;&gt;"This plan"),"Assigned role needs This plan",IF(AND(H84&lt;&gt;"",COUNTIFS('Layout'!$A$8:$A$207,H84)&lt;&gt;1),"Unknown / duplicate role",IF(H84&lt;&gt;"",IF(VLOOKUP(H84,'Layout'!$A$8:$N$207,7,FALSE)&lt;&gt;B84,"Assigned role part mismatch","OK"),IF(AND(F84="Installed",G84="This plan"),"Set installed role","OK")))))))))))))</x:f>
      </x:c>
    </x:row>
    <x:row r="85" ht="22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1" t="str">
        <x:f>IF(A85="","",IF(AND(E85="Good",OR(AND(G85="Unallocated",F85="In stock"),AND(G85="This plan",OR(F85="In stock",F85="Packed",F85="Installed")))),1,0))</x:f>
      </x:c>
      <x:c r="K85" s="9" t="str">
        <x:f>IF(A85="","",IF(COUNTIFS('Assets'!$A$8:$A$207,A85)&lt;&gt;1,"Duplicate asset ID",IF(COUNTIFS('Definitions'!$A$8:$A$207,B85)&lt;&gt;1,"Unknown / duplicate definition",IF(VLOOKUP(B85,'Definitions'!$A$8:$J$207,7,FALSE)&lt;&gt;"Yes","Use bulk stock for untracked parts",IF(C85="","Missing manufacturer serial",IF(COUNTIFS($B$8:$B$207,B85,$C$8:$C$207,C85)&lt;&gt;1,"Duplicate part and serial",IF(OR(D85="",AND(E85&lt;&gt;"Good",E85&lt;&gt;"Faulty",E85&lt;&gt;"Unknown")),"Set location and condition",IF(AND(F85&lt;&gt;"In stock",F85&lt;&gt;"Packed",F85&lt;&gt;"Installed",F85&lt;&gt;"In transit",F85&lt;&gt;"Quarantine",F85&lt;&gt;"Retired"),"Choose asset state",IF(AND(G85&lt;&gt;"Unallocated",G85&lt;&gt;"This plan",G85&lt;&gt;"Other plan"),"Choose allocation",IF(AND(H85&lt;&gt;"",G85&lt;&gt;"This plan"),"Assigned role needs This plan",IF(AND(H85&lt;&gt;"",COUNTIFS('Layout'!$A$8:$A$207,H85)&lt;&gt;1),"Unknown / duplicate role",IF(H85&lt;&gt;"",IF(VLOOKUP(H85,'Layout'!$A$8:$N$207,7,FALSE)&lt;&gt;B85,"Assigned role part mismatch","OK"),IF(AND(F85="Installed",G85="This plan"),"Set installed role","OK")))))))))))))</x:f>
      </x:c>
    </x:row>
    <x:row r="86" ht="22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1" t="str">
        <x:f>IF(A86="","",IF(AND(E86="Good",OR(AND(G86="Unallocated",F86="In stock"),AND(G86="This plan",OR(F86="In stock",F86="Packed",F86="Installed")))),1,0))</x:f>
      </x:c>
      <x:c r="K86" s="9" t="str">
        <x:f>IF(A86="","",IF(COUNTIFS('Assets'!$A$8:$A$207,A86)&lt;&gt;1,"Duplicate asset ID",IF(COUNTIFS('Definitions'!$A$8:$A$207,B86)&lt;&gt;1,"Unknown / duplicate definition",IF(VLOOKUP(B86,'Definitions'!$A$8:$J$207,7,FALSE)&lt;&gt;"Yes","Use bulk stock for untracked parts",IF(C86="","Missing manufacturer serial",IF(COUNTIFS($B$8:$B$207,B86,$C$8:$C$207,C86)&lt;&gt;1,"Duplicate part and serial",IF(OR(D86="",AND(E86&lt;&gt;"Good",E86&lt;&gt;"Faulty",E86&lt;&gt;"Unknown")),"Set location and condition",IF(AND(F86&lt;&gt;"In stock",F86&lt;&gt;"Packed",F86&lt;&gt;"Installed",F86&lt;&gt;"In transit",F86&lt;&gt;"Quarantine",F86&lt;&gt;"Retired"),"Choose asset state",IF(AND(G86&lt;&gt;"Unallocated",G86&lt;&gt;"This plan",G86&lt;&gt;"Other plan"),"Choose allocation",IF(AND(H86&lt;&gt;"",G86&lt;&gt;"This plan"),"Assigned role needs This plan",IF(AND(H86&lt;&gt;"",COUNTIFS('Layout'!$A$8:$A$207,H86)&lt;&gt;1),"Unknown / duplicate role",IF(H86&lt;&gt;"",IF(VLOOKUP(H86,'Layout'!$A$8:$N$207,7,FALSE)&lt;&gt;B86,"Assigned role part mismatch","OK"),IF(AND(F86="Installed",G86="This plan"),"Set installed role","OK")))))))))))))</x:f>
      </x:c>
    </x:row>
    <x:row r="87" ht="22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1" t="str">
        <x:f>IF(A87="","",IF(AND(E87="Good",OR(AND(G87="Unallocated",F87="In stock"),AND(G87="This plan",OR(F87="In stock",F87="Packed",F87="Installed")))),1,0))</x:f>
      </x:c>
      <x:c r="K87" s="9" t="str">
        <x:f>IF(A87="","",IF(COUNTIFS('Assets'!$A$8:$A$207,A87)&lt;&gt;1,"Duplicate asset ID",IF(COUNTIFS('Definitions'!$A$8:$A$207,B87)&lt;&gt;1,"Unknown / duplicate definition",IF(VLOOKUP(B87,'Definitions'!$A$8:$J$207,7,FALSE)&lt;&gt;"Yes","Use bulk stock for untracked parts",IF(C87="","Missing manufacturer serial",IF(COUNTIFS($B$8:$B$207,B87,$C$8:$C$207,C87)&lt;&gt;1,"Duplicate part and serial",IF(OR(D87="",AND(E87&lt;&gt;"Good",E87&lt;&gt;"Faulty",E87&lt;&gt;"Unknown")),"Set location and condition",IF(AND(F87&lt;&gt;"In stock",F87&lt;&gt;"Packed",F87&lt;&gt;"Installed",F87&lt;&gt;"In transit",F87&lt;&gt;"Quarantine",F87&lt;&gt;"Retired"),"Choose asset state",IF(AND(G87&lt;&gt;"Unallocated",G87&lt;&gt;"This plan",G87&lt;&gt;"Other plan"),"Choose allocation",IF(AND(H87&lt;&gt;"",G87&lt;&gt;"This plan"),"Assigned role needs This plan",IF(AND(H87&lt;&gt;"",COUNTIFS('Layout'!$A$8:$A$207,H87)&lt;&gt;1),"Unknown / duplicate role",IF(H87&lt;&gt;"",IF(VLOOKUP(H87,'Layout'!$A$8:$N$207,7,FALSE)&lt;&gt;B87,"Assigned role part mismatch","OK"),IF(AND(F87="Installed",G87="This plan"),"Set installed role","OK")))))))))))))</x:f>
      </x:c>
    </x:row>
    <x:row r="88" ht="22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1" t="str">
        <x:f>IF(A88="","",IF(AND(E88="Good",OR(AND(G88="Unallocated",F88="In stock"),AND(G88="This plan",OR(F88="In stock",F88="Packed",F88="Installed")))),1,0))</x:f>
      </x:c>
      <x:c r="K88" s="9" t="str">
        <x:f>IF(A88="","",IF(COUNTIFS('Assets'!$A$8:$A$207,A88)&lt;&gt;1,"Duplicate asset ID",IF(COUNTIFS('Definitions'!$A$8:$A$207,B88)&lt;&gt;1,"Unknown / duplicate definition",IF(VLOOKUP(B88,'Definitions'!$A$8:$J$207,7,FALSE)&lt;&gt;"Yes","Use bulk stock for untracked parts",IF(C88="","Missing manufacturer serial",IF(COUNTIFS($B$8:$B$207,B88,$C$8:$C$207,C88)&lt;&gt;1,"Duplicate part and serial",IF(OR(D88="",AND(E88&lt;&gt;"Good",E88&lt;&gt;"Faulty",E88&lt;&gt;"Unknown")),"Set location and condition",IF(AND(F88&lt;&gt;"In stock",F88&lt;&gt;"Packed",F88&lt;&gt;"Installed",F88&lt;&gt;"In transit",F88&lt;&gt;"Quarantine",F88&lt;&gt;"Retired"),"Choose asset state",IF(AND(G88&lt;&gt;"Unallocated",G88&lt;&gt;"This plan",G88&lt;&gt;"Other plan"),"Choose allocation",IF(AND(H88&lt;&gt;"",G88&lt;&gt;"This plan"),"Assigned role needs This plan",IF(AND(H88&lt;&gt;"",COUNTIFS('Layout'!$A$8:$A$207,H88)&lt;&gt;1),"Unknown / duplicate role",IF(H88&lt;&gt;"",IF(VLOOKUP(H88,'Layout'!$A$8:$N$207,7,FALSE)&lt;&gt;B88,"Assigned role part mismatch","OK"),IF(AND(F88="Installed",G88="This plan"),"Set installed role","OK")))))))))))))</x:f>
      </x:c>
    </x:row>
    <x:row r="89" ht="22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1" t="str">
        <x:f>IF(A89="","",IF(AND(E89="Good",OR(AND(G89="Unallocated",F89="In stock"),AND(G89="This plan",OR(F89="In stock",F89="Packed",F89="Installed")))),1,0))</x:f>
      </x:c>
      <x:c r="K89" s="9" t="str">
        <x:f>IF(A89="","",IF(COUNTIFS('Assets'!$A$8:$A$207,A89)&lt;&gt;1,"Duplicate asset ID",IF(COUNTIFS('Definitions'!$A$8:$A$207,B89)&lt;&gt;1,"Unknown / duplicate definition",IF(VLOOKUP(B89,'Definitions'!$A$8:$J$207,7,FALSE)&lt;&gt;"Yes","Use bulk stock for untracked parts",IF(C89="","Missing manufacturer serial",IF(COUNTIFS($B$8:$B$207,B89,$C$8:$C$207,C89)&lt;&gt;1,"Duplicate part and serial",IF(OR(D89="",AND(E89&lt;&gt;"Good",E89&lt;&gt;"Faulty",E89&lt;&gt;"Unknown")),"Set location and condition",IF(AND(F89&lt;&gt;"In stock",F89&lt;&gt;"Packed",F89&lt;&gt;"Installed",F89&lt;&gt;"In transit",F89&lt;&gt;"Quarantine",F89&lt;&gt;"Retired"),"Choose asset state",IF(AND(G89&lt;&gt;"Unallocated",G89&lt;&gt;"This plan",G89&lt;&gt;"Other plan"),"Choose allocation",IF(AND(H89&lt;&gt;"",G89&lt;&gt;"This plan"),"Assigned role needs This plan",IF(AND(H89&lt;&gt;"",COUNTIFS('Layout'!$A$8:$A$207,H89)&lt;&gt;1),"Unknown / duplicate role",IF(H89&lt;&gt;"",IF(VLOOKUP(H89,'Layout'!$A$8:$N$207,7,FALSE)&lt;&gt;B89,"Assigned role part mismatch","OK"),IF(AND(F89="Installed",G89="This plan"),"Set installed role","OK")))))))))))))</x:f>
      </x:c>
    </x:row>
    <x:row r="90" ht="22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1" t="str">
        <x:f>IF(A90="","",IF(AND(E90="Good",OR(AND(G90="Unallocated",F90="In stock"),AND(G90="This plan",OR(F90="In stock",F90="Packed",F90="Installed")))),1,0))</x:f>
      </x:c>
      <x:c r="K90" s="9" t="str">
        <x:f>IF(A90="","",IF(COUNTIFS('Assets'!$A$8:$A$207,A90)&lt;&gt;1,"Duplicate asset ID",IF(COUNTIFS('Definitions'!$A$8:$A$207,B90)&lt;&gt;1,"Unknown / duplicate definition",IF(VLOOKUP(B90,'Definitions'!$A$8:$J$207,7,FALSE)&lt;&gt;"Yes","Use bulk stock for untracked parts",IF(C90="","Missing manufacturer serial",IF(COUNTIFS($B$8:$B$207,B90,$C$8:$C$207,C90)&lt;&gt;1,"Duplicate part and serial",IF(OR(D90="",AND(E90&lt;&gt;"Good",E90&lt;&gt;"Faulty",E90&lt;&gt;"Unknown")),"Set location and condition",IF(AND(F90&lt;&gt;"In stock",F90&lt;&gt;"Packed",F90&lt;&gt;"Installed",F90&lt;&gt;"In transit",F90&lt;&gt;"Quarantine",F90&lt;&gt;"Retired"),"Choose asset state",IF(AND(G90&lt;&gt;"Unallocated",G90&lt;&gt;"This plan",G90&lt;&gt;"Other plan"),"Choose allocation",IF(AND(H90&lt;&gt;"",G90&lt;&gt;"This plan"),"Assigned role needs This plan",IF(AND(H90&lt;&gt;"",COUNTIFS('Layout'!$A$8:$A$207,H90)&lt;&gt;1),"Unknown / duplicate role",IF(H90&lt;&gt;"",IF(VLOOKUP(H90,'Layout'!$A$8:$N$207,7,FALSE)&lt;&gt;B90,"Assigned role part mismatch","OK"),IF(AND(F90="Installed",G90="This plan"),"Set installed role","OK")))))))))))))</x:f>
      </x:c>
    </x:row>
    <x:row r="91" ht="22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1" t="str">
        <x:f>IF(A91="","",IF(AND(E91="Good",OR(AND(G91="Unallocated",F91="In stock"),AND(G91="This plan",OR(F91="In stock",F91="Packed",F91="Installed")))),1,0))</x:f>
      </x:c>
      <x:c r="K91" s="9" t="str">
        <x:f>IF(A91="","",IF(COUNTIFS('Assets'!$A$8:$A$207,A91)&lt;&gt;1,"Duplicate asset ID",IF(COUNTIFS('Definitions'!$A$8:$A$207,B91)&lt;&gt;1,"Unknown / duplicate definition",IF(VLOOKUP(B91,'Definitions'!$A$8:$J$207,7,FALSE)&lt;&gt;"Yes","Use bulk stock for untracked parts",IF(C91="","Missing manufacturer serial",IF(COUNTIFS($B$8:$B$207,B91,$C$8:$C$207,C91)&lt;&gt;1,"Duplicate part and serial",IF(OR(D91="",AND(E91&lt;&gt;"Good",E91&lt;&gt;"Faulty",E91&lt;&gt;"Unknown")),"Set location and condition",IF(AND(F91&lt;&gt;"In stock",F91&lt;&gt;"Packed",F91&lt;&gt;"Installed",F91&lt;&gt;"In transit",F91&lt;&gt;"Quarantine",F91&lt;&gt;"Retired"),"Choose asset state",IF(AND(G91&lt;&gt;"Unallocated",G91&lt;&gt;"This plan",G91&lt;&gt;"Other plan"),"Choose allocation",IF(AND(H91&lt;&gt;"",G91&lt;&gt;"This plan"),"Assigned role needs This plan",IF(AND(H91&lt;&gt;"",COUNTIFS('Layout'!$A$8:$A$207,H91)&lt;&gt;1),"Unknown / duplicate role",IF(H91&lt;&gt;"",IF(VLOOKUP(H91,'Layout'!$A$8:$N$207,7,FALSE)&lt;&gt;B91,"Assigned role part mismatch","OK"),IF(AND(F91="Installed",G91="This plan"),"Set installed role","OK")))))))))))))</x:f>
      </x:c>
    </x:row>
    <x:row r="92" ht="22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1" t="str">
        <x:f>IF(A92="","",IF(AND(E92="Good",OR(AND(G92="Unallocated",F92="In stock"),AND(G92="This plan",OR(F92="In stock",F92="Packed",F92="Installed")))),1,0))</x:f>
      </x:c>
      <x:c r="K92" s="9" t="str">
        <x:f>IF(A92="","",IF(COUNTIFS('Assets'!$A$8:$A$207,A92)&lt;&gt;1,"Duplicate asset ID",IF(COUNTIFS('Definitions'!$A$8:$A$207,B92)&lt;&gt;1,"Unknown / duplicate definition",IF(VLOOKUP(B92,'Definitions'!$A$8:$J$207,7,FALSE)&lt;&gt;"Yes","Use bulk stock for untracked parts",IF(C92="","Missing manufacturer serial",IF(COUNTIFS($B$8:$B$207,B92,$C$8:$C$207,C92)&lt;&gt;1,"Duplicate part and serial",IF(OR(D92="",AND(E92&lt;&gt;"Good",E92&lt;&gt;"Faulty",E92&lt;&gt;"Unknown")),"Set location and condition",IF(AND(F92&lt;&gt;"In stock",F92&lt;&gt;"Packed",F92&lt;&gt;"Installed",F92&lt;&gt;"In transit",F92&lt;&gt;"Quarantine",F92&lt;&gt;"Retired"),"Choose asset state",IF(AND(G92&lt;&gt;"Unallocated",G92&lt;&gt;"This plan",G92&lt;&gt;"Other plan"),"Choose allocation",IF(AND(H92&lt;&gt;"",G92&lt;&gt;"This plan"),"Assigned role needs This plan",IF(AND(H92&lt;&gt;"",COUNTIFS('Layout'!$A$8:$A$207,H92)&lt;&gt;1),"Unknown / duplicate role",IF(H92&lt;&gt;"",IF(VLOOKUP(H92,'Layout'!$A$8:$N$207,7,FALSE)&lt;&gt;B92,"Assigned role part mismatch","OK"),IF(AND(F92="Installed",G92="This plan"),"Set installed role","OK")))))))))))))</x:f>
      </x:c>
    </x:row>
    <x:row r="93" ht="22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1" t="str">
        <x:f>IF(A93="","",IF(AND(E93="Good",OR(AND(G93="Unallocated",F93="In stock"),AND(G93="This plan",OR(F93="In stock",F93="Packed",F93="Installed")))),1,0))</x:f>
      </x:c>
      <x:c r="K93" s="9" t="str">
        <x:f>IF(A93="","",IF(COUNTIFS('Assets'!$A$8:$A$207,A93)&lt;&gt;1,"Duplicate asset ID",IF(COUNTIFS('Definitions'!$A$8:$A$207,B93)&lt;&gt;1,"Unknown / duplicate definition",IF(VLOOKUP(B93,'Definitions'!$A$8:$J$207,7,FALSE)&lt;&gt;"Yes","Use bulk stock for untracked parts",IF(C93="","Missing manufacturer serial",IF(COUNTIFS($B$8:$B$207,B93,$C$8:$C$207,C93)&lt;&gt;1,"Duplicate part and serial",IF(OR(D93="",AND(E93&lt;&gt;"Good",E93&lt;&gt;"Faulty",E93&lt;&gt;"Unknown")),"Set location and condition",IF(AND(F93&lt;&gt;"In stock",F93&lt;&gt;"Packed",F93&lt;&gt;"Installed",F93&lt;&gt;"In transit",F93&lt;&gt;"Quarantine",F93&lt;&gt;"Retired"),"Choose asset state",IF(AND(G93&lt;&gt;"Unallocated",G93&lt;&gt;"This plan",G93&lt;&gt;"Other plan"),"Choose allocation",IF(AND(H93&lt;&gt;"",G93&lt;&gt;"This plan"),"Assigned role needs This plan",IF(AND(H93&lt;&gt;"",COUNTIFS('Layout'!$A$8:$A$207,H93)&lt;&gt;1),"Unknown / duplicate role",IF(H93&lt;&gt;"",IF(VLOOKUP(H93,'Layout'!$A$8:$N$207,7,FALSE)&lt;&gt;B93,"Assigned role part mismatch","OK"),IF(AND(F93="Installed",G93="This plan"),"Set installed role","OK")))))))))))))</x:f>
      </x:c>
    </x:row>
    <x:row r="94" ht="22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1" t="str">
        <x:f>IF(A94="","",IF(AND(E94="Good",OR(AND(G94="Unallocated",F94="In stock"),AND(G94="This plan",OR(F94="In stock",F94="Packed",F94="Installed")))),1,0))</x:f>
      </x:c>
      <x:c r="K94" s="9" t="str">
        <x:f>IF(A94="","",IF(COUNTIFS('Assets'!$A$8:$A$207,A94)&lt;&gt;1,"Duplicate asset ID",IF(COUNTIFS('Definitions'!$A$8:$A$207,B94)&lt;&gt;1,"Unknown / duplicate definition",IF(VLOOKUP(B94,'Definitions'!$A$8:$J$207,7,FALSE)&lt;&gt;"Yes","Use bulk stock for untracked parts",IF(C94="","Missing manufacturer serial",IF(COUNTIFS($B$8:$B$207,B94,$C$8:$C$207,C94)&lt;&gt;1,"Duplicate part and serial",IF(OR(D94="",AND(E94&lt;&gt;"Good",E94&lt;&gt;"Faulty",E94&lt;&gt;"Unknown")),"Set location and condition",IF(AND(F94&lt;&gt;"In stock",F94&lt;&gt;"Packed",F94&lt;&gt;"Installed",F94&lt;&gt;"In transit",F94&lt;&gt;"Quarantine",F94&lt;&gt;"Retired"),"Choose asset state",IF(AND(G94&lt;&gt;"Unallocated",G94&lt;&gt;"This plan",G94&lt;&gt;"Other plan"),"Choose allocation",IF(AND(H94&lt;&gt;"",G94&lt;&gt;"This plan"),"Assigned role needs This plan",IF(AND(H94&lt;&gt;"",COUNTIFS('Layout'!$A$8:$A$207,H94)&lt;&gt;1),"Unknown / duplicate role",IF(H94&lt;&gt;"",IF(VLOOKUP(H94,'Layout'!$A$8:$N$207,7,FALSE)&lt;&gt;B94,"Assigned role part mismatch","OK"),IF(AND(F94="Installed",G94="This plan"),"Set installed role","OK")))))))))))))</x:f>
      </x:c>
    </x:row>
    <x:row r="95" ht="22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1" t="str">
        <x:f>IF(A95="","",IF(AND(E95="Good",OR(AND(G95="Unallocated",F95="In stock"),AND(G95="This plan",OR(F95="In stock",F95="Packed",F95="Installed")))),1,0))</x:f>
      </x:c>
      <x:c r="K95" s="9" t="str">
        <x:f>IF(A95="","",IF(COUNTIFS('Assets'!$A$8:$A$207,A95)&lt;&gt;1,"Duplicate asset ID",IF(COUNTIFS('Definitions'!$A$8:$A$207,B95)&lt;&gt;1,"Unknown / duplicate definition",IF(VLOOKUP(B95,'Definitions'!$A$8:$J$207,7,FALSE)&lt;&gt;"Yes","Use bulk stock for untracked parts",IF(C95="","Missing manufacturer serial",IF(COUNTIFS($B$8:$B$207,B95,$C$8:$C$207,C95)&lt;&gt;1,"Duplicate part and serial",IF(OR(D95="",AND(E95&lt;&gt;"Good",E95&lt;&gt;"Faulty",E95&lt;&gt;"Unknown")),"Set location and condition",IF(AND(F95&lt;&gt;"In stock",F95&lt;&gt;"Packed",F95&lt;&gt;"Installed",F95&lt;&gt;"In transit",F95&lt;&gt;"Quarantine",F95&lt;&gt;"Retired"),"Choose asset state",IF(AND(G95&lt;&gt;"Unallocated",G95&lt;&gt;"This plan",G95&lt;&gt;"Other plan"),"Choose allocation",IF(AND(H95&lt;&gt;"",G95&lt;&gt;"This plan"),"Assigned role needs This plan",IF(AND(H95&lt;&gt;"",COUNTIFS('Layout'!$A$8:$A$207,H95)&lt;&gt;1),"Unknown / duplicate role",IF(H95&lt;&gt;"",IF(VLOOKUP(H95,'Layout'!$A$8:$N$207,7,FALSE)&lt;&gt;B95,"Assigned role part mismatch","OK"),IF(AND(F95="Installed",G95="This plan"),"Set installed role","OK")))))))))))))</x:f>
      </x:c>
    </x:row>
    <x:row r="96" ht="22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1" t="str">
        <x:f>IF(A96="","",IF(AND(E96="Good",OR(AND(G96="Unallocated",F96="In stock"),AND(G96="This plan",OR(F96="In stock",F96="Packed",F96="Installed")))),1,0))</x:f>
      </x:c>
      <x:c r="K96" s="9" t="str">
        <x:f>IF(A96="","",IF(COUNTIFS('Assets'!$A$8:$A$207,A96)&lt;&gt;1,"Duplicate asset ID",IF(COUNTIFS('Definitions'!$A$8:$A$207,B96)&lt;&gt;1,"Unknown / duplicate definition",IF(VLOOKUP(B96,'Definitions'!$A$8:$J$207,7,FALSE)&lt;&gt;"Yes","Use bulk stock for untracked parts",IF(C96="","Missing manufacturer serial",IF(COUNTIFS($B$8:$B$207,B96,$C$8:$C$207,C96)&lt;&gt;1,"Duplicate part and serial",IF(OR(D96="",AND(E96&lt;&gt;"Good",E96&lt;&gt;"Faulty",E96&lt;&gt;"Unknown")),"Set location and condition",IF(AND(F96&lt;&gt;"In stock",F96&lt;&gt;"Packed",F96&lt;&gt;"Installed",F96&lt;&gt;"In transit",F96&lt;&gt;"Quarantine",F96&lt;&gt;"Retired"),"Choose asset state",IF(AND(G96&lt;&gt;"Unallocated",G96&lt;&gt;"This plan",G96&lt;&gt;"Other plan"),"Choose allocation",IF(AND(H96&lt;&gt;"",G96&lt;&gt;"This plan"),"Assigned role needs This plan",IF(AND(H96&lt;&gt;"",COUNTIFS('Layout'!$A$8:$A$207,H96)&lt;&gt;1),"Unknown / duplicate role",IF(H96&lt;&gt;"",IF(VLOOKUP(H96,'Layout'!$A$8:$N$207,7,FALSE)&lt;&gt;B96,"Assigned role part mismatch","OK"),IF(AND(F96="Installed",G96="This plan"),"Set installed role","OK")))))))))))))</x:f>
      </x:c>
    </x:row>
    <x:row r="97" ht="22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1" t="str">
        <x:f>IF(A97="","",IF(AND(E97="Good",OR(AND(G97="Unallocated",F97="In stock"),AND(G97="This plan",OR(F97="In stock",F97="Packed",F97="Installed")))),1,0))</x:f>
      </x:c>
      <x:c r="K97" s="9" t="str">
        <x:f>IF(A97="","",IF(COUNTIFS('Assets'!$A$8:$A$207,A97)&lt;&gt;1,"Duplicate asset ID",IF(COUNTIFS('Definitions'!$A$8:$A$207,B97)&lt;&gt;1,"Unknown / duplicate definition",IF(VLOOKUP(B97,'Definitions'!$A$8:$J$207,7,FALSE)&lt;&gt;"Yes","Use bulk stock for untracked parts",IF(C97="","Missing manufacturer serial",IF(COUNTIFS($B$8:$B$207,B97,$C$8:$C$207,C97)&lt;&gt;1,"Duplicate part and serial",IF(OR(D97="",AND(E97&lt;&gt;"Good",E97&lt;&gt;"Faulty",E97&lt;&gt;"Unknown")),"Set location and condition",IF(AND(F97&lt;&gt;"In stock",F97&lt;&gt;"Packed",F97&lt;&gt;"Installed",F97&lt;&gt;"In transit",F97&lt;&gt;"Quarantine",F97&lt;&gt;"Retired"),"Choose asset state",IF(AND(G97&lt;&gt;"Unallocated",G97&lt;&gt;"This plan",G97&lt;&gt;"Other plan"),"Choose allocation",IF(AND(H97&lt;&gt;"",G97&lt;&gt;"This plan"),"Assigned role needs This plan",IF(AND(H97&lt;&gt;"",COUNTIFS('Layout'!$A$8:$A$207,H97)&lt;&gt;1),"Unknown / duplicate role",IF(H97&lt;&gt;"",IF(VLOOKUP(H97,'Layout'!$A$8:$N$207,7,FALSE)&lt;&gt;B97,"Assigned role part mismatch","OK"),IF(AND(F97="Installed",G97="This plan"),"Set installed role","OK")))))))))))))</x:f>
      </x:c>
    </x:row>
    <x:row r="98" ht="22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1" t="str">
        <x:f>IF(A98="","",IF(AND(E98="Good",OR(AND(G98="Unallocated",F98="In stock"),AND(G98="This plan",OR(F98="In stock",F98="Packed",F98="Installed")))),1,0))</x:f>
      </x:c>
      <x:c r="K98" s="9" t="str">
        <x:f>IF(A98="","",IF(COUNTIFS('Assets'!$A$8:$A$207,A98)&lt;&gt;1,"Duplicate asset ID",IF(COUNTIFS('Definitions'!$A$8:$A$207,B98)&lt;&gt;1,"Unknown / duplicate definition",IF(VLOOKUP(B98,'Definitions'!$A$8:$J$207,7,FALSE)&lt;&gt;"Yes","Use bulk stock for untracked parts",IF(C98="","Missing manufacturer serial",IF(COUNTIFS($B$8:$B$207,B98,$C$8:$C$207,C98)&lt;&gt;1,"Duplicate part and serial",IF(OR(D98="",AND(E98&lt;&gt;"Good",E98&lt;&gt;"Faulty",E98&lt;&gt;"Unknown")),"Set location and condition",IF(AND(F98&lt;&gt;"In stock",F98&lt;&gt;"Packed",F98&lt;&gt;"Installed",F98&lt;&gt;"In transit",F98&lt;&gt;"Quarantine",F98&lt;&gt;"Retired"),"Choose asset state",IF(AND(G98&lt;&gt;"Unallocated",G98&lt;&gt;"This plan",G98&lt;&gt;"Other plan"),"Choose allocation",IF(AND(H98&lt;&gt;"",G98&lt;&gt;"This plan"),"Assigned role needs This plan",IF(AND(H98&lt;&gt;"",COUNTIFS('Layout'!$A$8:$A$207,H98)&lt;&gt;1),"Unknown / duplicate role",IF(H98&lt;&gt;"",IF(VLOOKUP(H98,'Layout'!$A$8:$N$207,7,FALSE)&lt;&gt;B98,"Assigned role part mismatch","OK"),IF(AND(F98="Installed",G98="This plan"),"Set installed role","OK")))))))))))))</x:f>
      </x:c>
    </x:row>
    <x:row r="99" ht="22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1" t="str">
        <x:f>IF(A99="","",IF(AND(E99="Good",OR(AND(G99="Unallocated",F99="In stock"),AND(G99="This plan",OR(F99="In stock",F99="Packed",F99="Installed")))),1,0))</x:f>
      </x:c>
      <x:c r="K99" s="9" t="str">
        <x:f>IF(A99="","",IF(COUNTIFS('Assets'!$A$8:$A$207,A99)&lt;&gt;1,"Duplicate asset ID",IF(COUNTIFS('Definitions'!$A$8:$A$207,B99)&lt;&gt;1,"Unknown / duplicate definition",IF(VLOOKUP(B99,'Definitions'!$A$8:$J$207,7,FALSE)&lt;&gt;"Yes","Use bulk stock for untracked parts",IF(C99="","Missing manufacturer serial",IF(COUNTIFS($B$8:$B$207,B99,$C$8:$C$207,C99)&lt;&gt;1,"Duplicate part and serial",IF(OR(D99="",AND(E99&lt;&gt;"Good",E99&lt;&gt;"Faulty",E99&lt;&gt;"Unknown")),"Set location and condition",IF(AND(F99&lt;&gt;"In stock",F99&lt;&gt;"Packed",F99&lt;&gt;"Installed",F99&lt;&gt;"In transit",F99&lt;&gt;"Quarantine",F99&lt;&gt;"Retired"),"Choose asset state",IF(AND(G99&lt;&gt;"Unallocated",G99&lt;&gt;"This plan",G99&lt;&gt;"Other plan"),"Choose allocation",IF(AND(H99&lt;&gt;"",G99&lt;&gt;"This plan"),"Assigned role needs This plan",IF(AND(H99&lt;&gt;"",COUNTIFS('Layout'!$A$8:$A$207,H99)&lt;&gt;1),"Unknown / duplicate role",IF(H99&lt;&gt;"",IF(VLOOKUP(H99,'Layout'!$A$8:$N$207,7,FALSE)&lt;&gt;B99,"Assigned role part mismatch","OK"),IF(AND(F99="Installed",G99="This plan"),"Set installed role","OK")))))))))))))</x:f>
      </x:c>
    </x:row>
    <x:row r="100" ht="22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1" t="str">
        <x:f>IF(A100="","",IF(AND(E100="Good",OR(AND(G100="Unallocated",F100="In stock"),AND(G100="This plan",OR(F100="In stock",F100="Packed",F100="Installed")))),1,0))</x:f>
      </x:c>
      <x:c r="K100" s="9" t="str">
        <x:f>IF(A100="","",IF(COUNTIFS('Assets'!$A$8:$A$207,A100)&lt;&gt;1,"Duplicate asset ID",IF(COUNTIFS('Definitions'!$A$8:$A$207,B100)&lt;&gt;1,"Unknown / duplicate definition",IF(VLOOKUP(B100,'Definitions'!$A$8:$J$207,7,FALSE)&lt;&gt;"Yes","Use bulk stock for untracked parts",IF(C100="","Missing manufacturer serial",IF(COUNTIFS($B$8:$B$207,B100,$C$8:$C$207,C100)&lt;&gt;1,"Duplicate part and serial",IF(OR(D100="",AND(E100&lt;&gt;"Good",E100&lt;&gt;"Faulty",E100&lt;&gt;"Unknown")),"Set location and condition",IF(AND(F100&lt;&gt;"In stock",F100&lt;&gt;"Packed",F100&lt;&gt;"Installed",F100&lt;&gt;"In transit",F100&lt;&gt;"Quarantine",F100&lt;&gt;"Retired"),"Choose asset state",IF(AND(G100&lt;&gt;"Unallocated",G100&lt;&gt;"This plan",G100&lt;&gt;"Other plan"),"Choose allocation",IF(AND(H100&lt;&gt;"",G100&lt;&gt;"This plan"),"Assigned role needs This plan",IF(AND(H100&lt;&gt;"",COUNTIFS('Layout'!$A$8:$A$207,H100)&lt;&gt;1),"Unknown / duplicate role",IF(H100&lt;&gt;"",IF(VLOOKUP(H100,'Layout'!$A$8:$N$207,7,FALSE)&lt;&gt;B100,"Assigned role part mismatch","OK"),IF(AND(F100="Installed",G100="This plan"),"Set installed role","OK")))))))))))))</x:f>
      </x:c>
    </x:row>
    <x:row r="101" ht="22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1" t="str">
        <x:f>IF(A101="","",IF(AND(E101="Good",OR(AND(G101="Unallocated",F101="In stock"),AND(G101="This plan",OR(F101="In stock",F101="Packed",F101="Installed")))),1,0))</x:f>
      </x:c>
      <x:c r="K101" s="9" t="str">
        <x:f>IF(A101="","",IF(COUNTIFS('Assets'!$A$8:$A$207,A101)&lt;&gt;1,"Duplicate asset ID",IF(COUNTIFS('Definitions'!$A$8:$A$207,B101)&lt;&gt;1,"Unknown / duplicate definition",IF(VLOOKUP(B101,'Definitions'!$A$8:$J$207,7,FALSE)&lt;&gt;"Yes","Use bulk stock for untracked parts",IF(C101="","Missing manufacturer serial",IF(COUNTIFS($B$8:$B$207,B101,$C$8:$C$207,C101)&lt;&gt;1,"Duplicate part and serial",IF(OR(D101="",AND(E101&lt;&gt;"Good",E101&lt;&gt;"Faulty",E101&lt;&gt;"Unknown")),"Set location and condition",IF(AND(F101&lt;&gt;"In stock",F101&lt;&gt;"Packed",F101&lt;&gt;"Installed",F101&lt;&gt;"In transit",F101&lt;&gt;"Quarantine",F101&lt;&gt;"Retired"),"Choose asset state",IF(AND(G101&lt;&gt;"Unallocated",G101&lt;&gt;"This plan",G101&lt;&gt;"Other plan"),"Choose allocation",IF(AND(H101&lt;&gt;"",G101&lt;&gt;"This plan"),"Assigned role needs This plan",IF(AND(H101&lt;&gt;"",COUNTIFS('Layout'!$A$8:$A$207,H101)&lt;&gt;1),"Unknown / duplicate role",IF(H101&lt;&gt;"",IF(VLOOKUP(H101,'Layout'!$A$8:$N$207,7,FALSE)&lt;&gt;B101,"Assigned role part mismatch","OK"),IF(AND(F101="Installed",G101="This plan"),"Set installed role","OK")))))))))))))</x:f>
      </x:c>
    </x:row>
    <x:row r="102" ht="22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1" t="str">
        <x:f>IF(A102="","",IF(AND(E102="Good",OR(AND(G102="Unallocated",F102="In stock"),AND(G102="This plan",OR(F102="In stock",F102="Packed",F102="Installed")))),1,0))</x:f>
      </x:c>
      <x:c r="K102" s="9" t="str">
        <x:f>IF(A102="","",IF(COUNTIFS('Assets'!$A$8:$A$207,A102)&lt;&gt;1,"Duplicate asset ID",IF(COUNTIFS('Definitions'!$A$8:$A$207,B102)&lt;&gt;1,"Unknown / duplicate definition",IF(VLOOKUP(B102,'Definitions'!$A$8:$J$207,7,FALSE)&lt;&gt;"Yes","Use bulk stock for untracked parts",IF(C102="","Missing manufacturer serial",IF(COUNTIFS($B$8:$B$207,B102,$C$8:$C$207,C102)&lt;&gt;1,"Duplicate part and serial",IF(OR(D102="",AND(E102&lt;&gt;"Good",E102&lt;&gt;"Faulty",E102&lt;&gt;"Unknown")),"Set location and condition",IF(AND(F102&lt;&gt;"In stock",F102&lt;&gt;"Packed",F102&lt;&gt;"Installed",F102&lt;&gt;"In transit",F102&lt;&gt;"Quarantine",F102&lt;&gt;"Retired"),"Choose asset state",IF(AND(G102&lt;&gt;"Unallocated",G102&lt;&gt;"This plan",G102&lt;&gt;"Other plan"),"Choose allocation",IF(AND(H102&lt;&gt;"",G102&lt;&gt;"This plan"),"Assigned role needs This plan",IF(AND(H102&lt;&gt;"",COUNTIFS('Layout'!$A$8:$A$207,H102)&lt;&gt;1),"Unknown / duplicate role",IF(H102&lt;&gt;"",IF(VLOOKUP(H102,'Layout'!$A$8:$N$207,7,FALSE)&lt;&gt;B102,"Assigned role part mismatch","OK"),IF(AND(F102="Installed",G102="This plan"),"Set installed role","OK")))))))))))))</x:f>
      </x:c>
    </x:row>
    <x:row r="103" ht="22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1" t="str">
        <x:f>IF(A103="","",IF(AND(E103="Good",OR(AND(G103="Unallocated",F103="In stock"),AND(G103="This plan",OR(F103="In stock",F103="Packed",F103="Installed")))),1,0))</x:f>
      </x:c>
      <x:c r="K103" s="9" t="str">
        <x:f>IF(A103="","",IF(COUNTIFS('Assets'!$A$8:$A$207,A103)&lt;&gt;1,"Duplicate asset ID",IF(COUNTIFS('Definitions'!$A$8:$A$207,B103)&lt;&gt;1,"Unknown / duplicate definition",IF(VLOOKUP(B103,'Definitions'!$A$8:$J$207,7,FALSE)&lt;&gt;"Yes","Use bulk stock for untracked parts",IF(C103="","Missing manufacturer serial",IF(COUNTIFS($B$8:$B$207,B103,$C$8:$C$207,C103)&lt;&gt;1,"Duplicate part and serial",IF(OR(D103="",AND(E103&lt;&gt;"Good",E103&lt;&gt;"Faulty",E103&lt;&gt;"Unknown")),"Set location and condition",IF(AND(F103&lt;&gt;"In stock",F103&lt;&gt;"Packed",F103&lt;&gt;"Installed",F103&lt;&gt;"In transit",F103&lt;&gt;"Quarantine",F103&lt;&gt;"Retired"),"Choose asset state",IF(AND(G103&lt;&gt;"Unallocated",G103&lt;&gt;"This plan",G103&lt;&gt;"Other plan"),"Choose allocation",IF(AND(H103&lt;&gt;"",G103&lt;&gt;"This plan"),"Assigned role needs This plan",IF(AND(H103&lt;&gt;"",COUNTIFS('Layout'!$A$8:$A$207,H103)&lt;&gt;1),"Unknown / duplicate role",IF(H103&lt;&gt;"",IF(VLOOKUP(H103,'Layout'!$A$8:$N$207,7,FALSE)&lt;&gt;B103,"Assigned role part mismatch","OK"),IF(AND(F103="Installed",G103="This plan"),"Set installed role","OK")))))))))))))</x:f>
      </x:c>
    </x:row>
    <x:row r="104" ht="22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1" t="str">
        <x:f>IF(A104="","",IF(AND(E104="Good",OR(AND(G104="Unallocated",F104="In stock"),AND(G104="This plan",OR(F104="In stock",F104="Packed",F104="Installed")))),1,0))</x:f>
      </x:c>
      <x:c r="K104" s="9" t="str">
        <x:f>IF(A104="","",IF(COUNTIFS('Assets'!$A$8:$A$207,A104)&lt;&gt;1,"Duplicate asset ID",IF(COUNTIFS('Definitions'!$A$8:$A$207,B104)&lt;&gt;1,"Unknown / duplicate definition",IF(VLOOKUP(B104,'Definitions'!$A$8:$J$207,7,FALSE)&lt;&gt;"Yes","Use bulk stock for untracked parts",IF(C104="","Missing manufacturer serial",IF(COUNTIFS($B$8:$B$207,B104,$C$8:$C$207,C104)&lt;&gt;1,"Duplicate part and serial",IF(OR(D104="",AND(E104&lt;&gt;"Good",E104&lt;&gt;"Faulty",E104&lt;&gt;"Unknown")),"Set location and condition",IF(AND(F104&lt;&gt;"In stock",F104&lt;&gt;"Packed",F104&lt;&gt;"Installed",F104&lt;&gt;"In transit",F104&lt;&gt;"Quarantine",F104&lt;&gt;"Retired"),"Choose asset state",IF(AND(G104&lt;&gt;"Unallocated",G104&lt;&gt;"This plan",G104&lt;&gt;"Other plan"),"Choose allocation",IF(AND(H104&lt;&gt;"",G104&lt;&gt;"This plan"),"Assigned role needs This plan",IF(AND(H104&lt;&gt;"",COUNTIFS('Layout'!$A$8:$A$207,H104)&lt;&gt;1),"Unknown / duplicate role",IF(H104&lt;&gt;"",IF(VLOOKUP(H104,'Layout'!$A$8:$N$207,7,FALSE)&lt;&gt;B104,"Assigned role part mismatch","OK"),IF(AND(F104="Installed",G104="This plan"),"Set installed role","OK")))))))))))))</x:f>
      </x:c>
    </x:row>
    <x:row r="105" ht="22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1" t="str">
        <x:f>IF(A105="","",IF(AND(E105="Good",OR(AND(G105="Unallocated",F105="In stock"),AND(G105="This plan",OR(F105="In stock",F105="Packed",F105="Installed")))),1,0))</x:f>
      </x:c>
      <x:c r="K105" s="9" t="str">
        <x:f>IF(A105="","",IF(COUNTIFS('Assets'!$A$8:$A$207,A105)&lt;&gt;1,"Duplicate asset ID",IF(COUNTIFS('Definitions'!$A$8:$A$207,B105)&lt;&gt;1,"Unknown / duplicate definition",IF(VLOOKUP(B105,'Definitions'!$A$8:$J$207,7,FALSE)&lt;&gt;"Yes","Use bulk stock for untracked parts",IF(C105="","Missing manufacturer serial",IF(COUNTIFS($B$8:$B$207,B105,$C$8:$C$207,C105)&lt;&gt;1,"Duplicate part and serial",IF(OR(D105="",AND(E105&lt;&gt;"Good",E105&lt;&gt;"Faulty",E105&lt;&gt;"Unknown")),"Set location and condition",IF(AND(F105&lt;&gt;"In stock",F105&lt;&gt;"Packed",F105&lt;&gt;"Installed",F105&lt;&gt;"In transit",F105&lt;&gt;"Quarantine",F105&lt;&gt;"Retired"),"Choose asset state",IF(AND(G105&lt;&gt;"Unallocated",G105&lt;&gt;"This plan",G105&lt;&gt;"Other plan"),"Choose allocation",IF(AND(H105&lt;&gt;"",G105&lt;&gt;"This plan"),"Assigned role needs This plan",IF(AND(H105&lt;&gt;"",COUNTIFS('Layout'!$A$8:$A$207,H105)&lt;&gt;1),"Unknown / duplicate role",IF(H105&lt;&gt;"",IF(VLOOKUP(H105,'Layout'!$A$8:$N$207,7,FALSE)&lt;&gt;B105,"Assigned role part mismatch","OK"),IF(AND(F105="Installed",G105="This plan"),"Set installed role","OK")))))))))))))</x:f>
      </x:c>
    </x:row>
    <x:row r="106" ht="22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1" t="str">
        <x:f>IF(A106="","",IF(AND(E106="Good",OR(AND(G106="Unallocated",F106="In stock"),AND(G106="This plan",OR(F106="In stock",F106="Packed",F106="Installed")))),1,0))</x:f>
      </x:c>
      <x:c r="K106" s="9" t="str">
        <x:f>IF(A106="","",IF(COUNTIFS('Assets'!$A$8:$A$207,A106)&lt;&gt;1,"Duplicate asset ID",IF(COUNTIFS('Definitions'!$A$8:$A$207,B106)&lt;&gt;1,"Unknown / duplicate definition",IF(VLOOKUP(B106,'Definitions'!$A$8:$J$207,7,FALSE)&lt;&gt;"Yes","Use bulk stock for untracked parts",IF(C106="","Missing manufacturer serial",IF(COUNTIFS($B$8:$B$207,B106,$C$8:$C$207,C106)&lt;&gt;1,"Duplicate part and serial",IF(OR(D106="",AND(E106&lt;&gt;"Good",E106&lt;&gt;"Faulty",E106&lt;&gt;"Unknown")),"Set location and condition",IF(AND(F106&lt;&gt;"In stock",F106&lt;&gt;"Packed",F106&lt;&gt;"Installed",F106&lt;&gt;"In transit",F106&lt;&gt;"Quarantine",F106&lt;&gt;"Retired"),"Choose asset state",IF(AND(G106&lt;&gt;"Unallocated",G106&lt;&gt;"This plan",G106&lt;&gt;"Other plan"),"Choose allocation",IF(AND(H106&lt;&gt;"",G106&lt;&gt;"This plan"),"Assigned role needs This plan",IF(AND(H106&lt;&gt;"",COUNTIFS('Layout'!$A$8:$A$207,H106)&lt;&gt;1),"Unknown / duplicate role",IF(H106&lt;&gt;"",IF(VLOOKUP(H106,'Layout'!$A$8:$N$207,7,FALSE)&lt;&gt;B106,"Assigned role part mismatch","OK"),IF(AND(F106="Installed",G106="This plan"),"Set installed role","OK")))))))))))))</x:f>
      </x:c>
    </x:row>
    <x:row r="107" ht="22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1" t="str">
        <x:f>IF(A107="","",IF(AND(E107="Good",OR(AND(G107="Unallocated",F107="In stock"),AND(G107="This plan",OR(F107="In stock",F107="Packed",F107="Installed")))),1,0))</x:f>
      </x:c>
      <x:c r="K107" s="9" t="str">
        <x:f>IF(A107="","",IF(COUNTIFS('Assets'!$A$8:$A$207,A107)&lt;&gt;1,"Duplicate asset ID",IF(COUNTIFS('Definitions'!$A$8:$A$207,B107)&lt;&gt;1,"Unknown / duplicate definition",IF(VLOOKUP(B107,'Definitions'!$A$8:$J$207,7,FALSE)&lt;&gt;"Yes","Use bulk stock for untracked parts",IF(C107="","Missing manufacturer serial",IF(COUNTIFS($B$8:$B$207,B107,$C$8:$C$207,C107)&lt;&gt;1,"Duplicate part and serial",IF(OR(D107="",AND(E107&lt;&gt;"Good",E107&lt;&gt;"Faulty",E107&lt;&gt;"Unknown")),"Set location and condition",IF(AND(F107&lt;&gt;"In stock",F107&lt;&gt;"Packed",F107&lt;&gt;"Installed",F107&lt;&gt;"In transit",F107&lt;&gt;"Quarantine",F107&lt;&gt;"Retired"),"Choose asset state",IF(AND(G107&lt;&gt;"Unallocated",G107&lt;&gt;"This plan",G107&lt;&gt;"Other plan"),"Choose allocation",IF(AND(H107&lt;&gt;"",G107&lt;&gt;"This plan"),"Assigned role needs This plan",IF(AND(H107&lt;&gt;"",COUNTIFS('Layout'!$A$8:$A$207,H107)&lt;&gt;1),"Unknown / duplicate role",IF(H107&lt;&gt;"",IF(VLOOKUP(H107,'Layout'!$A$8:$N$207,7,FALSE)&lt;&gt;B107,"Assigned role part mismatch","OK"),IF(AND(F107="Installed",G107="This plan"),"Set installed role","OK")))))))))))))</x:f>
      </x:c>
    </x:row>
    <x:row r="108" ht="22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1" t="str">
        <x:f>IF(A108="","",IF(AND(E108="Good",OR(AND(G108="Unallocated",F108="In stock"),AND(G108="This plan",OR(F108="In stock",F108="Packed",F108="Installed")))),1,0))</x:f>
      </x:c>
      <x:c r="K108" s="9" t="str">
        <x:f>IF(A108="","",IF(COUNTIFS('Assets'!$A$8:$A$207,A108)&lt;&gt;1,"Duplicate asset ID",IF(COUNTIFS('Definitions'!$A$8:$A$207,B108)&lt;&gt;1,"Unknown / duplicate definition",IF(VLOOKUP(B108,'Definitions'!$A$8:$J$207,7,FALSE)&lt;&gt;"Yes","Use bulk stock for untracked parts",IF(C108="","Missing manufacturer serial",IF(COUNTIFS($B$8:$B$207,B108,$C$8:$C$207,C108)&lt;&gt;1,"Duplicate part and serial",IF(OR(D108="",AND(E108&lt;&gt;"Good",E108&lt;&gt;"Faulty",E108&lt;&gt;"Unknown")),"Set location and condition",IF(AND(F108&lt;&gt;"In stock",F108&lt;&gt;"Packed",F108&lt;&gt;"Installed",F108&lt;&gt;"In transit",F108&lt;&gt;"Quarantine",F108&lt;&gt;"Retired"),"Choose asset state",IF(AND(G108&lt;&gt;"Unallocated",G108&lt;&gt;"This plan",G108&lt;&gt;"Other plan"),"Choose allocation",IF(AND(H108&lt;&gt;"",G108&lt;&gt;"This plan"),"Assigned role needs This plan",IF(AND(H108&lt;&gt;"",COUNTIFS('Layout'!$A$8:$A$207,H108)&lt;&gt;1),"Unknown / duplicate role",IF(H108&lt;&gt;"",IF(VLOOKUP(H108,'Layout'!$A$8:$N$207,7,FALSE)&lt;&gt;B108,"Assigned role part mismatch","OK"),IF(AND(F108="Installed",G108="This plan"),"Set installed role","OK")))))))))))))</x:f>
      </x:c>
    </x:row>
    <x:row r="109" ht="22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1" t="str">
        <x:f>IF(A109="","",IF(AND(E109="Good",OR(AND(G109="Unallocated",F109="In stock"),AND(G109="This plan",OR(F109="In stock",F109="Packed",F109="Installed")))),1,0))</x:f>
      </x:c>
      <x:c r="K109" s="9" t="str">
        <x:f>IF(A109="","",IF(COUNTIFS('Assets'!$A$8:$A$207,A109)&lt;&gt;1,"Duplicate asset ID",IF(COUNTIFS('Definitions'!$A$8:$A$207,B109)&lt;&gt;1,"Unknown / duplicate definition",IF(VLOOKUP(B109,'Definitions'!$A$8:$J$207,7,FALSE)&lt;&gt;"Yes","Use bulk stock for untracked parts",IF(C109="","Missing manufacturer serial",IF(COUNTIFS($B$8:$B$207,B109,$C$8:$C$207,C109)&lt;&gt;1,"Duplicate part and serial",IF(OR(D109="",AND(E109&lt;&gt;"Good",E109&lt;&gt;"Faulty",E109&lt;&gt;"Unknown")),"Set location and condition",IF(AND(F109&lt;&gt;"In stock",F109&lt;&gt;"Packed",F109&lt;&gt;"Installed",F109&lt;&gt;"In transit",F109&lt;&gt;"Quarantine",F109&lt;&gt;"Retired"),"Choose asset state",IF(AND(G109&lt;&gt;"Unallocated",G109&lt;&gt;"This plan",G109&lt;&gt;"Other plan"),"Choose allocation",IF(AND(H109&lt;&gt;"",G109&lt;&gt;"This plan"),"Assigned role needs This plan",IF(AND(H109&lt;&gt;"",COUNTIFS('Layout'!$A$8:$A$207,H109)&lt;&gt;1),"Unknown / duplicate role",IF(H109&lt;&gt;"",IF(VLOOKUP(H109,'Layout'!$A$8:$N$207,7,FALSE)&lt;&gt;B109,"Assigned role part mismatch","OK"),IF(AND(F109="Installed",G109="This plan"),"Set installed role","OK")))))))))))))</x:f>
      </x:c>
    </x:row>
    <x:row r="110" ht="22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1" t="str">
        <x:f>IF(A110="","",IF(AND(E110="Good",OR(AND(G110="Unallocated",F110="In stock"),AND(G110="This plan",OR(F110="In stock",F110="Packed",F110="Installed")))),1,0))</x:f>
      </x:c>
      <x:c r="K110" s="9" t="str">
        <x:f>IF(A110="","",IF(COUNTIFS('Assets'!$A$8:$A$207,A110)&lt;&gt;1,"Duplicate asset ID",IF(COUNTIFS('Definitions'!$A$8:$A$207,B110)&lt;&gt;1,"Unknown / duplicate definition",IF(VLOOKUP(B110,'Definitions'!$A$8:$J$207,7,FALSE)&lt;&gt;"Yes","Use bulk stock for untracked parts",IF(C110="","Missing manufacturer serial",IF(COUNTIFS($B$8:$B$207,B110,$C$8:$C$207,C110)&lt;&gt;1,"Duplicate part and serial",IF(OR(D110="",AND(E110&lt;&gt;"Good",E110&lt;&gt;"Faulty",E110&lt;&gt;"Unknown")),"Set location and condition",IF(AND(F110&lt;&gt;"In stock",F110&lt;&gt;"Packed",F110&lt;&gt;"Installed",F110&lt;&gt;"In transit",F110&lt;&gt;"Quarantine",F110&lt;&gt;"Retired"),"Choose asset state",IF(AND(G110&lt;&gt;"Unallocated",G110&lt;&gt;"This plan",G110&lt;&gt;"Other plan"),"Choose allocation",IF(AND(H110&lt;&gt;"",G110&lt;&gt;"This plan"),"Assigned role needs This plan",IF(AND(H110&lt;&gt;"",COUNTIFS('Layout'!$A$8:$A$207,H110)&lt;&gt;1),"Unknown / duplicate role",IF(H110&lt;&gt;"",IF(VLOOKUP(H110,'Layout'!$A$8:$N$207,7,FALSE)&lt;&gt;B110,"Assigned role part mismatch","OK"),IF(AND(F110="Installed",G110="This plan"),"Set installed role","OK")))))))))))))</x:f>
      </x:c>
    </x:row>
    <x:row r="111" ht="22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1" t="str">
        <x:f>IF(A111="","",IF(AND(E111="Good",OR(AND(G111="Unallocated",F111="In stock"),AND(G111="This plan",OR(F111="In stock",F111="Packed",F111="Installed")))),1,0))</x:f>
      </x:c>
      <x:c r="K111" s="9" t="str">
        <x:f>IF(A111="","",IF(COUNTIFS('Assets'!$A$8:$A$207,A111)&lt;&gt;1,"Duplicate asset ID",IF(COUNTIFS('Definitions'!$A$8:$A$207,B111)&lt;&gt;1,"Unknown / duplicate definition",IF(VLOOKUP(B111,'Definitions'!$A$8:$J$207,7,FALSE)&lt;&gt;"Yes","Use bulk stock for untracked parts",IF(C111="","Missing manufacturer serial",IF(COUNTIFS($B$8:$B$207,B111,$C$8:$C$207,C111)&lt;&gt;1,"Duplicate part and serial",IF(OR(D111="",AND(E111&lt;&gt;"Good",E111&lt;&gt;"Faulty",E111&lt;&gt;"Unknown")),"Set location and condition",IF(AND(F111&lt;&gt;"In stock",F111&lt;&gt;"Packed",F111&lt;&gt;"Installed",F111&lt;&gt;"In transit",F111&lt;&gt;"Quarantine",F111&lt;&gt;"Retired"),"Choose asset state",IF(AND(G111&lt;&gt;"Unallocated",G111&lt;&gt;"This plan",G111&lt;&gt;"Other plan"),"Choose allocation",IF(AND(H111&lt;&gt;"",G111&lt;&gt;"This plan"),"Assigned role needs This plan",IF(AND(H111&lt;&gt;"",COUNTIFS('Layout'!$A$8:$A$207,H111)&lt;&gt;1),"Unknown / duplicate role",IF(H111&lt;&gt;"",IF(VLOOKUP(H111,'Layout'!$A$8:$N$207,7,FALSE)&lt;&gt;B111,"Assigned role part mismatch","OK"),IF(AND(F111="Installed",G111="This plan"),"Set installed role","OK")))))))))))))</x:f>
      </x:c>
    </x:row>
    <x:row r="112" ht="22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1" t="str">
        <x:f>IF(A112="","",IF(AND(E112="Good",OR(AND(G112="Unallocated",F112="In stock"),AND(G112="This plan",OR(F112="In stock",F112="Packed",F112="Installed")))),1,0))</x:f>
      </x:c>
      <x:c r="K112" s="9" t="str">
        <x:f>IF(A112="","",IF(COUNTIFS('Assets'!$A$8:$A$207,A112)&lt;&gt;1,"Duplicate asset ID",IF(COUNTIFS('Definitions'!$A$8:$A$207,B112)&lt;&gt;1,"Unknown / duplicate definition",IF(VLOOKUP(B112,'Definitions'!$A$8:$J$207,7,FALSE)&lt;&gt;"Yes","Use bulk stock for untracked parts",IF(C112="","Missing manufacturer serial",IF(COUNTIFS($B$8:$B$207,B112,$C$8:$C$207,C112)&lt;&gt;1,"Duplicate part and serial",IF(OR(D112="",AND(E112&lt;&gt;"Good",E112&lt;&gt;"Faulty",E112&lt;&gt;"Unknown")),"Set location and condition",IF(AND(F112&lt;&gt;"In stock",F112&lt;&gt;"Packed",F112&lt;&gt;"Installed",F112&lt;&gt;"In transit",F112&lt;&gt;"Quarantine",F112&lt;&gt;"Retired"),"Choose asset state",IF(AND(G112&lt;&gt;"Unallocated",G112&lt;&gt;"This plan",G112&lt;&gt;"Other plan"),"Choose allocation",IF(AND(H112&lt;&gt;"",G112&lt;&gt;"This plan"),"Assigned role needs This plan",IF(AND(H112&lt;&gt;"",COUNTIFS('Layout'!$A$8:$A$207,H112)&lt;&gt;1),"Unknown / duplicate role",IF(H112&lt;&gt;"",IF(VLOOKUP(H112,'Layout'!$A$8:$N$207,7,FALSE)&lt;&gt;B112,"Assigned role part mismatch","OK"),IF(AND(F112="Installed",G112="This plan"),"Set installed role","OK")))))))))))))</x:f>
      </x:c>
    </x:row>
    <x:row r="113" ht="22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1" t="str">
        <x:f>IF(A113="","",IF(AND(E113="Good",OR(AND(G113="Unallocated",F113="In stock"),AND(G113="This plan",OR(F113="In stock",F113="Packed",F113="Installed")))),1,0))</x:f>
      </x:c>
      <x:c r="K113" s="9" t="str">
        <x:f>IF(A113="","",IF(COUNTIFS('Assets'!$A$8:$A$207,A113)&lt;&gt;1,"Duplicate asset ID",IF(COUNTIFS('Definitions'!$A$8:$A$207,B113)&lt;&gt;1,"Unknown / duplicate definition",IF(VLOOKUP(B113,'Definitions'!$A$8:$J$207,7,FALSE)&lt;&gt;"Yes","Use bulk stock for untracked parts",IF(C113="","Missing manufacturer serial",IF(COUNTIFS($B$8:$B$207,B113,$C$8:$C$207,C113)&lt;&gt;1,"Duplicate part and serial",IF(OR(D113="",AND(E113&lt;&gt;"Good",E113&lt;&gt;"Faulty",E113&lt;&gt;"Unknown")),"Set location and condition",IF(AND(F113&lt;&gt;"In stock",F113&lt;&gt;"Packed",F113&lt;&gt;"Installed",F113&lt;&gt;"In transit",F113&lt;&gt;"Quarantine",F113&lt;&gt;"Retired"),"Choose asset state",IF(AND(G113&lt;&gt;"Unallocated",G113&lt;&gt;"This plan",G113&lt;&gt;"Other plan"),"Choose allocation",IF(AND(H113&lt;&gt;"",G113&lt;&gt;"This plan"),"Assigned role needs This plan",IF(AND(H113&lt;&gt;"",COUNTIFS('Layout'!$A$8:$A$207,H113)&lt;&gt;1),"Unknown / duplicate role",IF(H113&lt;&gt;"",IF(VLOOKUP(H113,'Layout'!$A$8:$N$207,7,FALSE)&lt;&gt;B113,"Assigned role part mismatch","OK"),IF(AND(F113="Installed",G113="This plan"),"Set installed role","OK")))))))))))))</x:f>
      </x:c>
    </x:row>
    <x:row r="114" ht="22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1" t="str">
        <x:f>IF(A114="","",IF(AND(E114="Good",OR(AND(G114="Unallocated",F114="In stock"),AND(G114="This plan",OR(F114="In stock",F114="Packed",F114="Installed")))),1,0))</x:f>
      </x:c>
      <x:c r="K114" s="9" t="str">
        <x:f>IF(A114="","",IF(COUNTIFS('Assets'!$A$8:$A$207,A114)&lt;&gt;1,"Duplicate asset ID",IF(COUNTIFS('Definitions'!$A$8:$A$207,B114)&lt;&gt;1,"Unknown / duplicate definition",IF(VLOOKUP(B114,'Definitions'!$A$8:$J$207,7,FALSE)&lt;&gt;"Yes","Use bulk stock for untracked parts",IF(C114="","Missing manufacturer serial",IF(COUNTIFS($B$8:$B$207,B114,$C$8:$C$207,C114)&lt;&gt;1,"Duplicate part and serial",IF(OR(D114="",AND(E114&lt;&gt;"Good",E114&lt;&gt;"Faulty",E114&lt;&gt;"Unknown")),"Set location and condition",IF(AND(F114&lt;&gt;"In stock",F114&lt;&gt;"Packed",F114&lt;&gt;"Installed",F114&lt;&gt;"In transit",F114&lt;&gt;"Quarantine",F114&lt;&gt;"Retired"),"Choose asset state",IF(AND(G114&lt;&gt;"Unallocated",G114&lt;&gt;"This plan",G114&lt;&gt;"Other plan"),"Choose allocation",IF(AND(H114&lt;&gt;"",G114&lt;&gt;"This plan"),"Assigned role needs This plan",IF(AND(H114&lt;&gt;"",COUNTIFS('Layout'!$A$8:$A$207,H114)&lt;&gt;1),"Unknown / duplicate role",IF(H114&lt;&gt;"",IF(VLOOKUP(H114,'Layout'!$A$8:$N$207,7,FALSE)&lt;&gt;B114,"Assigned role part mismatch","OK"),IF(AND(F114="Installed",G114="This plan"),"Set installed role","OK")))))))))))))</x:f>
      </x:c>
    </x:row>
    <x:row r="115" ht="22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1" t="str">
        <x:f>IF(A115="","",IF(AND(E115="Good",OR(AND(G115="Unallocated",F115="In stock"),AND(G115="This plan",OR(F115="In stock",F115="Packed",F115="Installed")))),1,0))</x:f>
      </x:c>
      <x:c r="K115" s="9" t="str">
        <x:f>IF(A115="","",IF(COUNTIFS('Assets'!$A$8:$A$207,A115)&lt;&gt;1,"Duplicate asset ID",IF(COUNTIFS('Definitions'!$A$8:$A$207,B115)&lt;&gt;1,"Unknown / duplicate definition",IF(VLOOKUP(B115,'Definitions'!$A$8:$J$207,7,FALSE)&lt;&gt;"Yes","Use bulk stock for untracked parts",IF(C115="","Missing manufacturer serial",IF(COUNTIFS($B$8:$B$207,B115,$C$8:$C$207,C115)&lt;&gt;1,"Duplicate part and serial",IF(OR(D115="",AND(E115&lt;&gt;"Good",E115&lt;&gt;"Faulty",E115&lt;&gt;"Unknown")),"Set location and condition",IF(AND(F115&lt;&gt;"In stock",F115&lt;&gt;"Packed",F115&lt;&gt;"Installed",F115&lt;&gt;"In transit",F115&lt;&gt;"Quarantine",F115&lt;&gt;"Retired"),"Choose asset state",IF(AND(G115&lt;&gt;"Unallocated",G115&lt;&gt;"This plan",G115&lt;&gt;"Other plan"),"Choose allocation",IF(AND(H115&lt;&gt;"",G115&lt;&gt;"This plan"),"Assigned role needs This plan",IF(AND(H115&lt;&gt;"",COUNTIFS('Layout'!$A$8:$A$207,H115)&lt;&gt;1),"Unknown / duplicate role",IF(H115&lt;&gt;"",IF(VLOOKUP(H115,'Layout'!$A$8:$N$207,7,FALSE)&lt;&gt;B115,"Assigned role part mismatch","OK"),IF(AND(F115="Installed",G115="This plan"),"Set installed role","OK")))))))))))))</x:f>
      </x:c>
    </x:row>
    <x:row r="116" ht="22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1" t="str">
        <x:f>IF(A116="","",IF(AND(E116="Good",OR(AND(G116="Unallocated",F116="In stock"),AND(G116="This plan",OR(F116="In stock",F116="Packed",F116="Installed")))),1,0))</x:f>
      </x:c>
      <x:c r="K116" s="9" t="str">
        <x:f>IF(A116="","",IF(COUNTIFS('Assets'!$A$8:$A$207,A116)&lt;&gt;1,"Duplicate asset ID",IF(COUNTIFS('Definitions'!$A$8:$A$207,B116)&lt;&gt;1,"Unknown / duplicate definition",IF(VLOOKUP(B116,'Definitions'!$A$8:$J$207,7,FALSE)&lt;&gt;"Yes","Use bulk stock for untracked parts",IF(C116="","Missing manufacturer serial",IF(COUNTIFS($B$8:$B$207,B116,$C$8:$C$207,C116)&lt;&gt;1,"Duplicate part and serial",IF(OR(D116="",AND(E116&lt;&gt;"Good",E116&lt;&gt;"Faulty",E116&lt;&gt;"Unknown")),"Set location and condition",IF(AND(F116&lt;&gt;"In stock",F116&lt;&gt;"Packed",F116&lt;&gt;"Installed",F116&lt;&gt;"In transit",F116&lt;&gt;"Quarantine",F116&lt;&gt;"Retired"),"Choose asset state",IF(AND(G116&lt;&gt;"Unallocated",G116&lt;&gt;"This plan",G116&lt;&gt;"Other plan"),"Choose allocation",IF(AND(H116&lt;&gt;"",G116&lt;&gt;"This plan"),"Assigned role needs This plan",IF(AND(H116&lt;&gt;"",COUNTIFS('Layout'!$A$8:$A$207,H116)&lt;&gt;1),"Unknown / duplicate role",IF(H116&lt;&gt;"",IF(VLOOKUP(H116,'Layout'!$A$8:$N$207,7,FALSE)&lt;&gt;B116,"Assigned role part mismatch","OK"),IF(AND(F116="Installed",G116="This plan"),"Set installed role","OK")))))))))))))</x:f>
      </x:c>
    </x:row>
    <x:row r="117" ht="22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1" t="str">
        <x:f>IF(A117="","",IF(AND(E117="Good",OR(AND(G117="Unallocated",F117="In stock"),AND(G117="This plan",OR(F117="In stock",F117="Packed",F117="Installed")))),1,0))</x:f>
      </x:c>
      <x:c r="K117" s="9" t="str">
        <x:f>IF(A117="","",IF(COUNTIFS('Assets'!$A$8:$A$207,A117)&lt;&gt;1,"Duplicate asset ID",IF(COUNTIFS('Definitions'!$A$8:$A$207,B117)&lt;&gt;1,"Unknown / duplicate definition",IF(VLOOKUP(B117,'Definitions'!$A$8:$J$207,7,FALSE)&lt;&gt;"Yes","Use bulk stock for untracked parts",IF(C117="","Missing manufacturer serial",IF(COUNTIFS($B$8:$B$207,B117,$C$8:$C$207,C117)&lt;&gt;1,"Duplicate part and serial",IF(OR(D117="",AND(E117&lt;&gt;"Good",E117&lt;&gt;"Faulty",E117&lt;&gt;"Unknown")),"Set location and condition",IF(AND(F117&lt;&gt;"In stock",F117&lt;&gt;"Packed",F117&lt;&gt;"Installed",F117&lt;&gt;"In transit",F117&lt;&gt;"Quarantine",F117&lt;&gt;"Retired"),"Choose asset state",IF(AND(G117&lt;&gt;"Unallocated",G117&lt;&gt;"This plan",G117&lt;&gt;"Other plan"),"Choose allocation",IF(AND(H117&lt;&gt;"",G117&lt;&gt;"This plan"),"Assigned role needs This plan",IF(AND(H117&lt;&gt;"",COUNTIFS('Layout'!$A$8:$A$207,H117)&lt;&gt;1),"Unknown / duplicate role",IF(H117&lt;&gt;"",IF(VLOOKUP(H117,'Layout'!$A$8:$N$207,7,FALSE)&lt;&gt;B117,"Assigned role part mismatch","OK"),IF(AND(F117="Installed",G117="This plan"),"Set installed role","OK")))))))))))))</x:f>
      </x:c>
    </x:row>
    <x:row r="118" ht="22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1" t="str">
        <x:f>IF(A118="","",IF(AND(E118="Good",OR(AND(G118="Unallocated",F118="In stock"),AND(G118="This plan",OR(F118="In stock",F118="Packed",F118="Installed")))),1,0))</x:f>
      </x:c>
      <x:c r="K118" s="9" t="str">
        <x:f>IF(A118="","",IF(COUNTIFS('Assets'!$A$8:$A$207,A118)&lt;&gt;1,"Duplicate asset ID",IF(COUNTIFS('Definitions'!$A$8:$A$207,B118)&lt;&gt;1,"Unknown / duplicate definition",IF(VLOOKUP(B118,'Definitions'!$A$8:$J$207,7,FALSE)&lt;&gt;"Yes","Use bulk stock for untracked parts",IF(C118="","Missing manufacturer serial",IF(COUNTIFS($B$8:$B$207,B118,$C$8:$C$207,C118)&lt;&gt;1,"Duplicate part and serial",IF(OR(D118="",AND(E118&lt;&gt;"Good",E118&lt;&gt;"Faulty",E118&lt;&gt;"Unknown")),"Set location and condition",IF(AND(F118&lt;&gt;"In stock",F118&lt;&gt;"Packed",F118&lt;&gt;"Installed",F118&lt;&gt;"In transit",F118&lt;&gt;"Quarantine",F118&lt;&gt;"Retired"),"Choose asset state",IF(AND(G118&lt;&gt;"Unallocated",G118&lt;&gt;"This plan",G118&lt;&gt;"Other plan"),"Choose allocation",IF(AND(H118&lt;&gt;"",G118&lt;&gt;"This plan"),"Assigned role needs This plan",IF(AND(H118&lt;&gt;"",COUNTIFS('Layout'!$A$8:$A$207,H118)&lt;&gt;1),"Unknown / duplicate role",IF(H118&lt;&gt;"",IF(VLOOKUP(H118,'Layout'!$A$8:$N$207,7,FALSE)&lt;&gt;B118,"Assigned role part mismatch","OK"),IF(AND(F118="Installed",G118="This plan"),"Set installed role","OK")))))))))))))</x:f>
      </x:c>
    </x:row>
    <x:row r="119" ht="22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1" t="str">
        <x:f>IF(A119="","",IF(AND(E119="Good",OR(AND(G119="Unallocated",F119="In stock"),AND(G119="This plan",OR(F119="In stock",F119="Packed",F119="Installed")))),1,0))</x:f>
      </x:c>
      <x:c r="K119" s="9" t="str">
        <x:f>IF(A119="","",IF(COUNTIFS('Assets'!$A$8:$A$207,A119)&lt;&gt;1,"Duplicate asset ID",IF(COUNTIFS('Definitions'!$A$8:$A$207,B119)&lt;&gt;1,"Unknown / duplicate definition",IF(VLOOKUP(B119,'Definitions'!$A$8:$J$207,7,FALSE)&lt;&gt;"Yes","Use bulk stock for untracked parts",IF(C119="","Missing manufacturer serial",IF(COUNTIFS($B$8:$B$207,B119,$C$8:$C$207,C119)&lt;&gt;1,"Duplicate part and serial",IF(OR(D119="",AND(E119&lt;&gt;"Good",E119&lt;&gt;"Faulty",E119&lt;&gt;"Unknown")),"Set location and condition",IF(AND(F119&lt;&gt;"In stock",F119&lt;&gt;"Packed",F119&lt;&gt;"Installed",F119&lt;&gt;"In transit",F119&lt;&gt;"Quarantine",F119&lt;&gt;"Retired"),"Choose asset state",IF(AND(G119&lt;&gt;"Unallocated",G119&lt;&gt;"This plan",G119&lt;&gt;"Other plan"),"Choose allocation",IF(AND(H119&lt;&gt;"",G119&lt;&gt;"This plan"),"Assigned role needs This plan",IF(AND(H119&lt;&gt;"",COUNTIFS('Layout'!$A$8:$A$207,H119)&lt;&gt;1),"Unknown / duplicate role",IF(H119&lt;&gt;"",IF(VLOOKUP(H119,'Layout'!$A$8:$N$207,7,FALSE)&lt;&gt;B119,"Assigned role part mismatch","OK"),IF(AND(F119="Installed",G119="This plan"),"Set installed role","OK")))))))))))))</x:f>
      </x:c>
    </x:row>
    <x:row r="120" ht="22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1" t="str">
        <x:f>IF(A120="","",IF(AND(E120="Good",OR(AND(G120="Unallocated",F120="In stock"),AND(G120="This plan",OR(F120="In stock",F120="Packed",F120="Installed")))),1,0))</x:f>
      </x:c>
      <x:c r="K120" s="9" t="str">
        <x:f>IF(A120="","",IF(COUNTIFS('Assets'!$A$8:$A$207,A120)&lt;&gt;1,"Duplicate asset ID",IF(COUNTIFS('Definitions'!$A$8:$A$207,B120)&lt;&gt;1,"Unknown / duplicate definition",IF(VLOOKUP(B120,'Definitions'!$A$8:$J$207,7,FALSE)&lt;&gt;"Yes","Use bulk stock for untracked parts",IF(C120="","Missing manufacturer serial",IF(COUNTIFS($B$8:$B$207,B120,$C$8:$C$207,C120)&lt;&gt;1,"Duplicate part and serial",IF(OR(D120="",AND(E120&lt;&gt;"Good",E120&lt;&gt;"Faulty",E120&lt;&gt;"Unknown")),"Set location and condition",IF(AND(F120&lt;&gt;"In stock",F120&lt;&gt;"Packed",F120&lt;&gt;"Installed",F120&lt;&gt;"In transit",F120&lt;&gt;"Quarantine",F120&lt;&gt;"Retired"),"Choose asset state",IF(AND(G120&lt;&gt;"Unallocated",G120&lt;&gt;"This plan",G120&lt;&gt;"Other plan"),"Choose allocation",IF(AND(H120&lt;&gt;"",G120&lt;&gt;"This plan"),"Assigned role needs This plan",IF(AND(H120&lt;&gt;"",COUNTIFS('Layout'!$A$8:$A$207,H120)&lt;&gt;1),"Unknown / duplicate role",IF(H120&lt;&gt;"",IF(VLOOKUP(H120,'Layout'!$A$8:$N$207,7,FALSE)&lt;&gt;B120,"Assigned role part mismatch","OK"),IF(AND(F120="Installed",G120="This plan"),"Set installed role","OK")))))))))))))</x:f>
      </x:c>
    </x:row>
    <x:row r="121" ht="22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1" t="str">
        <x:f>IF(A121="","",IF(AND(E121="Good",OR(AND(G121="Unallocated",F121="In stock"),AND(G121="This plan",OR(F121="In stock",F121="Packed",F121="Installed")))),1,0))</x:f>
      </x:c>
      <x:c r="K121" s="9" t="str">
        <x:f>IF(A121="","",IF(COUNTIFS('Assets'!$A$8:$A$207,A121)&lt;&gt;1,"Duplicate asset ID",IF(COUNTIFS('Definitions'!$A$8:$A$207,B121)&lt;&gt;1,"Unknown / duplicate definition",IF(VLOOKUP(B121,'Definitions'!$A$8:$J$207,7,FALSE)&lt;&gt;"Yes","Use bulk stock for untracked parts",IF(C121="","Missing manufacturer serial",IF(COUNTIFS($B$8:$B$207,B121,$C$8:$C$207,C121)&lt;&gt;1,"Duplicate part and serial",IF(OR(D121="",AND(E121&lt;&gt;"Good",E121&lt;&gt;"Faulty",E121&lt;&gt;"Unknown")),"Set location and condition",IF(AND(F121&lt;&gt;"In stock",F121&lt;&gt;"Packed",F121&lt;&gt;"Installed",F121&lt;&gt;"In transit",F121&lt;&gt;"Quarantine",F121&lt;&gt;"Retired"),"Choose asset state",IF(AND(G121&lt;&gt;"Unallocated",G121&lt;&gt;"This plan",G121&lt;&gt;"Other plan"),"Choose allocation",IF(AND(H121&lt;&gt;"",G121&lt;&gt;"This plan"),"Assigned role needs This plan",IF(AND(H121&lt;&gt;"",COUNTIFS('Layout'!$A$8:$A$207,H121)&lt;&gt;1),"Unknown / duplicate role",IF(H121&lt;&gt;"",IF(VLOOKUP(H121,'Layout'!$A$8:$N$207,7,FALSE)&lt;&gt;B121,"Assigned role part mismatch","OK"),IF(AND(F121="Installed",G121="This plan"),"Set installed role","OK")))))))))))))</x:f>
      </x:c>
    </x:row>
    <x:row r="122" ht="22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1" t="str">
        <x:f>IF(A122="","",IF(AND(E122="Good",OR(AND(G122="Unallocated",F122="In stock"),AND(G122="This plan",OR(F122="In stock",F122="Packed",F122="Installed")))),1,0))</x:f>
      </x:c>
      <x:c r="K122" s="9" t="str">
        <x:f>IF(A122="","",IF(COUNTIFS('Assets'!$A$8:$A$207,A122)&lt;&gt;1,"Duplicate asset ID",IF(COUNTIFS('Definitions'!$A$8:$A$207,B122)&lt;&gt;1,"Unknown / duplicate definition",IF(VLOOKUP(B122,'Definitions'!$A$8:$J$207,7,FALSE)&lt;&gt;"Yes","Use bulk stock for untracked parts",IF(C122="","Missing manufacturer serial",IF(COUNTIFS($B$8:$B$207,B122,$C$8:$C$207,C122)&lt;&gt;1,"Duplicate part and serial",IF(OR(D122="",AND(E122&lt;&gt;"Good",E122&lt;&gt;"Faulty",E122&lt;&gt;"Unknown")),"Set location and condition",IF(AND(F122&lt;&gt;"In stock",F122&lt;&gt;"Packed",F122&lt;&gt;"Installed",F122&lt;&gt;"In transit",F122&lt;&gt;"Quarantine",F122&lt;&gt;"Retired"),"Choose asset state",IF(AND(G122&lt;&gt;"Unallocated",G122&lt;&gt;"This plan",G122&lt;&gt;"Other plan"),"Choose allocation",IF(AND(H122&lt;&gt;"",G122&lt;&gt;"This plan"),"Assigned role needs This plan",IF(AND(H122&lt;&gt;"",COUNTIFS('Layout'!$A$8:$A$207,H122)&lt;&gt;1),"Unknown / duplicate role",IF(H122&lt;&gt;"",IF(VLOOKUP(H122,'Layout'!$A$8:$N$207,7,FALSE)&lt;&gt;B122,"Assigned role part mismatch","OK"),IF(AND(F122="Installed",G122="This plan"),"Set installed role","OK")))))))))))))</x:f>
      </x:c>
    </x:row>
    <x:row r="123" ht="22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1" t="str">
        <x:f>IF(A123="","",IF(AND(E123="Good",OR(AND(G123="Unallocated",F123="In stock"),AND(G123="This plan",OR(F123="In stock",F123="Packed",F123="Installed")))),1,0))</x:f>
      </x:c>
      <x:c r="K123" s="9" t="str">
        <x:f>IF(A123="","",IF(COUNTIFS('Assets'!$A$8:$A$207,A123)&lt;&gt;1,"Duplicate asset ID",IF(COUNTIFS('Definitions'!$A$8:$A$207,B123)&lt;&gt;1,"Unknown / duplicate definition",IF(VLOOKUP(B123,'Definitions'!$A$8:$J$207,7,FALSE)&lt;&gt;"Yes","Use bulk stock for untracked parts",IF(C123="","Missing manufacturer serial",IF(COUNTIFS($B$8:$B$207,B123,$C$8:$C$207,C123)&lt;&gt;1,"Duplicate part and serial",IF(OR(D123="",AND(E123&lt;&gt;"Good",E123&lt;&gt;"Faulty",E123&lt;&gt;"Unknown")),"Set location and condition",IF(AND(F123&lt;&gt;"In stock",F123&lt;&gt;"Packed",F123&lt;&gt;"Installed",F123&lt;&gt;"In transit",F123&lt;&gt;"Quarantine",F123&lt;&gt;"Retired"),"Choose asset state",IF(AND(G123&lt;&gt;"Unallocated",G123&lt;&gt;"This plan",G123&lt;&gt;"Other plan"),"Choose allocation",IF(AND(H123&lt;&gt;"",G123&lt;&gt;"This plan"),"Assigned role needs This plan",IF(AND(H123&lt;&gt;"",COUNTIFS('Layout'!$A$8:$A$207,H123)&lt;&gt;1),"Unknown / duplicate role",IF(H123&lt;&gt;"",IF(VLOOKUP(H123,'Layout'!$A$8:$N$207,7,FALSE)&lt;&gt;B123,"Assigned role part mismatch","OK"),IF(AND(F123="Installed",G123="This plan"),"Set installed role","OK")))))))))))))</x:f>
      </x:c>
    </x:row>
    <x:row r="124" ht="22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1" t="str">
        <x:f>IF(A124="","",IF(AND(E124="Good",OR(AND(G124="Unallocated",F124="In stock"),AND(G124="This plan",OR(F124="In stock",F124="Packed",F124="Installed")))),1,0))</x:f>
      </x:c>
      <x:c r="K124" s="9" t="str">
        <x:f>IF(A124="","",IF(COUNTIFS('Assets'!$A$8:$A$207,A124)&lt;&gt;1,"Duplicate asset ID",IF(COUNTIFS('Definitions'!$A$8:$A$207,B124)&lt;&gt;1,"Unknown / duplicate definition",IF(VLOOKUP(B124,'Definitions'!$A$8:$J$207,7,FALSE)&lt;&gt;"Yes","Use bulk stock for untracked parts",IF(C124="","Missing manufacturer serial",IF(COUNTIFS($B$8:$B$207,B124,$C$8:$C$207,C124)&lt;&gt;1,"Duplicate part and serial",IF(OR(D124="",AND(E124&lt;&gt;"Good",E124&lt;&gt;"Faulty",E124&lt;&gt;"Unknown")),"Set location and condition",IF(AND(F124&lt;&gt;"In stock",F124&lt;&gt;"Packed",F124&lt;&gt;"Installed",F124&lt;&gt;"In transit",F124&lt;&gt;"Quarantine",F124&lt;&gt;"Retired"),"Choose asset state",IF(AND(G124&lt;&gt;"Unallocated",G124&lt;&gt;"This plan",G124&lt;&gt;"Other plan"),"Choose allocation",IF(AND(H124&lt;&gt;"",G124&lt;&gt;"This plan"),"Assigned role needs This plan",IF(AND(H124&lt;&gt;"",COUNTIFS('Layout'!$A$8:$A$207,H124)&lt;&gt;1),"Unknown / duplicate role",IF(H124&lt;&gt;"",IF(VLOOKUP(H124,'Layout'!$A$8:$N$207,7,FALSE)&lt;&gt;B124,"Assigned role part mismatch","OK"),IF(AND(F124="Installed",G124="This plan"),"Set installed role","OK")))))))))))))</x:f>
      </x:c>
    </x:row>
    <x:row r="125" ht="22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1" t="str">
        <x:f>IF(A125="","",IF(AND(E125="Good",OR(AND(G125="Unallocated",F125="In stock"),AND(G125="This plan",OR(F125="In stock",F125="Packed",F125="Installed")))),1,0))</x:f>
      </x:c>
      <x:c r="K125" s="9" t="str">
        <x:f>IF(A125="","",IF(COUNTIFS('Assets'!$A$8:$A$207,A125)&lt;&gt;1,"Duplicate asset ID",IF(COUNTIFS('Definitions'!$A$8:$A$207,B125)&lt;&gt;1,"Unknown / duplicate definition",IF(VLOOKUP(B125,'Definitions'!$A$8:$J$207,7,FALSE)&lt;&gt;"Yes","Use bulk stock for untracked parts",IF(C125="","Missing manufacturer serial",IF(COUNTIFS($B$8:$B$207,B125,$C$8:$C$207,C125)&lt;&gt;1,"Duplicate part and serial",IF(OR(D125="",AND(E125&lt;&gt;"Good",E125&lt;&gt;"Faulty",E125&lt;&gt;"Unknown")),"Set location and condition",IF(AND(F125&lt;&gt;"In stock",F125&lt;&gt;"Packed",F125&lt;&gt;"Installed",F125&lt;&gt;"In transit",F125&lt;&gt;"Quarantine",F125&lt;&gt;"Retired"),"Choose asset state",IF(AND(G125&lt;&gt;"Unallocated",G125&lt;&gt;"This plan",G125&lt;&gt;"Other plan"),"Choose allocation",IF(AND(H125&lt;&gt;"",G125&lt;&gt;"This plan"),"Assigned role needs This plan",IF(AND(H125&lt;&gt;"",COUNTIFS('Layout'!$A$8:$A$207,H125)&lt;&gt;1),"Unknown / duplicate role",IF(H125&lt;&gt;"",IF(VLOOKUP(H125,'Layout'!$A$8:$N$207,7,FALSE)&lt;&gt;B125,"Assigned role part mismatch","OK"),IF(AND(F125="Installed",G125="This plan"),"Set installed role","OK")))))))))))))</x:f>
      </x:c>
    </x:row>
    <x:row r="126" ht="22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1" t="str">
        <x:f>IF(A126="","",IF(AND(E126="Good",OR(AND(G126="Unallocated",F126="In stock"),AND(G126="This plan",OR(F126="In stock",F126="Packed",F126="Installed")))),1,0))</x:f>
      </x:c>
      <x:c r="K126" s="9" t="str">
        <x:f>IF(A126="","",IF(COUNTIFS('Assets'!$A$8:$A$207,A126)&lt;&gt;1,"Duplicate asset ID",IF(COUNTIFS('Definitions'!$A$8:$A$207,B126)&lt;&gt;1,"Unknown / duplicate definition",IF(VLOOKUP(B126,'Definitions'!$A$8:$J$207,7,FALSE)&lt;&gt;"Yes","Use bulk stock for untracked parts",IF(C126="","Missing manufacturer serial",IF(COUNTIFS($B$8:$B$207,B126,$C$8:$C$207,C126)&lt;&gt;1,"Duplicate part and serial",IF(OR(D126="",AND(E126&lt;&gt;"Good",E126&lt;&gt;"Faulty",E126&lt;&gt;"Unknown")),"Set location and condition",IF(AND(F126&lt;&gt;"In stock",F126&lt;&gt;"Packed",F126&lt;&gt;"Installed",F126&lt;&gt;"In transit",F126&lt;&gt;"Quarantine",F126&lt;&gt;"Retired"),"Choose asset state",IF(AND(G126&lt;&gt;"Unallocated",G126&lt;&gt;"This plan",G126&lt;&gt;"Other plan"),"Choose allocation",IF(AND(H126&lt;&gt;"",G126&lt;&gt;"This plan"),"Assigned role needs This plan",IF(AND(H126&lt;&gt;"",COUNTIFS('Layout'!$A$8:$A$207,H126)&lt;&gt;1),"Unknown / duplicate role",IF(H126&lt;&gt;"",IF(VLOOKUP(H126,'Layout'!$A$8:$N$207,7,FALSE)&lt;&gt;B126,"Assigned role part mismatch","OK"),IF(AND(F126="Installed",G126="This plan"),"Set installed role","OK")))))))))))))</x:f>
      </x:c>
    </x:row>
    <x:row r="127" ht="22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1" t="str">
        <x:f>IF(A127="","",IF(AND(E127="Good",OR(AND(G127="Unallocated",F127="In stock"),AND(G127="This plan",OR(F127="In stock",F127="Packed",F127="Installed")))),1,0))</x:f>
      </x:c>
      <x:c r="K127" s="9" t="str">
        <x:f>IF(A127="","",IF(COUNTIFS('Assets'!$A$8:$A$207,A127)&lt;&gt;1,"Duplicate asset ID",IF(COUNTIFS('Definitions'!$A$8:$A$207,B127)&lt;&gt;1,"Unknown / duplicate definition",IF(VLOOKUP(B127,'Definitions'!$A$8:$J$207,7,FALSE)&lt;&gt;"Yes","Use bulk stock for untracked parts",IF(C127="","Missing manufacturer serial",IF(COUNTIFS($B$8:$B$207,B127,$C$8:$C$207,C127)&lt;&gt;1,"Duplicate part and serial",IF(OR(D127="",AND(E127&lt;&gt;"Good",E127&lt;&gt;"Faulty",E127&lt;&gt;"Unknown")),"Set location and condition",IF(AND(F127&lt;&gt;"In stock",F127&lt;&gt;"Packed",F127&lt;&gt;"Installed",F127&lt;&gt;"In transit",F127&lt;&gt;"Quarantine",F127&lt;&gt;"Retired"),"Choose asset state",IF(AND(G127&lt;&gt;"Unallocated",G127&lt;&gt;"This plan",G127&lt;&gt;"Other plan"),"Choose allocation",IF(AND(H127&lt;&gt;"",G127&lt;&gt;"This plan"),"Assigned role needs This plan",IF(AND(H127&lt;&gt;"",COUNTIFS('Layout'!$A$8:$A$207,H127)&lt;&gt;1),"Unknown / duplicate role",IF(H127&lt;&gt;"",IF(VLOOKUP(H127,'Layout'!$A$8:$N$207,7,FALSE)&lt;&gt;B127,"Assigned role part mismatch","OK"),IF(AND(F127="Installed",G127="This plan"),"Set installed role","OK")))))))))))))</x:f>
      </x:c>
    </x:row>
    <x:row r="128" ht="22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1" t="str">
        <x:f>IF(A128="","",IF(AND(E128="Good",OR(AND(G128="Unallocated",F128="In stock"),AND(G128="This plan",OR(F128="In stock",F128="Packed",F128="Installed")))),1,0))</x:f>
      </x:c>
      <x:c r="K128" s="9" t="str">
        <x:f>IF(A128="","",IF(COUNTIFS('Assets'!$A$8:$A$207,A128)&lt;&gt;1,"Duplicate asset ID",IF(COUNTIFS('Definitions'!$A$8:$A$207,B128)&lt;&gt;1,"Unknown / duplicate definition",IF(VLOOKUP(B128,'Definitions'!$A$8:$J$207,7,FALSE)&lt;&gt;"Yes","Use bulk stock for untracked parts",IF(C128="","Missing manufacturer serial",IF(COUNTIFS($B$8:$B$207,B128,$C$8:$C$207,C128)&lt;&gt;1,"Duplicate part and serial",IF(OR(D128="",AND(E128&lt;&gt;"Good",E128&lt;&gt;"Faulty",E128&lt;&gt;"Unknown")),"Set location and condition",IF(AND(F128&lt;&gt;"In stock",F128&lt;&gt;"Packed",F128&lt;&gt;"Installed",F128&lt;&gt;"In transit",F128&lt;&gt;"Quarantine",F128&lt;&gt;"Retired"),"Choose asset state",IF(AND(G128&lt;&gt;"Unallocated",G128&lt;&gt;"This plan",G128&lt;&gt;"Other plan"),"Choose allocation",IF(AND(H128&lt;&gt;"",G128&lt;&gt;"This plan"),"Assigned role needs This plan",IF(AND(H128&lt;&gt;"",COUNTIFS('Layout'!$A$8:$A$207,H128)&lt;&gt;1),"Unknown / duplicate role",IF(H128&lt;&gt;"",IF(VLOOKUP(H128,'Layout'!$A$8:$N$207,7,FALSE)&lt;&gt;B128,"Assigned role part mismatch","OK"),IF(AND(F128="Installed",G128="This plan"),"Set installed role","OK")))))))))))))</x:f>
      </x:c>
    </x:row>
    <x:row r="129" ht="22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1" t="str">
        <x:f>IF(A129="","",IF(AND(E129="Good",OR(AND(G129="Unallocated",F129="In stock"),AND(G129="This plan",OR(F129="In stock",F129="Packed",F129="Installed")))),1,0))</x:f>
      </x:c>
      <x:c r="K129" s="9" t="str">
        <x:f>IF(A129="","",IF(COUNTIFS('Assets'!$A$8:$A$207,A129)&lt;&gt;1,"Duplicate asset ID",IF(COUNTIFS('Definitions'!$A$8:$A$207,B129)&lt;&gt;1,"Unknown / duplicate definition",IF(VLOOKUP(B129,'Definitions'!$A$8:$J$207,7,FALSE)&lt;&gt;"Yes","Use bulk stock for untracked parts",IF(C129="","Missing manufacturer serial",IF(COUNTIFS($B$8:$B$207,B129,$C$8:$C$207,C129)&lt;&gt;1,"Duplicate part and serial",IF(OR(D129="",AND(E129&lt;&gt;"Good",E129&lt;&gt;"Faulty",E129&lt;&gt;"Unknown")),"Set location and condition",IF(AND(F129&lt;&gt;"In stock",F129&lt;&gt;"Packed",F129&lt;&gt;"Installed",F129&lt;&gt;"In transit",F129&lt;&gt;"Quarantine",F129&lt;&gt;"Retired"),"Choose asset state",IF(AND(G129&lt;&gt;"Unallocated",G129&lt;&gt;"This plan",G129&lt;&gt;"Other plan"),"Choose allocation",IF(AND(H129&lt;&gt;"",G129&lt;&gt;"This plan"),"Assigned role needs This plan",IF(AND(H129&lt;&gt;"",COUNTIFS('Layout'!$A$8:$A$207,H129)&lt;&gt;1),"Unknown / duplicate role",IF(H129&lt;&gt;"",IF(VLOOKUP(H129,'Layout'!$A$8:$N$207,7,FALSE)&lt;&gt;B129,"Assigned role part mismatch","OK"),IF(AND(F129="Installed",G129="This plan"),"Set installed role","OK")))))))))))))</x:f>
      </x:c>
    </x:row>
    <x:row r="130" ht="22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1" t="str">
        <x:f>IF(A130="","",IF(AND(E130="Good",OR(AND(G130="Unallocated",F130="In stock"),AND(G130="This plan",OR(F130="In stock",F130="Packed",F130="Installed")))),1,0))</x:f>
      </x:c>
      <x:c r="K130" s="9" t="str">
        <x:f>IF(A130="","",IF(COUNTIFS('Assets'!$A$8:$A$207,A130)&lt;&gt;1,"Duplicate asset ID",IF(COUNTIFS('Definitions'!$A$8:$A$207,B130)&lt;&gt;1,"Unknown / duplicate definition",IF(VLOOKUP(B130,'Definitions'!$A$8:$J$207,7,FALSE)&lt;&gt;"Yes","Use bulk stock for untracked parts",IF(C130="","Missing manufacturer serial",IF(COUNTIFS($B$8:$B$207,B130,$C$8:$C$207,C130)&lt;&gt;1,"Duplicate part and serial",IF(OR(D130="",AND(E130&lt;&gt;"Good",E130&lt;&gt;"Faulty",E130&lt;&gt;"Unknown")),"Set location and condition",IF(AND(F130&lt;&gt;"In stock",F130&lt;&gt;"Packed",F130&lt;&gt;"Installed",F130&lt;&gt;"In transit",F130&lt;&gt;"Quarantine",F130&lt;&gt;"Retired"),"Choose asset state",IF(AND(G130&lt;&gt;"Unallocated",G130&lt;&gt;"This plan",G130&lt;&gt;"Other plan"),"Choose allocation",IF(AND(H130&lt;&gt;"",G130&lt;&gt;"This plan"),"Assigned role needs This plan",IF(AND(H130&lt;&gt;"",COUNTIFS('Layout'!$A$8:$A$207,H130)&lt;&gt;1),"Unknown / duplicate role",IF(H130&lt;&gt;"",IF(VLOOKUP(H130,'Layout'!$A$8:$N$207,7,FALSE)&lt;&gt;B130,"Assigned role part mismatch","OK"),IF(AND(F130="Installed",G130="This plan"),"Set installed role","OK")))))))))))))</x:f>
      </x:c>
    </x:row>
    <x:row r="131" ht="22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1" t="str">
        <x:f>IF(A131="","",IF(AND(E131="Good",OR(AND(G131="Unallocated",F131="In stock"),AND(G131="This plan",OR(F131="In stock",F131="Packed",F131="Installed")))),1,0))</x:f>
      </x:c>
      <x:c r="K131" s="9" t="str">
        <x:f>IF(A131="","",IF(COUNTIFS('Assets'!$A$8:$A$207,A131)&lt;&gt;1,"Duplicate asset ID",IF(COUNTIFS('Definitions'!$A$8:$A$207,B131)&lt;&gt;1,"Unknown / duplicate definition",IF(VLOOKUP(B131,'Definitions'!$A$8:$J$207,7,FALSE)&lt;&gt;"Yes","Use bulk stock for untracked parts",IF(C131="","Missing manufacturer serial",IF(COUNTIFS($B$8:$B$207,B131,$C$8:$C$207,C131)&lt;&gt;1,"Duplicate part and serial",IF(OR(D131="",AND(E131&lt;&gt;"Good",E131&lt;&gt;"Faulty",E131&lt;&gt;"Unknown")),"Set location and condition",IF(AND(F131&lt;&gt;"In stock",F131&lt;&gt;"Packed",F131&lt;&gt;"Installed",F131&lt;&gt;"In transit",F131&lt;&gt;"Quarantine",F131&lt;&gt;"Retired"),"Choose asset state",IF(AND(G131&lt;&gt;"Unallocated",G131&lt;&gt;"This plan",G131&lt;&gt;"Other plan"),"Choose allocation",IF(AND(H131&lt;&gt;"",G131&lt;&gt;"This plan"),"Assigned role needs This plan",IF(AND(H131&lt;&gt;"",COUNTIFS('Layout'!$A$8:$A$207,H131)&lt;&gt;1),"Unknown / duplicate role",IF(H131&lt;&gt;"",IF(VLOOKUP(H131,'Layout'!$A$8:$N$207,7,FALSE)&lt;&gt;B131,"Assigned role part mismatch","OK"),IF(AND(F131="Installed",G131="This plan"),"Set installed role","OK")))))))))))))</x:f>
      </x:c>
    </x:row>
    <x:row r="132" ht="22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1" t="str">
        <x:f>IF(A132="","",IF(AND(E132="Good",OR(AND(G132="Unallocated",F132="In stock"),AND(G132="This plan",OR(F132="In stock",F132="Packed",F132="Installed")))),1,0))</x:f>
      </x:c>
      <x:c r="K132" s="9" t="str">
        <x:f>IF(A132="","",IF(COUNTIFS('Assets'!$A$8:$A$207,A132)&lt;&gt;1,"Duplicate asset ID",IF(COUNTIFS('Definitions'!$A$8:$A$207,B132)&lt;&gt;1,"Unknown / duplicate definition",IF(VLOOKUP(B132,'Definitions'!$A$8:$J$207,7,FALSE)&lt;&gt;"Yes","Use bulk stock for untracked parts",IF(C132="","Missing manufacturer serial",IF(COUNTIFS($B$8:$B$207,B132,$C$8:$C$207,C132)&lt;&gt;1,"Duplicate part and serial",IF(OR(D132="",AND(E132&lt;&gt;"Good",E132&lt;&gt;"Faulty",E132&lt;&gt;"Unknown")),"Set location and condition",IF(AND(F132&lt;&gt;"In stock",F132&lt;&gt;"Packed",F132&lt;&gt;"Installed",F132&lt;&gt;"In transit",F132&lt;&gt;"Quarantine",F132&lt;&gt;"Retired"),"Choose asset state",IF(AND(G132&lt;&gt;"Unallocated",G132&lt;&gt;"This plan",G132&lt;&gt;"Other plan"),"Choose allocation",IF(AND(H132&lt;&gt;"",G132&lt;&gt;"This plan"),"Assigned role needs This plan",IF(AND(H132&lt;&gt;"",COUNTIFS('Layout'!$A$8:$A$207,H132)&lt;&gt;1),"Unknown / duplicate role",IF(H132&lt;&gt;"",IF(VLOOKUP(H132,'Layout'!$A$8:$N$207,7,FALSE)&lt;&gt;B132,"Assigned role part mismatch","OK"),IF(AND(F132="Installed",G132="This plan"),"Set installed role","OK")))))))))))))</x:f>
      </x:c>
    </x:row>
    <x:row r="133" ht="22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1" t="str">
        <x:f>IF(A133="","",IF(AND(E133="Good",OR(AND(G133="Unallocated",F133="In stock"),AND(G133="This plan",OR(F133="In stock",F133="Packed",F133="Installed")))),1,0))</x:f>
      </x:c>
      <x:c r="K133" s="9" t="str">
        <x:f>IF(A133="","",IF(COUNTIFS('Assets'!$A$8:$A$207,A133)&lt;&gt;1,"Duplicate asset ID",IF(COUNTIFS('Definitions'!$A$8:$A$207,B133)&lt;&gt;1,"Unknown / duplicate definition",IF(VLOOKUP(B133,'Definitions'!$A$8:$J$207,7,FALSE)&lt;&gt;"Yes","Use bulk stock for untracked parts",IF(C133="","Missing manufacturer serial",IF(COUNTIFS($B$8:$B$207,B133,$C$8:$C$207,C133)&lt;&gt;1,"Duplicate part and serial",IF(OR(D133="",AND(E133&lt;&gt;"Good",E133&lt;&gt;"Faulty",E133&lt;&gt;"Unknown")),"Set location and condition",IF(AND(F133&lt;&gt;"In stock",F133&lt;&gt;"Packed",F133&lt;&gt;"Installed",F133&lt;&gt;"In transit",F133&lt;&gt;"Quarantine",F133&lt;&gt;"Retired"),"Choose asset state",IF(AND(G133&lt;&gt;"Unallocated",G133&lt;&gt;"This plan",G133&lt;&gt;"Other plan"),"Choose allocation",IF(AND(H133&lt;&gt;"",G133&lt;&gt;"This plan"),"Assigned role needs This plan",IF(AND(H133&lt;&gt;"",COUNTIFS('Layout'!$A$8:$A$207,H133)&lt;&gt;1),"Unknown / duplicate role",IF(H133&lt;&gt;"",IF(VLOOKUP(H133,'Layout'!$A$8:$N$207,7,FALSE)&lt;&gt;B133,"Assigned role part mismatch","OK"),IF(AND(F133="Installed",G133="This plan"),"Set installed role","OK")))))))))))))</x:f>
      </x:c>
    </x:row>
    <x:row r="134" ht="22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1" t="str">
        <x:f>IF(A134="","",IF(AND(E134="Good",OR(AND(G134="Unallocated",F134="In stock"),AND(G134="This plan",OR(F134="In stock",F134="Packed",F134="Installed")))),1,0))</x:f>
      </x:c>
      <x:c r="K134" s="9" t="str">
        <x:f>IF(A134="","",IF(COUNTIFS('Assets'!$A$8:$A$207,A134)&lt;&gt;1,"Duplicate asset ID",IF(COUNTIFS('Definitions'!$A$8:$A$207,B134)&lt;&gt;1,"Unknown / duplicate definition",IF(VLOOKUP(B134,'Definitions'!$A$8:$J$207,7,FALSE)&lt;&gt;"Yes","Use bulk stock for untracked parts",IF(C134="","Missing manufacturer serial",IF(COUNTIFS($B$8:$B$207,B134,$C$8:$C$207,C134)&lt;&gt;1,"Duplicate part and serial",IF(OR(D134="",AND(E134&lt;&gt;"Good",E134&lt;&gt;"Faulty",E134&lt;&gt;"Unknown")),"Set location and condition",IF(AND(F134&lt;&gt;"In stock",F134&lt;&gt;"Packed",F134&lt;&gt;"Installed",F134&lt;&gt;"In transit",F134&lt;&gt;"Quarantine",F134&lt;&gt;"Retired"),"Choose asset state",IF(AND(G134&lt;&gt;"Unallocated",G134&lt;&gt;"This plan",G134&lt;&gt;"Other plan"),"Choose allocation",IF(AND(H134&lt;&gt;"",G134&lt;&gt;"This plan"),"Assigned role needs This plan",IF(AND(H134&lt;&gt;"",COUNTIFS('Layout'!$A$8:$A$207,H134)&lt;&gt;1),"Unknown / duplicate role",IF(H134&lt;&gt;"",IF(VLOOKUP(H134,'Layout'!$A$8:$N$207,7,FALSE)&lt;&gt;B134,"Assigned role part mismatch","OK"),IF(AND(F134="Installed",G134="This plan"),"Set installed role","OK")))))))))))))</x:f>
      </x:c>
    </x:row>
    <x:row r="135" ht="22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1" t="str">
        <x:f>IF(A135="","",IF(AND(E135="Good",OR(AND(G135="Unallocated",F135="In stock"),AND(G135="This plan",OR(F135="In stock",F135="Packed",F135="Installed")))),1,0))</x:f>
      </x:c>
      <x:c r="K135" s="9" t="str">
        <x:f>IF(A135="","",IF(COUNTIFS('Assets'!$A$8:$A$207,A135)&lt;&gt;1,"Duplicate asset ID",IF(COUNTIFS('Definitions'!$A$8:$A$207,B135)&lt;&gt;1,"Unknown / duplicate definition",IF(VLOOKUP(B135,'Definitions'!$A$8:$J$207,7,FALSE)&lt;&gt;"Yes","Use bulk stock for untracked parts",IF(C135="","Missing manufacturer serial",IF(COUNTIFS($B$8:$B$207,B135,$C$8:$C$207,C135)&lt;&gt;1,"Duplicate part and serial",IF(OR(D135="",AND(E135&lt;&gt;"Good",E135&lt;&gt;"Faulty",E135&lt;&gt;"Unknown")),"Set location and condition",IF(AND(F135&lt;&gt;"In stock",F135&lt;&gt;"Packed",F135&lt;&gt;"Installed",F135&lt;&gt;"In transit",F135&lt;&gt;"Quarantine",F135&lt;&gt;"Retired"),"Choose asset state",IF(AND(G135&lt;&gt;"Unallocated",G135&lt;&gt;"This plan",G135&lt;&gt;"Other plan"),"Choose allocation",IF(AND(H135&lt;&gt;"",G135&lt;&gt;"This plan"),"Assigned role needs This plan",IF(AND(H135&lt;&gt;"",COUNTIFS('Layout'!$A$8:$A$207,H135)&lt;&gt;1),"Unknown / duplicate role",IF(H135&lt;&gt;"",IF(VLOOKUP(H135,'Layout'!$A$8:$N$207,7,FALSE)&lt;&gt;B135,"Assigned role part mismatch","OK"),IF(AND(F135="Installed",G135="This plan"),"Set installed role","OK")))))))))))))</x:f>
      </x:c>
    </x:row>
    <x:row r="136" ht="22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1" t="str">
        <x:f>IF(A136="","",IF(AND(E136="Good",OR(AND(G136="Unallocated",F136="In stock"),AND(G136="This plan",OR(F136="In stock",F136="Packed",F136="Installed")))),1,0))</x:f>
      </x:c>
      <x:c r="K136" s="9" t="str">
        <x:f>IF(A136="","",IF(COUNTIFS('Assets'!$A$8:$A$207,A136)&lt;&gt;1,"Duplicate asset ID",IF(COUNTIFS('Definitions'!$A$8:$A$207,B136)&lt;&gt;1,"Unknown / duplicate definition",IF(VLOOKUP(B136,'Definitions'!$A$8:$J$207,7,FALSE)&lt;&gt;"Yes","Use bulk stock for untracked parts",IF(C136="","Missing manufacturer serial",IF(COUNTIFS($B$8:$B$207,B136,$C$8:$C$207,C136)&lt;&gt;1,"Duplicate part and serial",IF(OR(D136="",AND(E136&lt;&gt;"Good",E136&lt;&gt;"Faulty",E136&lt;&gt;"Unknown")),"Set location and condition",IF(AND(F136&lt;&gt;"In stock",F136&lt;&gt;"Packed",F136&lt;&gt;"Installed",F136&lt;&gt;"In transit",F136&lt;&gt;"Quarantine",F136&lt;&gt;"Retired"),"Choose asset state",IF(AND(G136&lt;&gt;"Unallocated",G136&lt;&gt;"This plan",G136&lt;&gt;"Other plan"),"Choose allocation",IF(AND(H136&lt;&gt;"",G136&lt;&gt;"This plan"),"Assigned role needs This plan",IF(AND(H136&lt;&gt;"",COUNTIFS('Layout'!$A$8:$A$207,H136)&lt;&gt;1),"Unknown / duplicate role",IF(H136&lt;&gt;"",IF(VLOOKUP(H136,'Layout'!$A$8:$N$207,7,FALSE)&lt;&gt;B136,"Assigned role part mismatch","OK"),IF(AND(F136="Installed",G136="This plan"),"Set installed role","OK")))))))))))))</x:f>
      </x:c>
    </x:row>
    <x:row r="137" ht="22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1" t="str">
        <x:f>IF(A137="","",IF(AND(E137="Good",OR(AND(G137="Unallocated",F137="In stock"),AND(G137="This plan",OR(F137="In stock",F137="Packed",F137="Installed")))),1,0))</x:f>
      </x:c>
      <x:c r="K137" s="9" t="str">
        <x:f>IF(A137="","",IF(COUNTIFS('Assets'!$A$8:$A$207,A137)&lt;&gt;1,"Duplicate asset ID",IF(COUNTIFS('Definitions'!$A$8:$A$207,B137)&lt;&gt;1,"Unknown / duplicate definition",IF(VLOOKUP(B137,'Definitions'!$A$8:$J$207,7,FALSE)&lt;&gt;"Yes","Use bulk stock for untracked parts",IF(C137="","Missing manufacturer serial",IF(COUNTIFS($B$8:$B$207,B137,$C$8:$C$207,C137)&lt;&gt;1,"Duplicate part and serial",IF(OR(D137="",AND(E137&lt;&gt;"Good",E137&lt;&gt;"Faulty",E137&lt;&gt;"Unknown")),"Set location and condition",IF(AND(F137&lt;&gt;"In stock",F137&lt;&gt;"Packed",F137&lt;&gt;"Installed",F137&lt;&gt;"In transit",F137&lt;&gt;"Quarantine",F137&lt;&gt;"Retired"),"Choose asset state",IF(AND(G137&lt;&gt;"Unallocated",G137&lt;&gt;"This plan",G137&lt;&gt;"Other plan"),"Choose allocation",IF(AND(H137&lt;&gt;"",G137&lt;&gt;"This plan"),"Assigned role needs This plan",IF(AND(H137&lt;&gt;"",COUNTIFS('Layout'!$A$8:$A$207,H137)&lt;&gt;1),"Unknown / duplicate role",IF(H137&lt;&gt;"",IF(VLOOKUP(H137,'Layout'!$A$8:$N$207,7,FALSE)&lt;&gt;B137,"Assigned role part mismatch","OK"),IF(AND(F137="Installed",G137="This plan"),"Set installed role","OK")))))))))))))</x:f>
      </x:c>
    </x:row>
    <x:row r="138" ht="22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1" t="str">
        <x:f>IF(A138="","",IF(AND(E138="Good",OR(AND(G138="Unallocated",F138="In stock"),AND(G138="This plan",OR(F138="In stock",F138="Packed",F138="Installed")))),1,0))</x:f>
      </x:c>
      <x:c r="K138" s="9" t="str">
        <x:f>IF(A138="","",IF(COUNTIFS('Assets'!$A$8:$A$207,A138)&lt;&gt;1,"Duplicate asset ID",IF(COUNTIFS('Definitions'!$A$8:$A$207,B138)&lt;&gt;1,"Unknown / duplicate definition",IF(VLOOKUP(B138,'Definitions'!$A$8:$J$207,7,FALSE)&lt;&gt;"Yes","Use bulk stock for untracked parts",IF(C138="","Missing manufacturer serial",IF(COUNTIFS($B$8:$B$207,B138,$C$8:$C$207,C138)&lt;&gt;1,"Duplicate part and serial",IF(OR(D138="",AND(E138&lt;&gt;"Good",E138&lt;&gt;"Faulty",E138&lt;&gt;"Unknown")),"Set location and condition",IF(AND(F138&lt;&gt;"In stock",F138&lt;&gt;"Packed",F138&lt;&gt;"Installed",F138&lt;&gt;"In transit",F138&lt;&gt;"Quarantine",F138&lt;&gt;"Retired"),"Choose asset state",IF(AND(G138&lt;&gt;"Unallocated",G138&lt;&gt;"This plan",G138&lt;&gt;"Other plan"),"Choose allocation",IF(AND(H138&lt;&gt;"",G138&lt;&gt;"This plan"),"Assigned role needs This plan",IF(AND(H138&lt;&gt;"",COUNTIFS('Layout'!$A$8:$A$207,H138)&lt;&gt;1),"Unknown / duplicate role",IF(H138&lt;&gt;"",IF(VLOOKUP(H138,'Layout'!$A$8:$N$207,7,FALSE)&lt;&gt;B138,"Assigned role part mismatch","OK"),IF(AND(F138="Installed",G138="This plan"),"Set installed role","OK")))))))))))))</x:f>
      </x:c>
    </x:row>
    <x:row r="139" ht="22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1" t="str">
        <x:f>IF(A139="","",IF(AND(E139="Good",OR(AND(G139="Unallocated",F139="In stock"),AND(G139="This plan",OR(F139="In stock",F139="Packed",F139="Installed")))),1,0))</x:f>
      </x:c>
      <x:c r="K139" s="9" t="str">
        <x:f>IF(A139="","",IF(COUNTIFS('Assets'!$A$8:$A$207,A139)&lt;&gt;1,"Duplicate asset ID",IF(COUNTIFS('Definitions'!$A$8:$A$207,B139)&lt;&gt;1,"Unknown / duplicate definition",IF(VLOOKUP(B139,'Definitions'!$A$8:$J$207,7,FALSE)&lt;&gt;"Yes","Use bulk stock for untracked parts",IF(C139="","Missing manufacturer serial",IF(COUNTIFS($B$8:$B$207,B139,$C$8:$C$207,C139)&lt;&gt;1,"Duplicate part and serial",IF(OR(D139="",AND(E139&lt;&gt;"Good",E139&lt;&gt;"Faulty",E139&lt;&gt;"Unknown")),"Set location and condition",IF(AND(F139&lt;&gt;"In stock",F139&lt;&gt;"Packed",F139&lt;&gt;"Installed",F139&lt;&gt;"In transit",F139&lt;&gt;"Quarantine",F139&lt;&gt;"Retired"),"Choose asset state",IF(AND(G139&lt;&gt;"Unallocated",G139&lt;&gt;"This plan",G139&lt;&gt;"Other plan"),"Choose allocation",IF(AND(H139&lt;&gt;"",G139&lt;&gt;"This plan"),"Assigned role needs This plan",IF(AND(H139&lt;&gt;"",COUNTIFS('Layout'!$A$8:$A$207,H139)&lt;&gt;1),"Unknown / duplicate role",IF(H139&lt;&gt;"",IF(VLOOKUP(H139,'Layout'!$A$8:$N$207,7,FALSE)&lt;&gt;B139,"Assigned role part mismatch","OK"),IF(AND(F139="Installed",G139="This plan"),"Set installed role","OK")))))))))))))</x:f>
      </x:c>
    </x:row>
    <x:row r="140" ht="22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1" t="str">
        <x:f>IF(A140="","",IF(AND(E140="Good",OR(AND(G140="Unallocated",F140="In stock"),AND(G140="This plan",OR(F140="In stock",F140="Packed",F140="Installed")))),1,0))</x:f>
      </x:c>
      <x:c r="K140" s="9" t="str">
        <x:f>IF(A140="","",IF(COUNTIFS('Assets'!$A$8:$A$207,A140)&lt;&gt;1,"Duplicate asset ID",IF(COUNTIFS('Definitions'!$A$8:$A$207,B140)&lt;&gt;1,"Unknown / duplicate definition",IF(VLOOKUP(B140,'Definitions'!$A$8:$J$207,7,FALSE)&lt;&gt;"Yes","Use bulk stock for untracked parts",IF(C140="","Missing manufacturer serial",IF(COUNTIFS($B$8:$B$207,B140,$C$8:$C$207,C140)&lt;&gt;1,"Duplicate part and serial",IF(OR(D140="",AND(E140&lt;&gt;"Good",E140&lt;&gt;"Faulty",E140&lt;&gt;"Unknown")),"Set location and condition",IF(AND(F140&lt;&gt;"In stock",F140&lt;&gt;"Packed",F140&lt;&gt;"Installed",F140&lt;&gt;"In transit",F140&lt;&gt;"Quarantine",F140&lt;&gt;"Retired"),"Choose asset state",IF(AND(G140&lt;&gt;"Unallocated",G140&lt;&gt;"This plan",G140&lt;&gt;"Other plan"),"Choose allocation",IF(AND(H140&lt;&gt;"",G140&lt;&gt;"This plan"),"Assigned role needs This plan",IF(AND(H140&lt;&gt;"",COUNTIFS('Layout'!$A$8:$A$207,H140)&lt;&gt;1),"Unknown / duplicate role",IF(H140&lt;&gt;"",IF(VLOOKUP(H140,'Layout'!$A$8:$N$207,7,FALSE)&lt;&gt;B140,"Assigned role part mismatch","OK"),IF(AND(F140="Installed",G140="This plan"),"Set installed role","OK")))))))))))))</x:f>
      </x:c>
    </x:row>
    <x:row r="141" ht="22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1" t="str">
        <x:f>IF(A141="","",IF(AND(E141="Good",OR(AND(G141="Unallocated",F141="In stock"),AND(G141="This plan",OR(F141="In stock",F141="Packed",F141="Installed")))),1,0))</x:f>
      </x:c>
      <x:c r="K141" s="9" t="str">
        <x:f>IF(A141="","",IF(COUNTIFS('Assets'!$A$8:$A$207,A141)&lt;&gt;1,"Duplicate asset ID",IF(COUNTIFS('Definitions'!$A$8:$A$207,B141)&lt;&gt;1,"Unknown / duplicate definition",IF(VLOOKUP(B141,'Definitions'!$A$8:$J$207,7,FALSE)&lt;&gt;"Yes","Use bulk stock for untracked parts",IF(C141="","Missing manufacturer serial",IF(COUNTIFS($B$8:$B$207,B141,$C$8:$C$207,C141)&lt;&gt;1,"Duplicate part and serial",IF(OR(D141="",AND(E141&lt;&gt;"Good",E141&lt;&gt;"Faulty",E141&lt;&gt;"Unknown")),"Set location and condition",IF(AND(F141&lt;&gt;"In stock",F141&lt;&gt;"Packed",F141&lt;&gt;"Installed",F141&lt;&gt;"In transit",F141&lt;&gt;"Quarantine",F141&lt;&gt;"Retired"),"Choose asset state",IF(AND(G141&lt;&gt;"Unallocated",G141&lt;&gt;"This plan",G141&lt;&gt;"Other plan"),"Choose allocation",IF(AND(H141&lt;&gt;"",G141&lt;&gt;"This plan"),"Assigned role needs This plan",IF(AND(H141&lt;&gt;"",COUNTIFS('Layout'!$A$8:$A$207,H141)&lt;&gt;1),"Unknown / duplicate role",IF(H141&lt;&gt;"",IF(VLOOKUP(H141,'Layout'!$A$8:$N$207,7,FALSE)&lt;&gt;B141,"Assigned role part mismatch","OK"),IF(AND(F141="Installed",G141="This plan"),"Set installed role","OK")))))))))))))</x:f>
      </x:c>
    </x:row>
    <x:row r="142" ht="22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1" t="str">
        <x:f>IF(A142="","",IF(AND(E142="Good",OR(AND(G142="Unallocated",F142="In stock"),AND(G142="This plan",OR(F142="In stock",F142="Packed",F142="Installed")))),1,0))</x:f>
      </x:c>
      <x:c r="K142" s="9" t="str">
        <x:f>IF(A142="","",IF(COUNTIFS('Assets'!$A$8:$A$207,A142)&lt;&gt;1,"Duplicate asset ID",IF(COUNTIFS('Definitions'!$A$8:$A$207,B142)&lt;&gt;1,"Unknown / duplicate definition",IF(VLOOKUP(B142,'Definitions'!$A$8:$J$207,7,FALSE)&lt;&gt;"Yes","Use bulk stock for untracked parts",IF(C142="","Missing manufacturer serial",IF(COUNTIFS($B$8:$B$207,B142,$C$8:$C$207,C142)&lt;&gt;1,"Duplicate part and serial",IF(OR(D142="",AND(E142&lt;&gt;"Good",E142&lt;&gt;"Faulty",E142&lt;&gt;"Unknown")),"Set location and condition",IF(AND(F142&lt;&gt;"In stock",F142&lt;&gt;"Packed",F142&lt;&gt;"Installed",F142&lt;&gt;"In transit",F142&lt;&gt;"Quarantine",F142&lt;&gt;"Retired"),"Choose asset state",IF(AND(G142&lt;&gt;"Unallocated",G142&lt;&gt;"This plan",G142&lt;&gt;"Other plan"),"Choose allocation",IF(AND(H142&lt;&gt;"",G142&lt;&gt;"This plan"),"Assigned role needs This plan",IF(AND(H142&lt;&gt;"",COUNTIFS('Layout'!$A$8:$A$207,H142)&lt;&gt;1),"Unknown / duplicate role",IF(H142&lt;&gt;"",IF(VLOOKUP(H142,'Layout'!$A$8:$N$207,7,FALSE)&lt;&gt;B142,"Assigned role part mismatch","OK"),IF(AND(F142="Installed",G142="This plan"),"Set installed role","OK")))))))))))))</x:f>
      </x:c>
    </x:row>
    <x:row r="143" ht="22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1" t="str">
        <x:f>IF(A143="","",IF(AND(E143="Good",OR(AND(G143="Unallocated",F143="In stock"),AND(G143="This plan",OR(F143="In stock",F143="Packed",F143="Installed")))),1,0))</x:f>
      </x:c>
      <x:c r="K143" s="9" t="str">
        <x:f>IF(A143="","",IF(COUNTIFS('Assets'!$A$8:$A$207,A143)&lt;&gt;1,"Duplicate asset ID",IF(COUNTIFS('Definitions'!$A$8:$A$207,B143)&lt;&gt;1,"Unknown / duplicate definition",IF(VLOOKUP(B143,'Definitions'!$A$8:$J$207,7,FALSE)&lt;&gt;"Yes","Use bulk stock for untracked parts",IF(C143="","Missing manufacturer serial",IF(COUNTIFS($B$8:$B$207,B143,$C$8:$C$207,C143)&lt;&gt;1,"Duplicate part and serial",IF(OR(D143="",AND(E143&lt;&gt;"Good",E143&lt;&gt;"Faulty",E143&lt;&gt;"Unknown")),"Set location and condition",IF(AND(F143&lt;&gt;"In stock",F143&lt;&gt;"Packed",F143&lt;&gt;"Installed",F143&lt;&gt;"In transit",F143&lt;&gt;"Quarantine",F143&lt;&gt;"Retired"),"Choose asset state",IF(AND(G143&lt;&gt;"Unallocated",G143&lt;&gt;"This plan",G143&lt;&gt;"Other plan"),"Choose allocation",IF(AND(H143&lt;&gt;"",G143&lt;&gt;"This plan"),"Assigned role needs This plan",IF(AND(H143&lt;&gt;"",COUNTIFS('Layout'!$A$8:$A$207,H143)&lt;&gt;1),"Unknown / duplicate role",IF(H143&lt;&gt;"",IF(VLOOKUP(H143,'Layout'!$A$8:$N$207,7,FALSE)&lt;&gt;B143,"Assigned role part mismatch","OK"),IF(AND(F143="Installed",G143="This plan"),"Set installed role","OK")))))))))))))</x:f>
      </x:c>
    </x:row>
    <x:row r="144" ht="22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1" t="str">
        <x:f>IF(A144="","",IF(AND(E144="Good",OR(AND(G144="Unallocated",F144="In stock"),AND(G144="This plan",OR(F144="In stock",F144="Packed",F144="Installed")))),1,0))</x:f>
      </x:c>
      <x:c r="K144" s="9" t="str">
        <x:f>IF(A144="","",IF(COUNTIFS('Assets'!$A$8:$A$207,A144)&lt;&gt;1,"Duplicate asset ID",IF(COUNTIFS('Definitions'!$A$8:$A$207,B144)&lt;&gt;1,"Unknown / duplicate definition",IF(VLOOKUP(B144,'Definitions'!$A$8:$J$207,7,FALSE)&lt;&gt;"Yes","Use bulk stock for untracked parts",IF(C144="","Missing manufacturer serial",IF(COUNTIFS($B$8:$B$207,B144,$C$8:$C$207,C144)&lt;&gt;1,"Duplicate part and serial",IF(OR(D144="",AND(E144&lt;&gt;"Good",E144&lt;&gt;"Faulty",E144&lt;&gt;"Unknown")),"Set location and condition",IF(AND(F144&lt;&gt;"In stock",F144&lt;&gt;"Packed",F144&lt;&gt;"Installed",F144&lt;&gt;"In transit",F144&lt;&gt;"Quarantine",F144&lt;&gt;"Retired"),"Choose asset state",IF(AND(G144&lt;&gt;"Unallocated",G144&lt;&gt;"This plan",G144&lt;&gt;"Other plan"),"Choose allocation",IF(AND(H144&lt;&gt;"",G144&lt;&gt;"This plan"),"Assigned role needs This plan",IF(AND(H144&lt;&gt;"",COUNTIFS('Layout'!$A$8:$A$207,H144)&lt;&gt;1),"Unknown / duplicate role",IF(H144&lt;&gt;"",IF(VLOOKUP(H144,'Layout'!$A$8:$N$207,7,FALSE)&lt;&gt;B144,"Assigned role part mismatch","OK"),IF(AND(F144="Installed",G144="This plan"),"Set installed role","OK")))))))))))))</x:f>
      </x:c>
    </x:row>
    <x:row r="145" ht="22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1" t="str">
        <x:f>IF(A145="","",IF(AND(E145="Good",OR(AND(G145="Unallocated",F145="In stock"),AND(G145="This plan",OR(F145="In stock",F145="Packed",F145="Installed")))),1,0))</x:f>
      </x:c>
      <x:c r="K145" s="9" t="str">
        <x:f>IF(A145="","",IF(COUNTIFS('Assets'!$A$8:$A$207,A145)&lt;&gt;1,"Duplicate asset ID",IF(COUNTIFS('Definitions'!$A$8:$A$207,B145)&lt;&gt;1,"Unknown / duplicate definition",IF(VLOOKUP(B145,'Definitions'!$A$8:$J$207,7,FALSE)&lt;&gt;"Yes","Use bulk stock for untracked parts",IF(C145="","Missing manufacturer serial",IF(COUNTIFS($B$8:$B$207,B145,$C$8:$C$207,C145)&lt;&gt;1,"Duplicate part and serial",IF(OR(D145="",AND(E145&lt;&gt;"Good",E145&lt;&gt;"Faulty",E145&lt;&gt;"Unknown")),"Set location and condition",IF(AND(F145&lt;&gt;"In stock",F145&lt;&gt;"Packed",F145&lt;&gt;"Installed",F145&lt;&gt;"In transit",F145&lt;&gt;"Quarantine",F145&lt;&gt;"Retired"),"Choose asset state",IF(AND(G145&lt;&gt;"Unallocated",G145&lt;&gt;"This plan",G145&lt;&gt;"Other plan"),"Choose allocation",IF(AND(H145&lt;&gt;"",G145&lt;&gt;"This plan"),"Assigned role needs This plan",IF(AND(H145&lt;&gt;"",COUNTIFS('Layout'!$A$8:$A$207,H145)&lt;&gt;1),"Unknown / duplicate role",IF(H145&lt;&gt;"",IF(VLOOKUP(H145,'Layout'!$A$8:$N$207,7,FALSE)&lt;&gt;B145,"Assigned role part mismatch","OK"),IF(AND(F145="Installed",G145="This plan"),"Set installed role","OK")))))))))))))</x:f>
      </x:c>
    </x:row>
    <x:row r="146" ht="22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1" t="str">
        <x:f>IF(A146="","",IF(AND(E146="Good",OR(AND(G146="Unallocated",F146="In stock"),AND(G146="This plan",OR(F146="In stock",F146="Packed",F146="Installed")))),1,0))</x:f>
      </x:c>
      <x:c r="K146" s="9" t="str">
        <x:f>IF(A146="","",IF(COUNTIFS('Assets'!$A$8:$A$207,A146)&lt;&gt;1,"Duplicate asset ID",IF(COUNTIFS('Definitions'!$A$8:$A$207,B146)&lt;&gt;1,"Unknown / duplicate definition",IF(VLOOKUP(B146,'Definitions'!$A$8:$J$207,7,FALSE)&lt;&gt;"Yes","Use bulk stock for untracked parts",IF(C146="","Missing manufacturer serial",IF(COUNTIFS($B$8:$B$207,B146,$C$8:$C$207,C146)&lt;&gt;1,"Duplicate part and serial",IF(OR(D146="",AND(E146&lt;&gt;"Good",E146&lt;&gt;"Faulty",E146&lt;&gt;"Unknown")),"Set location and condition",IF(AND(F146&lt;&gt;"In stock",F146&lt;&gt;"Packed",F146&lt;&gt;"Installed",F146&lt;&gt;"In transit",F146&lt;&gt;"Quarantine",F146&lt;&gt;"Retired"),"Choose asset state",IF(AND(G146&lt;&gt;"Unallocated",G146&lt;&gt;"This plan",G146&lt;&gt;"Other plan"),"Choose allocation",IF(AND(H146&lt;&gt;"",G146&lt;&gt;"This plan"),"Assigned role needs This plan",IF(AND(H146&lt;&gt;"",COUNTIFS('Layout'!$A$8:$A$207,H146)&lt;&gt;1),"Unknown / duplicate role",IF(H146&lt;&gt;"",IF(VLOOKUP(H146,'Layout'!$A$8:$N$207,7,FALSE)&lt;&gt;B146,"Assigned role part mismatch","OK"),IF(AND(F146="Installed",G146="This plan"),"Set installed role","OK")))))))))))))</x:f>
      </x:c>
    </x:row>
    <x:row r="147" ht="22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1" t="str">
        <x:f>IF(A147="","",IF(AND(E147="Good",OR(AND(G147="Unallocated",F147="In stock"),AND(G147="This plan",OR(F147="In stock",F147="Packed",F147="Installed")))),1,0))</x:f>
      </x:c>
      <x:c r="K147" s="9" t="str">
        <x:f>IF(A147="","",IF(COUNTIFS('Assets'!$A$8:$A$207,A147)&lt;&gt;1,"Duplicate asset ID",IF(COUNTIFS('Definitions'!$A$8:$A$207,B147)&lt;&gt;1,"Unknown / duplicate definition",IF(VLOOKUP(B147,'Definitions'!$A$8:$J$207,7,FALSE)&lt;&gt;"Yes","Use bulk stock for untracked parts",IF(C147="","Missing manufacturer serial",IF(COUNTIFS($B$8:$B$207,B147,$C$8:$C$207,C147)&lt;&gt;1,"Duplicate part and serial",IF(OR(D147="",AND(E147&lt;&gt;"Good",E147&lt;&gt;"Faulty",E147&lt;&gt;"Unknown")),"Set location and condition",IF(AND(F147&lt;&gt;"In stock",F147&lt;&gt;"Packed",F147&lt;&gt;"Installed",F147&lt;&gt;"In transit",F147&lt;&gt;"Quarantine",F147&lt;&gt;"Retired"),"Choose asset state",IF(AND(G147&lt;&gt;"Unallocated",G147&lt;&gt;"This plan",G147&lt;&gt;"Other plan"),"Choose allocation",IF(AND(H147&lt;&gt;"",G147&lt;&gt;"This plan"),"Assigned role needs This plan",IF(AND(H147&lt;&gt;"",COUNTIFS('Layout'!$A$8:$A$207,H147)&lt;&gt;1),"Unknown / duplicate role",IF(H147&lt;&gt;"",IF(VLOOKUP(H147,'Layout'!$A$8:$N$207,7,FALSE)&lt;&gt;B147,"Assigned role part mismatch","OK"),IF(AND(F147="Installed",G147="This plan"),"Set installed role","OK")))))))))))))</x:f>
      </x:c>
    </x:row>
    <x:row r="148" ht="22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1" t="str">
        <x:f>IF(A148="","",IF(AND(E148="Good",OR(AND(G148="Unallocated",F148="In stock"),AND(G148="This plan",OR(F148="In stock",F148="Packed",F148="Installed")))),1,0))</x:f>
      </x:c>
      <x:c r="K148" s="9" t="str">
        <x:f>IF(A148="","",IF(COUNTIFS('Assets'!$A$8:$A$207,A148)&lt;&gt;1,"Duplicate asset ID",IF(COUNTIFS('Definitions'!$A$8:$A$207,B148)&lt;&gt;1,"Unknown / duplicate definition",IF(VLOOKUP(B148,'Definitions'!$A$8:$J$207,7,FALSE)&lt;&gt;"Yes","Use bulk stock for untracked parts",IF(C148="","Missing manufacturer serial",IF(COUNTIFS($B$8:$B$207,B148,$C$8:$C$207,C148)&lt;&gt;1,"Duplicate part and serial",IF(OR(D148="",AND(E148&lt;&gt;"Good",E148&lt;&gt;"Faulty",E148&lt;&gt;"Unknown")),"Set location and condition",IF(AND(F148&lt;&gt;"In stock",F148&lt;&gt;"Packed",F148&lt;&gt;"Installed",F148&lt;&gt;"In transit",F148&lt;&gt;"Quarantine",F148&lt;&gt;"Retired"),"Choose asset state",IF(AND(G148&lt;&gt;"Unallocated",G148&lt;&gt;"This plan",G148&lt;&gt;"Other plan"),"Choose allocation",IF(AND(H148&lt;&gt;"",G148&lt;&gt;"This plan"),"Assigned role needs This plan",IF(AND(H148&lt;&gt;"",COUNTIFS('Layout'!$A$8:$A$207,H148)&lt;&gt;1),"Unknown / duplicate role",IF(H148&lt;&gt;"",IF(VLOOKUP(H148,'Layout'!$A$8:$N$207,7,FALSE)&lt;&gt;B148,"Assigned role part mismatch","OK"),IF(AND(F148="Installed",G148="This plan"),"Set installed role","OK")))))))))))))</x:f>
      </x:c>
    </x:row>
    <x:row r="149" ht="22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1" t="str">
        <x:f>IF(A149="","",IF(AND(E149="Good",OR(AND(G149="Unallocated",F149="In stock"),AND(G149="This plan",OR(F149="In stock",F149="Packed",F149="Installed")))),1,0))</x:f>
      </x:c>
      <x:c r="K149" s="9" t="str">
        <x:f>IF(A149="","",IF(COUNTIFS('Assets'!$A$8:$A$207,A149)&lt;&gt;1,"Duplicate asset ID",IF(COUNTIFS('Definitions'!$A$8:$A$207,B149)&lt;&gt;1,"Unknown / duplicate definition",IF(VLOOKUP(B149,'Definitions'!$A$8:$J$207,7,FALSE)&lt;&gt;"Yes","Use bulk stock for untracked parts",IF(C149="","Missing manufacturer serial",IF(COUNTIFS($B$8:$B$207,B149,$C$8:$C$207,C149)&lt;&gt;1,"Duplicate part and serial",IF(OR(D149="",AND(E149&lt;&gt;"Good",E149&lt;&gt;"Faulty",E149&lt;&gt;"Unknown")),"Set location and condition",IF(AND(F149&lt;&gt;"In stock",F149&lt;&gt;"Packed",F149&lt;&gt;"Installed",F149&lt;&gt;"In transit",F149&lt;&gt;"Quarantine",F149&lt;&gt;"Retired"),"Choose asset state",IF(AND(G149&lt;&gt;"Unallocated",G149&lt;&gt;"This plan",G149&lt;&gt;"Other plan"),"Choose allocation",IF(AND(H149&lt;&gt;"",G149&lt;&gt;"This plan"),"Assigned role needs This plan",IF(AND(H149&lt;&gt;"",COUNTIFS('Layout'!$A$8:$A$207,H149)&lt;&gt;1),"Unknown / duplicate role",IF(H149&lt;&gt;"",IF(VLOOKUP(H149,'Layout'!$A$8:$N$207,7,FALSE)&lt;&gt;B149,"Assigned role part mismatch","OK"),IF(AND(F149="Installed",G149="This plan"),"Set installed role","OK")))))))))))))</x:f>
      </x:c>
    </x:row>
    <x:row r="150" ht="22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1" t="str">
        <x:f>IF(A150="","",IF(AND(E150="Good",OR(AND(G150="Unallocated",F150="In stock"),AND(G150="This plan",OR(F150="In stock",F150="Packed",F150="Installed")))),1,0))</x:f>
      </x:c>
      <x:c r="K150" s="9" t="str">
        <x:f>IF(A150="","",IF(COUNTIFS('Assets'!$A$8:$A$207,A150)&lt;&gt;1,"Duplicate asset ID",IF(COUNTIFS('Definitions'!$A$8:$A$207,B150)&lt;&gt;1,"Unknown / duplicate definition",IF(VLOOKUP(B150,'Definitions'!$A$8:$J$207,7,FALSE)&lt;&gt;"Yes","Use bulk stock for untracked parts",IF(C150="","Missing manufacturer serial",IF(COUNTIFS($B$8:$B$207,B150,$C$8:$C$207,C150)&lt;&gt;1,"Duplicate part and serial",IF(OR(D150="",AND(E150&lt;&gt;"Good",E150&lt;&gt;"Faulty",E150&lt;&gt;"Unknown")),"Set location and condition",IF(AND(F150&lt;&gt;"In stock",F150&lt;&gt;"Packed",F150&lt;&gt;"Installed",F150&lt;&gt;"In transit",F150&lt;&gt;"Quarantine",F150&lt;&gt;"Retired"),"Choose asset state",IF(AND(G150&lt;&gt;"Unallocated",G150&lt;&gt;"This plan",G150&lt;&gt;"Other plan"),"Choose allocation",IF(AND(H150&lt;&gt;"",G150&lt;&gt;"This plan"),"Assigned role needs This plan",IF(AND(H150&lt;&gt;"",COUNTIFS('Layout'!$A$8:$A$207,H150)&lt;&gt;1),"Unknown / duplicate role",IF(H150&lt;&gt;"",IF(VLOOKUP(H150,'Layout'!$A$8:$N$207,7,FALSE)&lt;&gt;B150,"Assigned role part mismatch","OK"),IF(AND(F150="Installed",G150="This plan"),"Set installed role","OK")))))))))))))</x:f>
      </x:c>
    </x:row>
    <x:row r="151" ht="22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1" t="str">
        <x:f>IF(A151="","",IF(AND(E151="Good",OR(AND(G151="Unallocated",F151="In stock"),AND(G151="This plan",OR(F151="In stock",F151="Packed",F151="Installed")))),1,0))</x:f>
      </x:c>
      <x:c r="K151" s="9" t="str">
        <x:f>IF(A151="","",IF(COUNTIFS('Assets'!$A$8:$A$207,A151)&lt;&gt;1,"Duplicate asset ID",IF(COUNTIFS('Definitions'!$A$8:$A$207,B151)&lt;&gt;1,"Unknown / duplicate definition",IF(VLOOKUP(B151,'Definitions'!$A$8:$J$207,7,FALSE)&lt;&gt;"Yes","Use bulk stock for untracked parts",IF(C151="","Missing manufacturer serial",IF(COUNTIFS($B$8:$B$207,B151,$C$8:$C$207,C151)&lt;&gt;1,"Duplicate part and serial",IF(OR(D151="",AND(E151&lt;&gt;"Good",E151&lt;&gt;"Faulty",E151&lt;&gt;"Unknown")),"Set location and condition",IF(AND(F151&lt;&gt;"In stock",F151&lt;&gt;"Packed",F151&lt;&gt;"Installed",F151&lt;&gt;"In transit",F151&lt;&gt;"Quarantine",F151&lt;&gt;"Retired"),"Choose asset state",IF(AND(G151&lt;&gt;"Unallocated",G151&lt;&gt;"This plan",G151&lt;&gt;"Other plan"),"Choose allocation",IF(AND(H151&lt;&gt;"",G151&lt;&gt;"This plan"),"Assigned role needs This plan",IF(AND(H151&lt;&gt;"",COUNTIFS('Layout'!$A$8:$A$207,H151)&lt;&gt;1),"Unknown / duplicate role",IF(H151&lt;&gt;"",IF(VLOOKUP(H151,'Layout'!$A$8:$N$207,7,FALSE)&lt;&gt;B151,"Assigned role part mismatch","OK"),IF(AND(F151="Installed",G151="This plan"),"Set installed role","OK")))))))))))))</x:f>
      </x:c>
    </x:row>
    <x:row r="152" ht="22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1" t="str">
        <x:f>IF(A152="","",IF(AND(E152="Good",OR(AND(G152="Unallocated",F152="In stock"),AND(G152="This plan",OR(F152="In stock",F152="Packed",F152="Installed")))),1,0))</x:f>
      </x:c>
      <x:c r="K152" s="9" t="str">
        <x:f>IF(A152="","",IF(COUNTIFS('Assets'!$A$8:$A$207,A152)&lt;&gt;1,"Duplicate asset ID",IF(COUNTIFS('Definitions'!$A$8:$A$207,B152)&lt;&gt;1,"Unknown / duplicate definition",IF(VLOOKUP(B152,'Definitions'!$A$8:$J$207,7,FALSE)&lt;&gt;"Yes","Use bulk stock for untracked parts",IF(C152="","Missing manufacturer serial",IF(COUNTIFS($B$8:$B$207,B152,$C$8:$C$207,C152)&lt;&gt;1,"Duplicate part and serial",IF(OR(D152="",AND(E152&lt;&gt;"Good",E152&lt;&gt;"Faulty",E152&lt;&gt;"Unknown")),"Set location and condition",IF(AND(F152&lt;&gt;"In stock",F152&lt;&gt;"Packed",F152&lt;&gt;"Installed",F152&lt;&gt;"In transit",F152&lt;&gt;"Quarantine",F152&lt;&gt;"Retired"),"Choose asset state",IF(AND(G152&lt;&gt;"Unallocated",G152&lt;&gt;"This plan",G152&lt;&gt;"Other plan"),"Choose allocation",IF(AND(H152&lt;&gt;"",G152&lt;&gt;"This plan"),"Assigned role needs This plan",IF(AND(H152&lt;&gt;"",COUNTIFS('Layout'!$A$8:$A$207,H152)&lt;&gt;1),"Unknown / duplicate role",IF(H152&lt;&gt;"",IF(VLOOKUP(H152,'Layout'!$A$8:$N$207,7,FALSE)&lt;&gt;B152,"Assigned role part mismatch","OK"),IF(AND(F152="Installed",G152="This plan"),"Set installed role","OK")))))))))))))</x:f>
      </x:c>
    </x:row>
    <x:row r="153" ht="22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1" t="str">
        <x:f>IF(A153="","",IF(AND(E153="Good",OR(AND(G153="Unallocated",F153="In stock"),AND(G153="This plan",OR(F153="In stock",F153="Packed",F153="Installed")))),1,0))</x:f>
      </x:c>
      <x:c r="K153" s="9" t="str">
        <x:f>IF(A153="","",IF(COUNTIFS('Assets'!$A$8:$A$207,A153)&lt;&gt;1,"Duplicate asset ID",IF(COUNTIFS('Definitions'!$A$8:$A$207,B153)&lt;&gt;1,"Unknown / duplicate definition",IF(VLOOKUP(B153,'Definitions'!$A$8:$J$207,7,FALSE)&lt;&gt;"Yes","Use bulk stock for untracked parts",IF(C153="","Missing manufacturer serial",IF(COUNTIFS($B$8:$B$207,B153,$C$8:$C$207,C153)&lt;&gt;1,"Duplicate part and serial",IF(OR(D153="",AND(E153&lt;&gt;"Good",E153&lt;&gt;"Faulty",E153&lt;&gt;"Unknown")),"Set location and condition",IF(AND(F153&lt;&gt;"In stock",F153&lt;&gt;"Packed",F153&lt;&gt;"Installed",F153&lt;&gt;"In transit",F153&lt;&gt;"Quarantine",F153&lt;&gt;"Retired"),"Choose asset state",IF(AND(G153&lt;&gt;"Unallocated",G153&lt;&gt;"This plan",G153&lt;&gt;"Other plan"),"Choose allocation",IF(AND(H153&lt;&gt;"",G153&lt;&gt;"This plan"),"Assigned role needs This plan",IF(AND(H153&lt;&gt;"",COUNTIFS('Layout'!$A$8:$A$207,H153)&lt;&gt;1),"Unknown / duplicate role",IF(H153&lt;&gt;"",IF(VLOOKUP(H153,'Layout'!$A$8:$N$207,7,FALSE)&lt;&gt;B153,"Assigned role part mismatch","OK"),IF(AND(F153="Installed",G153="This plan"),"Set installed role","OK")))))))))))))</x:f>
      </x:c>
    </x:row>
    <x:row r="154" ht="22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1" t="str">
        <x:f>IF(A154="","",IF(AND(E154="Good",OR(AND(G154="Unallocated",F154="In stock"),AND(G154="This plan",OR(F154="In stock",F154="Packed",F154="Installed")))),1,0))</x:f>
      </x:c>
      <x:c r="K154" s="9" t="str">
        <x:f>IF(A154="","",IF(COUNTIFS('Assets'!$A$8:$A$207,A154)&lt;&gt;1,"Duplicate asset ID",IF(COUNTIFS('Definitions'!$A$8:$A$207,B154)&lt;&gt;1,"Unknown / duplicate definition",IF(VLOOKUP(B154,'Definitions'!$A$8:$J$207,7,FALSE)&lt;&gt;"Yes","Use bulk stock for untracked parts",IF(C154="","Missing manufacturer serial",IF(COUNTIFS($B$8:$B$207,B154,$C$8:$C$207,C154)&lt;&gt;1,"Duplicate part and serial",IF(OR(D154="",AND(E154&lt;&gt;"Good",E154&lt;&gt;"Faulty",E154&lt;&gt;"Unknown")),"Set location and condition",IF(AND(F154&lt;&gt;"In stock",F154&lt;&gt;"Packed",F154&lt;&gt;"Installed",F154&lt;&gt;"In transit",F154&lt;&gt;"Quarantine",F154&lt;&gt;"Retired"),"Choose asset state",IF(AND(G154&lt;&gt;"Unallocated",G154&lt;&gt;"This plan",G154&lt;&gt;"Other plan"),"Choose allocation",IF(AND(H154&lt;&gt;"",G154&lt;&gt;"This plan"),"Assigned role needs This plan",IF(AND(H154&lt;&gt;"",COUNTIFS('Layout'!$A$8:$A$207,H154)&lt;&gt;1),"Unknown / duplicate role",IF(H154&lt;&gt;"",IF(VLOOKUP(H154,'Layout'!$A$8:$N$207,7,FALSE)&lt;&gt;B154,"Assigned role part mismatch","OK"),IF(AND(F154="Installed",G154="This plan"),"Set installed role","OK")))))))))))))</x:f>
      </x:c>
    </x:row>
    <x:row r="155" ht="22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1" t="str">
        <x:f>IF(A155="","",IF(AND(E155="Good",OR(AND(G155="Unallocated",F155="In stock"),AND(G155="This plan",OR(F155="In stock",F155="Packed",F155="Installed")))),1,0))</x:f>
      </x:c>
      <x:c r="K155" s="9" t="str">
        <x:f>IF(A155="","",IF(COUNTIFS('Assets'!$A$8:$A$207,A155)&lt;&gt;1,"Duplicate asset ID",IF(COUNTIFS('Definitions'!$A$8:$A$207,B155)&lt;&gt;1,"Unknown / duplicate definition",IF(VLOOKUP(B155,'Definitions'!$A$8:$J$207,7,FALSE)&lt;&gt;"Yes","Use bulk stock for untracked parts",IF(C155="","Missing manufacturer serial",IF(COUNTIFS($B$8:$B$207,B155,$C$8:$C$207,C155)&lt;&gt;1,"Duplicate part and serial",IF(OR(D155="",AND(E155&lt;&gt;"Good",E155&lt;&gt;"Faulty",E155&lt;&gt;"Unknown")),"Set location and condition",IF(AND(F155&lt;&gt;"In stock",F155&lt;&gt;"Packed",F155&lt;&gt;"Installed",F155&lt;&gt;"In transit",F155&lt;&gt;"Quarantine",F155&lt;&gt;"Retired"),"Choose asset state",IF(AND(G155&lt;&gt;"Unallocated",G155&lt;&gt;"This plan",G155&lt;&gt;"Other plan"),"Choose allocation",IF(AND(H155&lt;&gt;"",G155&lt;&gt;"This plan"),"Assigned role needs This plan",IF(AND(H155&lt;&gt;"",COUNTIFS('Layout'!$A$8:$A$207,H155)&lt;&gt;1),"Unknown / duplicate role",IF(H155&lt;&gt;"",IF(VLOOKUP(H155,'Layout'!$A$8:$N$207,7,FALSE)&lt;&gt;B155,"Assigned role part mismatch","OK"),IF(AND(F155="Installed",G155="This plan"),"Set installed role","OK")))))))))))))</x:f>
      </x:c>
    </x:row>
    <x:row r="156" ht="22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1" t="str">
        <x:f>IF(A156="","",IF(AND(E156="Good",OR(AND(G156="Unallocated",F156="In stock"),AND(G156="This plan",OR(F156="In stock",F156="Packed",F156="Installed")))),1,0))</x:f>
      </x:c>
      <x:c r="K156" s="9" t="str">
        <x:f>IF(A156="","",IF(COUNTIFS('Assets'!$A$8:$A$207,A156)&lt;&gt;1,"Duplicate asset ID",IF(COUNTIFS('Definitions'!$A$8:$A$207,B156)&lt;&gt;1,"Unknown / duplicate definition",IF(VLOOKUP(B156,'Definitions'!$A$8:$J$207,7,FALSE)&lt;&gt;"Yes","Use bulk stock for untracked parts",IF(C156="","Missing manufacturer serial",IF(COUNTIFS($B$8:$B$207,B156,$C$8:$C$207,C156)&lt;&gt;1,"Duplicate part and serial",IF(OR(D156="",AND(E156&lt;&gt;"Good",E156&lt;&gt;"Faulty",E156&lt;&gt;"Unknown")),"Set location and condition",IF(AND(F156&lt;&gt;"In stock",F156&lt;&gt;"Packed",F156&lt;&gt;"Installed",F156&lt;&gt;"In transit",F156&lt;&gt;"Quarantine",F156&lt;&gt;"Retired"),"Choose asset state",IF(AND(G156&lt;&gt;"Unallocated",G156&lt;&gt;"This plan",G156&lt;&gt;"Other plan"),"Choose allocation",IF(AND(H156&lt;&gt;"",G156&lt;&gt;"This plan"),"Assigned role needs This plan",IF(AND(H156&lt;&gt;"",COUNTIFS('Layout'!$A$8:$A$207,H156)&lt;&gt;1),"Unknown / duplicate role",IF(H156&lt;&gt;"",IF(VLOOKUP(H156,'Layout'!$A$8:$N$207,7,FALSE)&lt;&gt;B156,"Assigned role part mismatch","OK"),IF(AND(F156="Installed",G156="This plan"),"Set installed role","OK")))))))))))))</x:f>
      </x:c>
    </x:row>
    <x:row r="157" ht="22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1" t="str">
        <x:f>IF(A157="","",IF(AND(E157="Good",OR(AND(G157="Unallocated",F157="In stock"),AND(G157="This plan",OR(F157="In stock",F157="Packed",F157="Installed")))),1,0))</x:f>
      </x:c>
      <x:c r="K157" s="9" t="str">
        <x:f>IF(A157="","",IF(COUNTIFS('Assets'!$A$8:$A$207,A157)&lt;&gt;1,"Duplicate asset ID",IF(COUNTIFS('Definitions'!$A$8:$A$207,B157)&lt;&gt;1,"Unknown / duplicate definition",IF(VLOOKUP(B157,'Definitions'!$A$8:$J$207,7,FALSE)&lt;&gt;"Yes","Use bulk stock for untracked parts",IF(C157="","Missing manufacturer serial",IF(COUNTIFS($B$8:$B$207,B157,$C$8:$C$207,C157)&lt;&gt;1,"Duplicate part and serial",IF(OR(D157="",AND(E157&lt;&gt;"Good",E157&lt;&gt;"Faulty",E157&lt;&gt;"Unknown")),"Set location and condition",IF(AND(F157&lt;&gt;"In stock",F157&lt;&gt;"Packed",F157&lt;&gt;"Installed",F157&lt;&gt;"In transit",F157&lt;&gt;"Quarantine",F157&lt;&gt;"Retired"),"Choose asset state",IF(AND(G157&lt;&gt;"Unallocated",G157&lt;&gt;"This plan",G157&lt;&gt;"Other plan"),"Choose allocation",IF(AND(H157&lt;&gt;"",G157&lt;&gt;"This plan"),"Assigned role needs This plan",IF(AND(H157&lt;&gt;"",COUNTIFS('Layout'!$A$8:$A$207,H157)&lt;&gt;1),"Unknown / duplicate role",IF(H157&lt;&gt;"",IF(VLOOKUP(H157,'Layout'!$A$8:$N$207,7,FALSE)&lt;&gt;B157,"Assigned role part mismatch","OK"),IF(AND(F157="Installed",G157="This plan"),"Set installed role","OK")))))))))))))</x:f>
      </x:c>
    </x:row>
    <x:row r="158" ht="22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1" t="str">
        <x:f>IF(A158="","",IF(AND(E158="Good",OR(AND(G158="Unallocated",F158="In stock"),AND(G158="This plan",OR(F158="In stock",F158="Packed",F158="Installed")))),1,0))</x:f>
      </x:c>
      <x:c r="K158" s="9" t="str">
        <x:f>IF(A158="","",IF(COUNTIFS('Assets'!$A$8:$A$207,A158)&lt;&gt;1,"Duplicate asset ID",IF(COUNTIFS('Definitions'!$A$8:$A$207,B158)&lt;&gt;1,"Unknown / duplicate definition",IF(VLOOKUP(B158,'Definitions'!$A$8:$J$207,7,FALSE)&lt;&gt;"Yes","Use bulk stock for untracked parts",IF(C158="","Missing manufacturer serial",IF(COUNTIFS($B$8:$B$207,B158,$C$8:$C$207,C158)&lt;&gt;1,"Duplicate part and serial",IF(OR(D158="",AND(E158&lt;&gt;"Good",E158&lt;&gt;"Faulty",E158&lt;&gt;"Unknown")),"Set location and condition",IF(AND(F158&lt;&gt;"In stock",F158&lt;&gt;"Packed",F158&lt;&gt;"Installed",F158&lt;&gt;"In transit",F158&lt;&gt;"Quarantine",F158&lt;&gt;"Retired"),"Choose asset state",IF(AND(G158&lt;&gt;"Unallocated",G158&lt;&gt;"This plan",G158&lt;&gt;"Other plan"),"Choose allocation",IF(AND(H158&lt;&gt;"",G158&lt;&gt;"This plan"),"Assigned role needs This plan",IF(AND(H158&lt;&gt;"",COUNTIFS('Layout'!$A$8:$A$207,H158)&lt;&gt;1),"Unknown / duplicate role",IF(H158&lt;&gt;"",IF(VLOOKUP(H158,'Layout'!$A$8:$N$207,7,FALSE)&lt;&gt;B158,"Assigned role part mismatch","OK"),IF(AND(F158="Installed",G158="This plan"),"Set installed role","OK")))))))))))))</x:f>
      </x:c>
    </x:row>
    <x:row r="159" ht="22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1" t="str">
        <x:f>IF(A159="","",IF(AND(E159="Good",OR(AND(G159="Unallocated",F159="In stock"),AND(G159="This plan",OR(F159="In stock",F159="Packed",F159="Installed")))),1,0))</x:f>
      </x:c>
      <x:c r="K159" s="9" t="str">
        <x:f>IF(A159="","",IF(COUNTIFS('Assets'!$A$8:$A$207,A159)&lt;&gt;1,"Duplicate asset ID",IF(COUNTIFS('Definitions'!$A$8:$A$207,B159)&lt;&gt;1,"Unknown / duplicate definition",IF(VLOOKUP(B159,'Definitions'!$A$8:$J$207,7,FALSE)&lt;&gt;"Yes","Use bulk stock for untracked parts",IF(C159="","Missing manufacturer serial",IF(COUNTIFS($B$8:$B$207,B159,$C$8:$C$207,C159)&lt;&gt;1,"Duplicate part and serial",IF(OR(D159="",AND(E159&lt;&gt;"Good",E159&lt;&gt;"Faulty",E159&lt;&gt;"Unknown")),"Set location and condition",IF(AND(F159&lt;&gt;"In stock",F159&lt;&gt;"Packed",F159&lt;&gt;"Installed",F159&lt;&gt;"In transit",F159&lt;&gt;"Quarantine",F159&lt;&gt;"Retired"),"Choose asset state",IF(AND(G159&lt;&gt;"Unallocated",G159&lt;&gt;"This plan",G159&lt;&gt;"Other plan"),"Choose allocation",IF(AND(H159&lt;&gt;"",G159&lt;&gt;"This plan"),"Assigned role needs This plan",IF(AND(H159&lt;&gt;"",COUNTIFS('Layout'!$A$8:$A$207,H159)&lt;&gt;1),"Unknown / duplicate role",IF(H159&lt;&gt;"",IF(VLOOKUP(H159,'Layout'!$A$8:$N$207,7,FALSE)&lt;&gt;B159,"Assigned role part mismatch","OK"),IF(AND(F159="Installed",G159="This plan"),"Set installed role","OK")))))))))))))</x:f>
      </x:c>
    </x:row>
    <x:row r="160" ht="22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1" t="str">
        <x:f>IF(A160="","",IF(AND(E160="Good",OR(AND(G160="Unallocated",F160="In stock"),AND(G160="This plan",OR(F160="In stock",F160="Packed",F160="Installed")))),1,0))</x:f>
      </x:c>
      <x:c r="K160" s="9" t="str">
        <x:f>IF(A160="","",IF(COUNTIFS('Assets'!$A$8:$A$207,A160)&lt;&gt;1,"Duplicate asset ID",IF(COUNTIFS('Definitions'!$A$8:$A$207,B160)&lt;&gt;1,"Unknown / duplicate definition",IF(VLOOKUP(B160,'Definitions'!$A$8:$J$207,7,FALSE)&lt;&gt;"Yes","Use bulk stock for untracked parts",IF(C160="","Missing manufacturer serial",IF(COUNTIFS($B$8:$B$207,B160,$C$8:$C$207,C160)&lt;&gt;1,"Duplicate part and serial",IF(OR(D160="",AND(E160&lt;&gt;"Good",E160&lt;&gt;"Faulty",E160&lt;&gt;"Unknown")),"Set location and condition",IF(AND(F160&lt;&gt;"In stock",F160&lt;&gt;"Packed",F160&lt;&gt;"Installed",F160&lt;&gt;"In transit",F160&lt;&gt;"Quarantine",F160&lt;&gt;"Retired"),"Choose asset state",IF(AND(G160&lt;&gt;"Unallocated",G160&lt;&gt;"This plan",G160&lt;&gt;"Other plan"),"Choose allocation",IF(AND(H160&lt;&gt;"",G160&lt;&gt;"This plan"),"Assigned role needs This plan",IF(AND(H160&lt;&gt;"",COUNTIFS('Layout'!$A$8:$A$207,H160)&lt;&gt;1),"Unknown / duplicate role",IF(H160&lt;&gt;"",IF(VLOOKUP(H160,'Layout'!$A$8:$N$207,7,FALSE)&lt;&gt;B160,"Assigned role part mismatch","OK"),IF(AND(F160="Installed",G160="This plan"),"Set installed role","OK")))))))))))))</x:f>
      </x:c>
    </x:row>
    <x:row r="161" ht="22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1" t="str">
        <x:f>IF(A161="","",IF(AND(E161="Good",OR(AND(G161="Unallocated",F161="In stock"),AND(G161="This plan",OR(F161="In stock",F161="Packed",F161="Installed")))),1,0))</x:f>
      </x:c>
      <x:c r="K161" s="9" t="str">
        <x:f>IF(A161="","",IF(COUNTIFS('Assets'!$A$8:$A$207,A161)&lt;&gt;1,"Duplicate asset ID",IF(COUNTIFS('Definitions'!$A$8:$A$207,B161)&lt;&gt;1,"Unknown / duplicate definition",IF(VLOOKUP(B161,'Definitions'!$A$8:$J$207,7,FALSE)&lt;&gt;"Yes","Use bulk stock for untracked parts",IF(C161="","Missing manufacturer serial",IF(COUNTIFS($B$8:$B$207,B161,$C$8:$C$207,C161)&lt;&gt;1,"Duplicate part and serial",IF(OR(D161="",AND(E161&lt;&gt;"Good",E161&lt;&gt;"Faulty",E161&lt;&gt;"Unknown")),"Set location and condition",IF(AND(F161&lt;&gt;"In stock",F161&lt;&gt;"Packed",F161&lt;&gt;"Installed",F161&lt;&gt;"In transit",F161&lt;&gt;"Quarantine",F161&lt;&gt;"Retired"),"Choose asset state",IF(AND(G161&lt;&gt;"Unallocated",G161&lt;&gt;"This plan",G161&lt;&gt;"Other plan"),"Choose allocation",IF(AND(H161&lt;&gt;"",G161&lt;&gt;"This plan"),"Assigned role needs This plan",IF(AND(H161&lt;&gt;"",COUNTIFS('Layout'!$A$8:$A$207,H161)&lt;&gt;1),"Unknown / duplicate role",IF(H161&lt;&gt;"",IF(VLOOKUP(H161,'Layout'!$A$8:$N$207,7,FALSE)&lt;&gt;B161,"Assigned role part mismatch","OK"),IF(AND(F161="Installed",G161="This plan"),"Set installed role","OK")))))))))))))</x:f>
      </x:c>
    </x:row>
    <x:row r="162" ht="22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1" t="str">
        <x:f>IF(A162="","",IF(AND(E162="Good",OR(AND(G162="Unallocated",F162="In stock"),AND(G162="This plan",OR(F162="In stock",F162="Packed",F162="Installed")))),1,0))</x:f>
      </x:c>
      <x:c r="K162" s="9" t="str">
        <x:f>IF(A162="","",IF(COUNTIFS('Assets'!$A$8:$A$207,A162)&lt;&gt;1,"Duplicate asset ID",IF(COUNTIFS('Definitions'!$A$8:$A$207,B162)&lt;&gt;1,"Unknown / duplicate definition",IF(VLOOKUP(B162,'Definitions'!$A$8:$J$207,7,FALSE)&lt;&gt;"Yes","Use bulk stock for untracked parts",IF(C162="","Missing manufacturer serial",IF(COUNTIFS($B$8:$B$207,B162,$C$8:$C$207,C162)&lt;&gt;1,"Duplicate part and serial",IF(OR(D162="",AND(E162&lt;&gt;"Good",E162&lt;&gt;"Faulty",E162&lt;&gt;"Unknown")),"Set location and condition",IF(AND(F162&lt;&gt;"In stock",F162&lt;&gt;"Packed",F162&lt;&gt;"Installed",F162&lt;&gt;"In transit",F162&lt;&gt;"Quarantine",F162&lt;&gt;"Retired"),"Choose asset state",IF(AND(G162&lt;&gt;"Unallocated",G162&lt;&gt;"This plan",G162&lt;&gt;"Other plan"),"Choose allocation",IF(AND(H162&lt;&gt;"",G162&lt;&gt;"This plan"),"Assigned role needs This plan",IF(AND(H162&lt;&gt;"",COUNTIFS('Layout'!$A$8:$A$207,H162)&lt;&gt;1),"Unknown / duplicate role",IF(H162&lt;&gt;"",IF(VLOOKUP(H162,'Layout'!$A$8:$N$207,7,FALSE)&lt;&gt;B162,"Assigned role part mismatch","OK"),IF(AND(F162="Installed",G162="This plan"),"Set installed role","OK")))))))))))))</x:f>
      </x:c>
    </x:row>
    <x:row r="163" ht="22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1" t="str">
        <x:f>IF(A163="","",IF(AND(E163="Good",OR(AND(G163="Unallocated",F163="In stock"),AND(G163="This plan",OR(F163="In stock",F163="Packed",F163="Installed")))),1,0))</x:f>
      </x:c>
      <x:c r="K163" s="9" t="str">
        <x:f>IF(A163="","",IF(COUNTIFS('Assets'!$A$8:$A$207,A163)&lt;&gt;1,"Duplicate asset ID",IF(COUNTIFS('Definitions'!$A$8:$A$207,B163)&lt;&gt;1,"Unknown / duplicate definition",IF(VLOOKUP(B163,'Definitions'!$A$8:$J$207,7,FALSE)&lt;&gt;"Yes","Use bulk stock for untracked parts",IF(C163="","Missing manufacturer serial",IF(COUNTIFS($B$8:$B$207,B163,$C$8:$C$207,C163)&lt;&gt;1,"Duplicate part and serial",IF(OR(D163="",AND(E163&lt;&gt;"Good",E163&lt;&gt;"Faulty",E163&lt;&gt;"Unknown")),"Set location and condition",IF(AND(F163&lt;&gt;"In stock",F163&lt;&gt;"Packed",F163&lt;&gt;"Installed",F163&lt;&gt;"In transit",F163&lt;&gt;"Quarantine",F163&lt;&gt;"Retired"),"Choose asset state",IF(AND(G163&lt;&gt;"Unallocated",G163&lt;&gt;"This plan",G163&lt;&gt;"Other plan"),"Choose allocation",IF(AND(H163&lt;&gt;"",G163&lt;&gt;"This plan"),"Assigned role needs This plan",IF(AND(H163&lt;&gt;"",COUNTIFS('Layout'!$A$8:$A$207,H163)&lt;&gt;1),"Unknown / duplicate role",IF(H163&lt;&gt;"",IF(VLOOKUP(H163,'Layout'!$A$8:$N$207,7,FALSE)&lt;&gt;B163,"Assigned role part mismatch","OK"),IF(AND(F163="Installed",G163="This plan"),"Set installed role","OK")))))))))))))</x:f>
      </x:c>
    </x:row>
    <x:row r="164" ht="22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1" t="str">
        <x:f>IF(A164="","",IF(AND(E164="Good",OR(AND(G164="Unallocated",F164="In stock"),AND(G164="This plan",OR(F164="In stock",F164="Packed",F164="Installed")))),1,0))</x:f>
      </x:c>
      <x:c r="K164" s="9" t="str">
        <x:f>IF(A164="","",IF(COUNTIFS('Assets'!$A$8:$A$207,A164)&lt;&gt;1,"Duplicate asset ID",IF(COUNTIFS('Definitions'!$A$8:$A$207,B164)&lt;&gt;1,"Unknown / duplicate definition",IF(VLOOKUP(B164,'Definitions'!$A$8:$J$207,7,FALSE)&lt;&gt;"Yes","Use bulk stock for untracked parts",IF(C164="","Missing manufacturer serial",IF(COUNTIFS($B$8:$B$207,B164,$C$8:$C$207,C164)&lt;&gt;1,"Duplicate part and serial",IF(OR(D164="",AND(E164&lt;&gt;"Good",E164&lt;&gt;"Faulty",E164&lt;&gt;"Unknown")),"Set location and condition",IF(AND(F164&lt;&gt;"In stock",F164&lt;&gt;"Packed",F164&lt;&gt;"Installed",F164&lt;&gt;"In transit",F164&lt;&gt;"Quarantine",F164&lt;&gt;"Retired"),"Choose asset state",IF(AND(G164&lt;&gt;"Unallocated",G164&lt;&gt;"This plan",G164&lt;&gt;"Other plan"),"Choose allocation",IF(AND(H164&lt;&gt;"",G164&lt;&gt;"This plan"),"Assigned role needs This plan",IF(AND(H164&lt;&gt;"",COUNTIFS('Layout'!$A$8:$A$207,H164)&lt;&gt;1),"Unknown / duplicate role",IF(H164&lt;&gt;"",IF(VLOOKUP(H164,'Layout'!$A$8:$N$207,7,FALSE)&lt;&gt;B164,"Assigned role part mismatch","OK"),IF(AND(F164="Installed",G164="This plan"),"Set installed role","OK")))))))))))))</x:f>
      </x:c>
    </x:row>
    <x:row r="165" ht="22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1" t="str">
        <x:f>IF(A165="","",IF(AND(E165="Good",OR(AND(G165="Unallocated",F165="In stock"),AND(G165="This plan",OR(F165="In stock",F165="Packed",F165="Installed")))),1,0))</x:f>
      </x:c>
      <x:c r="K165" s="9" t="str">
        <x:f>IF(A165="","",IF(COUNTIFS('Assets'!$A$8:$A$207,A165)&lt;&gt;1,"Duplicate asset ID",IF(COUNTIFS('Definitions'!$A$8:$A$207,B165)&lt;&gt;1,"Unknown / duplicate definition",IF(VLOOKUP(B165,'Definitions'!$A$8:$J$207,7,FALSE)&lt;&gt;"Yes","Use bulk stock for untracked parts",IF(C165="","Missing manufacturer serial",IF(COUNTIFS($B$8:$B$207,B165,$C$8:$C$207,C165)&lt;&gt;1,"Duplicate part and serial",IF(OR(D165="",AND(E165&lt;&gt;"Good",E165&lt;&gt;"Faulty",E165&lt;&gt;"Unknown")),"Set location and condition",IF(AND(F165&lt;&gt;"In stock",F165&lt;&gt;"Packed",F165&lt;&gt;"Installed",F165&lt;&gt;"In transit",F165&lt;&gt;"Quarantine",F165&lt;&gt;"Retired"),"Choose asset state",IF(AND(G165&lt;&gt;"Unallocated",G165&lt;&gt;"This plan",G165&lt;&gt;"Other plan"),"Choose allocation",IF(AND(H165&lt;&gt;"",G165&lt;&gt;"This plan"),"Assigned role needs This plan",IF(AND(H165&lt;&gt;"",COUNTIFS('Layout'!$A$8:$A$207,H165)&lt;&gt;1),"Unknown / duplicate role",IF(H165&lt;&gt;"",IF(VLOOKUP(H165,'Layout'!$A$8:$N$207,7,FALSE)&lt;&gt;B165,"Assigned role part mismatch","OK"),IF(AND(F165="Installed",G165="This plan"),"Set installed role","OK")))))))))))))</x:f>
      </x:c>
    </x:row>
    <x:row r="166" ht="22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1" t="str">
        <x:f>IF(A166="","",IF(AND(E166="Good",OR(AND(G166="Unallocated",F166="In stock"),AND(G166="This plan",OR(F166="In stock",F166="Packed",F166="Installed")))),1,0))</x:f>
      </x:c>
      <x:c r="K166" s="9" t="str">
        <x:f>IF(A166="","",IF(COUNTIFS('Assets'!$A$8:$A$207,A166)&lt;&gt;1,"Duplicate asset ID",IF(COUNTIFS('Definitions'!$A$8:$A$207,B166)&lt;&gt;1,"Unknown / duplicate definition",IF(VLOOKUP(B166,'Definitions'!$A$8:$J$207,7,FALSE)&lt;&gt;"Yes","Use bulk stock for untracked parts",IF(C166="","Missing manufacturer serial",IF(COUNTIFS($B$8:$B$207,B166,$C$8:$C$207,C166)&lt;&gt;1,"Duplicate part and serial",IF(OR(D166="",AND(E166&lt;&gt;"Good",E166&lt;&gt;"Faulty",E166&lt;&gt;"Unknown")),"Set location and condition",IF(AND(F166&lt;&gt;"In stock",F166&lt;&gt;"Packed",F166&lt;&gt;"Installed",F166&lt;&gt;"In transit",F166&lt;&gt;"Quarantine",F166&lt;&gt;"Retired"),"Choose asset state",IF(AND(G166&lt;&gt;"Unallocated",G166&lt;&gt;"This plan",G166&lt;&gt;"Other plan"),"Choose allocation",IF(AND(H166&lt;&gt;"",G166&lt;&gt;"This plan"),"Assigned role needs This plan",IF(AND(H166&lt;&gt;"",COUNTIFS('Layout'!$A$8:$A$207,H166)&lt;&gt;1),"Unknown / duplicate role",IF(H166&lt;&gt;"",IF(VLOOKUP(H166,'Layout'!$A$8:$N$207,7,FALSE)&lt;&gt;B166,"Assigned role part mismatch","OK"),IF(AND(F166="Installed",G166="This plan"),"Set installed role","OK")))))))))))))</x:f>
      </x:c>
    </x:row>
    <x:row r="167" ht="22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1" t="str">
        <x:f>IF(A167="","",IF(AND(E167="Good",OR(AND(G167="Unallocated",F167="In stock"),AND(G167="This plan",OR(F167="In stock",F167="Packed",F167="Installed")))),1,0))</x:f>
      </x:c>
      <x:c r="K167" s="9" t="str">
        <x:f>IF(A167="","",IF(COUNTIFS('Assets'!$A$8:$A$207,A167)&lt;&gt;1,"Duplicate asset ID",IF(COUNTIFS('Definitions'!$A$8:$A$207,B167)&lt;&gt;1,"Unknown / duplicate definition",IF(VLOOKUP(B167,'Definitions'!$A$8:$J$207,7,FALSE)&lt;&gt;"Yes","Use bulk stock for untracked parts",IF(C167="","Missing manufacturer serial",IF(COUNTIFS($B$8:$B$207,B167,$C$8:$C$207,C167)&lt;&gt;1,"Duplicate part and serial",IF(OR(D167="",AND(E167&lt;&gt;"Good",E167&lt;&gt;"Faulty",E167&lt;&gt;"Unknown")),"Set location and condition",IF(AND(F167&lt;&gt;"In stock",F167&lt;&gt;"Packed",F167&lt;&gt;"Installed",F167&lt;&gt;"In transit",F167&lt;&gt;"Quarantine",F167&lt;&gt;"Retired"),"Choose asset state",IF(AND(G167&lt;&gt;"Unallocated",G167&lt;&gt;"This plan",G167&lt;&gt;"Other plan"),"Choose allocation",IF(AND(H167&lt;&gt;"",G167&lt;&gt;"This plan"),"Assigned role needs This plan",IF(AND(H167&lt;&gt;"",COUNTIFS('Layout'!$A$8:$A$207,H167)&lt;&gt;1),"Unknown / duplicate role",IF(H167&lt;&gt;"",IF(VLOOKUP(H167,'Layout'!$A$8:$N$207,7,FALSE)&lt;&gt;B167,"Assigned role part mismatch","OK"),IF(AND(F167="Installed",G167="This plan"),"Set installed role","OK")))))))))))))</x:f>
      </x:c>
    </x:row>
    <x:row r="168" ht="22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1" t="str">
        <x:f>IF(A168="","",IF(AND(E168="Good",OR(AND(G168="Unallocated",F168="In stock"),AND(G168="This plan",OR(F168="In stock",F168="Packed",F168="Installed")))),1,0))</x:f>
      </x:c>
      <x:c r="K168" s="9" t="str">
        <x:f>IF(A168="","",IF(COUNTIFS('Assets'!$A$8:$A$207,A168)&lt;&gt;1,"Duplicate asset ID",IF(COUNTIFS('Definitions'!$A$8:$A$207,B168)&lt;&gt;1,"Unknown / duplicate definition",IF(VLOOKUP(B168,'Definitions'!$A$8:$J$207,7,FALSE)&lt;&gt;"Yes","Use bulk stock for untracked parts",IF(C168="","Missing manufacturer serial",IF(COUNTIFS($B$8:$B$207,B168,$C$8:$C$207,C168)&lt;&gt;1,"Duplicate part and serial",IF(OR(D168="",AND(E168&lt;&gt;"Good",E168&lt;&gt;"Faulty",E168&lt;&gt;"Unknown")),"Set location and condition",IF(AND(F168&lt;&gt;"In stock",F168&lt;&gt;"Packed",F168&lt;&gt;"Installed",F168&lt;&gt;"In transit",F168&lt;&gt;"Quarantine",F168&lt;&gt;"Retired"),"Choose asset state",IF(AND(G168&lt;&gt;"Unallocated",G168&lt;&gt;"This plan",G168&lt;&gt;"Other plan"),"Choose allocation",IF(AND(H168&lt;&gt;"",G168&lt;&gt;"This plan"),"Assigned role needs This plan",IF(AND(H168&lt;&gt;"",COUNTIFS('Layout'!$A$8:$A$207,H168)&lt;&gt;1),"Unknown / duplicate role",IF(H168&lt;&gt;"",IF(VLOOKUP(H168,'Layout'!$A$8:$N$207,7,FALSE)&lt;&gt;B168,"Assigned role part mismatch","OK"),IF(AND(F168="Installed",G168="This plan"),"Set installed role","OK")))))))))))))</x:f>
      </x:c>
    </x:row>
    <x:row r="169" ht="22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1" t="str">
        <x:f>IF(A169="","",IF(AND(E169="Good",OR(AND(G169="Unallocated",F169="In stock"),AND(G169="This plan",OR(F169="In stock",F169="Packed",F169="Installed")))),1,0))</x:f>
      </x:c>
      <x:c r="K169" s="9" t="str">
        <x:f>IF(A169="","",IF(COUNTIFS('Assets'!$A$8:$A$207,A169)&lt;&gt;1,"Duplicate asset ID",IF(COUNTIFS('Definitions'!$A$8:$A$207,B169)&lt;&gt;1,"Unknown / duplicate definition",IF(VLOOKUP(B169,'Definitions'!$A$8:$J$207,7,FALSE)&lt;&gt;"Yes","Use bulk stock for untracked parts",IF(C169="","Missing manufacturer serial",IF(COUNTIFS($B$8:$B$207,B169,$C$8:$C$207,C169)&lt;&gt;1,"Duplicate part and serial",IF(OR(D169="",AND(E169&lt;&gt;"Good",E169&lt;&gt;"Faulty",E169&lt;&gt;"Unknown")),"Set location and condition",IF(AND(F169&lt;&gt;"In stock",F169&lt;&gt;"Packed",F169&lt;&gt;"Installed",F169&lt;&gt;"In transit",F169&lt;&gt;"Quarantine",F169&lt;&gt;"Retired"),"Choose asset state",IF(AND(G169&lt;&gt;"Unallocated",G169&lt;&gt;"This plan",G169&lt;&gt;"Other plan"),"Choose allocation",IF(AND(H169&lt;&gt;"",G169&lt;&gt;"This plan"),"Assigned role needs This plan",IF(AND(H169&lt;&gt;"",COUNTIFS('Layout'!$A$8:$A$207,H169)&lt;&gt;1),"Unknown / duplicate role",IF(H169&lt;&gt;"",IF(VLOOKUP(H169,'Layout'!$A$8:$N$207,7,FALSE)&lt;&gt;B169,"Assigned role part mismatch","OK"),IF(AND(F169="Installed",G169="This plan"),"Set installed role","OK")))))))))))))</x:f>
      </x:c>
    </x:row>
    <x:row r="170" ht="22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1" t="str">
        <x:f>IF(A170="","",IF(AND(E170="Good",OR(AND(G170="Unallocated",F170="In stock"),AND(G170="This plan",OR(F170="In stock",F170="Packed",F170="Installed")))),1,0))</x:f>
      </x:c>
      <x:c r="K170" s="9" t="str">
        <x:f>IF(A170="","",IF(COUNTIFS('Assets'!$A$8:$A$207,A170)&lt;&gt;1,"Duplicate asset ID",IF(COUNTIFS('Definitions'!$A$8:$A$207,B170)&lt;&gt;1,"Unknown / duplicate definition",IF(VLOOKUP(B170,'Definitions'!$A$8:$J$207,7,FALSE)&lt;&gt;"Yes","Use bulk stock for untracked parts",IF(C170="","Missing manufacturer serial",IF(COUNTIFS($B$8:$B$207,B170,$C$8:$C$207,C170)&lt;&gt;1,"Duplicate part and serial",IF(OR(D170="",AND(E170&lt;&gt;"Good",E170&lt;&gt;"Faulty",E170&lt;&gt;"Unknown")),"Set location and condition",IF(AND(F170&lt;&gt;"In stock",F170&lt;&gt;"Packed",F170&lt;&gt;"Installed",F170&lt;&gt;"In transit",F170&lt;&gt;"Quarantine",F170&lt;&gt;"Retired"),"Choose asset state",IF(AND(G170&lt;&gt;"Unallocated",G170&lt;&gt;"This plan",G170&lt;&gt;"Other plan"),"Choose allocation",IF(AND(H170&lt;&gt;"",G170&lt;&gt;"This plan"),"Assigned role needs This plan",IF(AND(H170&lt;&gt;"",COUNTIFS('Layout'!$A$8:$A$207,H170)&lt;&gt;1),"Unknown / duplicate role",IF(H170&lt;&gt;"",IF(VLOOKUP(H170,'Layout'!$A$8:$N$207,7,FALSE)&lt;&gt;B170,"Assigned role part mismatch","OK"),IF(AND(F170="Installed",G170="This plan"),"Set installed role","OK")))))))))))))</x:f>
      </x:c>
    </x:row>
    <x:row r="171" ht="22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1" t="str">
        <x:f>IF(A171="","",IF(AND(E171="Good",OR(AND(G171="Unallocated",F171="In stock"),AND(G171="This plan",OR(F171="In stock",F171="Packed",F171="Installed")))),1,0))</x:f>
      </x:c>
      <x:c r="K171" s="9" t="str">
        <x:f>IF(A171="","",IF(COUNTIFS('Assets'!$A$8:$A$207,A171)&lt;&gt;1,"Duplicate asset ID",IF(COUNTIFS('Definitions'!$A$8:$A$207,B171)&lt;&gt;1,"Unknown / duplicate definition",IF(VLOOKUP(B171,'Definitions'!$A$8:$J$207,7,FALSE)&lt;&gt;"Yes","Use bulk stock for untracked parts",IF(C171="","Missing manufacturer serial",IF(COUNTIFS($B$8:$B$207,B171,$C$8:$C$207,C171)&lt;&gt;1,"Duplicate part and serial",IF(OR(D171="",AND(E171&lt;&gt;"Good",E171&lt;&gt;"Faulty",E171&lt;&gt;"Unknown")),"Set location and condition",IF(AND(F171&lt;&gt;"In stock",F171&lt;&gt;"Packed",F171&lt;&gt;"Installed",F171&lt;&gt;"In transit",F171&lt;&gt;"Quarantine",F171&lt;&gt;"Retired"),"Choose asset state",IF(AND(G171&lt;&gt;"Unallocated",G171&lt;&gt;"This plan",G171&lt;&gt;"Other plan"),"Choose allocation",IF(AND(H171&lt;&gt;"",G171&lt;&gt;"This plan"),"Assigned role needs This plan",IF(AND(H171&lt;&gt;"",COUNTIFS('Layout'!$A$8:$A$207,H171)&lt;&gt;1),"Unknown / duplicate role",IF(H171&lt;&gt;"",IF(VLOOKUP(H171,'Layout'!$A$8:$N$207,7,FALSE)&lt;&gt;B171,"Assigned role part mismatch","OK"),IF(AND(F171="Installed",G171="This plan"),"Set installed role","OK")))))))))))))</x:f>
      </x:c>
    </x:row>
    <x:row r="172" ht="22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1" t="str">
        <x:f>IF(A172="","",IF(AND(E172="Good",OR(AND(G172="Unallocated",F172="In stock"),AND(G172="This plan",OR(F172="In stock",F172="Packed",F172="Installed")))),1,0))</x:f>
      </x:c>
      <x:c r="K172" s="9" t="str">
        <x:f>IF(A172="","",IF(COUNTIFS('Assets'!$A$8:$A$207,A172)&lt;&gt;1,"Duplicate asset ID",IF(COUNTIFS('Definitions'!$A$8:$A$207,B172)&lt;&gt;1,"Unknown / duplicate definition",IF(VLOOKUP(B172,'Definitions'!$A$8:$J$207,7,FALSE)&lt;&gt;"Yes","Use bulk stock for untracked parts",IF(C172="","Missing manufacturer serial",IF(COUNTIFS($B$8:$B$207,B172,$C$8:$C$207,C172)&lt;&gt;1,"Duplicate part and serial",IF(OR(D172="",AND(E172&lt;&gt;"Good",E172&lt;&gt;"Faulty",E172&lt;&gt;"Unknown")),"Set location and condition",IF(AND(F172&lt;&gt;"In stock",F172&lt;&gt;"Packed",F172&lt;&gt;"Installed",F172&lt;&gt;"In transit",F172&lt;&gt;"Quarantine",F172&lt;&gt;"Retired"),"Choose asset state",IF(AND(G172&lt;&gt;"Unallocated",G172&lt;&gt;"This plan",G172&lt;&gt;"Other plan"),"Choose allocation",IF(AND(H172&lt;&gt;"",G172&lt;&gt;"This plan"),"Assigned role needs This plan",IF(AND(H172&lt;&gt;"",COUNTIFS('Layout'!$A$8:$A$207,H172)&lt;&gt;1),"Unknown / duplicate role",IF(H172&lt;&gt;"",IF(VLOOKUP(H172,'Layout'!$A$8:$N$207,7,FALSE)&lt;&gt;B172,"Assigned role part mismatch","OK"),IF(AND(F172="Installed",G172="This plan"),"Set installed role","OK")))))))))))))</x:f>
      </x:c>
    </x:row>
    <x:row r="173" ht="22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1" t="str">
        <x:f>IF(A173="","",IF(AND(E173="Good",OR(AND(G173="Unallocated",F173="In stock"),AND(G173="This plan",OR(F173="In stock",F173="Packed",F173="Installed")))),1,0))</x:f>
      </x:c>
      <x:c r="K173" s="9" t="str">
        <x:f>IF(A173="","",IF(COUNTIFS('Assets'!$A$8:$A$207,A173)&lt;&gt;1,"Duplicate asset ID",IF(COUNTIFS('Definitions'!$A$8:$A$207,B173)&lt;&gt;1,"Unknown / duplicate definition",IF(VLOOKUP(B173,'Definitions'!$A$8:$J$207,7,FALSE)&lt;&gt;"Yes","Use bulk stock for untracked parts",IF(C173="","Missing manufacturer serial",IF(COUNTIFS($B$8:$B$207,B173,$C$8:$C$207,C173)&lt;&gt;1,"Duplicate part and serial",IF(OR(D173="",AND(E173&lt;&gt;"Good",E173&lt;&gt;"Faulty",E173&lt;&gt;"Unknown")),"Set location and condition",IF(AND(F173&lt;&gt;"In stock",F173&lt;&gt;"Packed",F173&lt;&gt;"Installed",F173&lt;&gt;"In transit",F173&lt;&gt;"Quarantine",F173&lt;&gt;"Retired"),"Choose asset state",IF(AND(G173&lt;&gt;"Unallocated",G173&lt;&gt;"This plan",G173&lt;&gt;"Other plan"),"Choose allocation",IF(AND(H173&lt;&gt;"",G173&lt;&gt;"This plan"),"Assigned role needs This plan",IF(AND(H173&lt;&gt;"",COUNTIFS('Layout'!$A$8:$A$207,H173)&lt;&gt;1),"Unknown / duplicate role",IF(H173&lt;&gt;"",IF(VLOOKUP(H173,'Layout'!$A$8:$N$207,7,FALSE)&lt;&gt;B173,"Assigned role part mismatch","OK"),IF(AND(F173="Installed",G173="This plan"),"Set installed role","OK")))))))))))))</x:f>
      </x:c>
    </x:row>
    <x:row r="174" ht="22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1" t="str">
        <x:f>IF(A174="","",IF(AND(E174="Good",OR(AND(G174="Unallocated",F174="In stock"),AND(G174="This plan",OR(F174="In stock",F174="Packed",F174="Installed")))),1,0))</x:f>
      </x:c>
      <x:c r="K174" s="9" t="str">
        <x:f>IF(A174="","",IF(COUNTIFS('Assets'!$A$8:$A$207,A174)&lt;&gt;1,"Duplicate asset ID",IF(COUNTIFS('Definitions'!$A$8:$A$207,B174)&lt;&gt;1,"Unknown / duplicate definition",IF(VLOOKUP(B174,'Definitions'!$A$8:$J$207,7,FALSE)&lt;&gt;"Yes","Use bulk stock for untracked parts",IF(C174="","Missing manufacturer serial",IF(COUNTIFS($B$8:$B$207,B174,$C$8:$C$207,C174)&lt;&gt;1,"Duplicate part and serial",IF(OR(D174="",AND(E174&lt;&gt;"Good",E174&lt;&gt;"Faulty",E174&lt;&gt;"Unknown")),"Set location and condition",IF(AND(F174&lt;&gt;"In stock",F174&lt;&gt;"Packed",F174&lt;&gt;"Installed",F174&lt;&gt;"In transit",F174&lt;&gt;"Quarantine",F174&lt;&gt;"Retired"),"Choose asset state",IF(AND(G174&lt;&gt;"Unallocated",G174&lt;&gt;"This plan",G174&lt;&gt;"Other plan"),"Choose allocation",IF(AND(H174&lt;&gt;"",G174&lt;&gt;"This plan"),"Assigned role needs This plan",IF(AND(H174&lt;&gt;"",COUNTIFS('Layout'!$A$8:$A$207,H174)&lt;&gt;1),"Unknown / duplicate role",IF(H174&lt;&gt;"",IF(VLOOKUP(H174,'Layout'!$A$8:$N$207,7,FALSE)&lt;&gt;B174,"Assigned role part mismatch","OK"),IF(AND(F174="Installed",G174="This plan"),"Set installed role","OK")))))))))))))</x:f>
      </x:c>
    </x:row>
    <x:row r="175" ht="22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1" t="str">
        <x:f>IF(A175="","",IF(AND(E175="Good",OR(AND(G175="Unallocated",F175="In stock"),AND(G175="This plan",OR(F175="In stock",F175="Packed",F175="Installed")))),1,0))</x:f>
      </x:c>
      <x:c r="K175" s="9" t="str">
        <x:f>IF(A175="","",IF(COUNTIFS('Assets'!$A$8:$A$207,A175)&lt;&gt;1,"Duplicate asset ID",IF(COUNTIFS('Definitions'!$A$8:$A$207,B175)&lt;&gt;1,"Unknown / duplicate definition",IF(VLOOKUP(B175,'Definitions'!$A$8:$J$207,7,FALSE)&lt;&gt;"Yes","Use bulk stock for untracked parts",IF(C175="","Missing manufacturer serial",IF(COUNTIFS($B$8:$B$207,B175,$C$8:$C$207,C175)&lt;&gt;1,"Duplicate part and serial",IF(OR(D175="",AND(E175&lt;&gt;"Good",E175&lt;&gt;"Faulty",E175&lt;&gt;"Unknown")),"Set location and condition",IF(AND(F175&lt;&gt;"In stock",F175&lt;&gt;"Packed",F175&lt;&gt;"Installed",F175&lt;&gt;"In transit",F175&lt;&gt;"Quarantine",F175&lt;&gt;"Retired"),"Choose asset state",IF(AND(G175&lt;&gt;"Unallocated",G175&lt;&gt;"This plan",G175&lt;&gt;"Other plan"),"Choose allocation",IF(AND(H175&lt;&gt;"",G175&lt;&gt;"This plan"),"Assigned role needs This plan",IF(AND(H175&lt;&gt;"",COUNTIFS('Layout'!$A$8:$A$207,H175)&lt;&gt;1),"Unknown / duplicate role",IF(H175&lt;&gt;"",IF(VLOOKUP(H175,'Layout'!$A$8:$N$207,7,FALSE)&lt;&gt;B175,"Assigned role part mismatch","OK"),IF(AND(F175="Installed",G175="This plan"),"Set installed role","OK")))))))))))))</x:f>
      </x:c>
    </x:row>
    <x:row r="176" ht="22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1" t="str">
        <x:f>IF(A176="","",IF(AND(E176="Good",OR(AND(G176="Unallocated",F176="In stock"),AND(G176="This plan",OR(F176="In stock",F176="Packed",F176="Installed")))),1,0))</x:f>
      </x:c>
      <x:c r="K176" s="9" t="str">
        <x:f>IF(A176="","",IF(COUNTIFS('Assets'!$A$8:$A$207,A176)&lt;&gt;1,"Duplicate asset ID",IF(COUNTIFS('Definitions'!$A$8:$A$207,B176)&lt;&gt;1,"Unknown / duplicate definition",IF(VLOOKUP(B176,'Definitions'!$A$8:$J$207,7,FALSE)&lt;&gt;"Yes","Use bulk stock for untracked parts",IF(C176="","Missing manufacturer serial",IF(COUNTIFS($B$8:$B$207,B176,$C$8:$C$207,C176)&lt;&gt;1,"Duplicate part and serial",IF(OR(D176="",AND(E176&lt;&gt;"Good",E176&lt;&gt;"Faulty",E176&lt;&gt;"Unknown")),"Set location and condition",IF(AND(F176&lt;&gt;"In stock",F176&lt;&gt;"Packed",F176&lt;&gt;"Installed",F176&lt;&gt;"In transit",F176&lt;&gt;"Quarantine",F176&lt;&gt;"Retired"),"Choose asset state",IF(AND(G176&lt;&gt;"Unallocated",G176&lt;&gt;"This plan",G176&lt;&gt;"Other plan"),"Choose allocation",IF(AND(H176&lt;&gt;"",G176&lt;&gt;"This plan"),"Assigned role needs This plan",IF(AND(H176&lt;&gt;"",COUNTIFS('Layout'!$A$8:$A$207,H176)&lt;&gt;1),"Unknown / duplicate role",IF(H176&lt;&gt;"",IF(VLOOKUP(H176,'Layout'!$A$8:$N$207,7,FALSE)&lt;&gt;B176,"Assigned role part mismatch","OK"),IF(AND(F176="Installed",G176="This plan"),"Set installed role","OK")))))))))))))</x:f>
      </x:c>
    </x:row>
    <x:row r="177" ht="22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1" t="str">
        <x:f>IF(A177="","",IF(AND(E177="Good",OR(AND(G177="Unallocated",F177="In stock"),AND(G177="This plan",OR(F177="In stock",F177="Packed",F177="Installed")))),1,0))</x:f>
      </x:c>
      <x:c r="K177" s="9" t="str">
        <x:f>IF(A177="","",IF(COUNTIFS('Assets'!$A$8:$A$207,A177)&lt;&gt;1,"Duplicate asset ID",IF(COUNTIFS('Definitions'!$A$8:$A$207,B177)&lt;&gt;1,"Unknown / duplicate definition",IF(VLOOKUP(B177,'Definitions'!$A$8:$J$207,7,FALSE)&lt;&gt;"Yes","Use bulk stock for untracked parts",IF(C177="","Missing manufacturer serial",IF(COUNTIFS($B$8:$B$207,B177,$C$8:$C$207,C177)&lt;&gt;1,"Duplicate part and serial",IF(OR(D177="",AND(E177&lt;&gt;"Good",E177&lt;&gt;"Faulty",E177&lt;&gt;"Unknown")),"Set location and condition",IF(AND(F177&lt;&gt;"In stock",F177&lt;&gt;"Packed",F177&lt;&gt;"Installed",F177&lt;&gt;"In transit",F177&lt;&gt;"Quarantine",F177&lt;&gt;"Retired"),"Choose asset state",IF(AND(G177&lt;&gt;"Unallocated",G177&lt;&gt;"This plan",G177&lt;&gt;"Other plan"),"Choose allocation",IF(AND(H177&lt;&gt;"",G177&lt;&gt;"This plan"),"Assigned role needs This plan",IF(AND(H177&lt;&gt;"",COUNTIFS('Layout'!$A$8:$A$207,H177)&lt;&gt;1),"Unknown / duplicate role",IF(H177&lt;&gt;"",IF(VLOOKUP(H177,'Layout'!$A$8:$N$207,7,FALSE)&lt;&gt;B177,"Assigned role part mismatch","OK"),IF(AND(F177="Installed",G177="This plan"),"Set installed role","OK")))))))))))))</x:f>
      </x:c>
    </x:row>
    <x:row r="178" ht="22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1" t="str">
        <x:f>IF(A178="","",IF(AND(E178="Good",OR(AND(G178="Unallocated",F178="In stock"),AND(G178="This plan",OR(F178="In stock",F178="Packed",F178="Installed")))),1,0))</x:f>
      </x:c>
      <x:c r="K178" s="9" t="str">
        <x:f>IF(A178="","",IF(COUNTIFS('Assets'!$A$8:$A$207,A178)&lt;&gt;1,"Duplicate asset ID",IF(COUNTIFS('Definitions'!$A$8:$A$207,B178)&lt;&gt;1,"Unknown / duplicate definition",IF(VLOOKUP(B178,'Definitions'!$A$8:$J$207,7,FALSE)&lt;&gt;"Yes","Use bulk stock for untracked parts",IF(C178="","Missing manufacturer serial",IF(COUNTIFS($B$8:$B$207,B178,$C$8:$C$207,C178)&lt;&gt;1,"Duplicate part and serial",IF(OR(D178="",AND(E178&lt;&gt;"Good",E178&lt;&gt;"Faulty",E178&lt;&gt;"Unknown")),"Set location and condition",IF(AND(F178&lt;&gt;"In stock",F178&lt;&gt;"Packed",F178&lt;&gt;"Installed",F178&lt;&gt;"In transit",F178&lt;&gt;"Quarantine",F178&lt;&gt;"Retired"),"Choose asset state",IF(AND(G178&lt;&gt;"Unallocated",G178&lt;&gt;"This plan",G178&lt;&gt;"Other plan"),"Choose allocation",IF(AND(H178&lt;&gt;"",G178&lt;&gt;"This plan"),"Assigned role needs This plan",IF(AND(H178&lt;&gt;"",COUNTIFS('Layout'!$A$8:$A$207,H178)&lt;&gt;1),"Unknown / duplicate role",IF(H178&lt;&gt;"",IF(VLOOKUP(H178,'Layout'!$A$8:$N$207,7,FALSE)&lt;&gt;B178,"Assigned role part mismatch","OK"),IF(AND(F178="Installed",G178="This plan"),"Set installed role","OK")))))))))))))</x:f>
      </x:c>
    </x:row>
    <x:row r="179" ht="22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1" t="str">
        <x:f>IF(A179="","",IF(AND(E179="Good",OR(AND(G179="Unallocated",F179="In stock"),AND(G179="This plan",OR(F179="In stock",F179="Packed",F179="Installed")))),1,0))</x:f>
      </x:c>
      <x:c r="K179" s="9" t="str">
        <x:f>IF(A179="","",IF(COUNTIFS('Assets'!$A$8:$A$207,A179)&lt;&gt;1,"Duplicate asset ID",IF(COUNTIFS('Definitions'!$A$8:$A$207,B179)&lt;&gt;1,"Unknown / duplicate definition",IF(VLOOKUP(B179,'Definitions'!$A$8:$J$207,7,FALSE)&lt;&gt;"Yes","Use bulk stock for untracked parts",IF(C179="","Missing manufacturer serial",IF(COUNTIFS($B$8:$B$207,B179,$C$8:$C$207,C179)&lt;&gt;1,"Duplicate part and serial",IF(OR(D179="",AND(E179&lt;&gt;"Good",E179&lt;&gt;"Faulty",E179&lt;&gt;"Unknown")),"Set location and condition",IF(AND(F179&lt;&gt;"In stock",F179&lt;&gt;"Packed",F179&lt;&gt;"Installed",F179&lt;&gt;"In transit",F179&lt;&gt;"Quarantine",F179&lt;&gt;"Retired"),"Choose asset state",IF(AND(G179&lt;&gt;"Unallocated",G179&lt;&gt;"This plan",G179&lt;&gt;"Other plan"),"Choose allocation",IF(AND(H179&lt;&gt;"",G179&lt;&gt;"This plan"),"Assigned role needs This plan",IF(AND(H179&lt;&gt;"",COUNTIFS('Layout'!$A$8:$A$207,H179)&lt;&gt;1),"Unknown / duplicate role",IF(H179&lt;&gt;"",IF(VLOOKUP(H179,'Layout'!$A$8:$N$207,7,FALSE)&lt;&gt;B179,"Assigned role part mismatch","OK"),IF(AND(F179="Installed",G179="This plan"),"Set installed role","OK")))))))))))))</x:f>
      </x:c>
    </x:row>
    <x:row r="180" ht="22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1" t="str">
        <x:f>IF(A180="","",IF(AND(E180="Good",OR(AND(G180="Unallocated",F180="In stock"),AND(G180="This plan",OR(F180="In stock",F180="Packed",F180="Installed")))),1,0))</x:f>
      </x:c>
      <x:c r="K180" s="9" t="str">
        <x:f>IF(A180="","",IF(COUNTIFS('Assets'!$A$8:$A$207,A180)&lt;&gt;1,"Duplicate asset ID",IF(COUNTIFS('Definitions'!$A$8:$A$207,B180)&lt;&gt;1,"Unknown / duplicate definition",IF(VLOOKUP(B180,'Definitions'!$A$8:$J$207,7,FALSE)&lt;&gt;"Yes","Use bulk stock for untracked parts",IF(C180="","Missing manufacturer serial",IF(COUNTIFS($B$8:$B$207,B180,$C$8:$C$207,C180)&lt;&gt;1,"Duplicate part and serial",IF(OR(D180="",AND(E180&lt;&gt;"Good",E180&lt;&gt;"Faulty",E180&lt;&gt;"Unknown")),"Set location and condition",IF(AND(F180&lt;&gt;"In stock",F180&lt;&gt;"Packed",F180&lt;&gt;"Installed",F180&lt;&gt;"In transit",F180&lt;&gt;"Quarantine",F180&lt;&gt;"Retired"),"Choose asset state",IF(AND(G180&lt;&gt;"Unallocated",G180&lt;&gt;"This plan",G180&lt;&gt;"Other plan"),"Choose allocation",IF(AND(H180&lt;&gt;"",G180&lt;&gt;"This plan"),"Assigned role needs This plan",IF(AND(H180&lt;&gt;"",COUNTIFS('Layout'!$A$8:$A$207,H180)&lt;&gt;1),"Unknown / duplicate role",IF(H180&lt;&gt;"",IF(VLOOKUP(H180,'Layout'!$A$8:$N$207,7,FALSE)&lt;&gt;B180,"Assigned role part mismatch","OK"),IF(AND(F180="Installed",G180="This plan"),"Set installed role","OK")))))))))))))</x:f>
      </x:c>
    </x:row>
    <x:row r="181" ht="22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1" t="str">
        <x:f>IF(A181="","",IF(AND(E181="Good",OR(AND(G181="Unallocated",F181="In stock"),AND(G181="This plan",OR(F181="In stock",F181="Packed",F181="Installed")))),1,0))</x:f>
      </x:c>
      <x:c r="K181" s="9" t="str">
        <x:f>IF(A181="","",IF(COUNTIFS('Assets'!$A$8:$A$207,A181)&lt;&gt;1,"Duplicate asset ID",IF(COUNTIFS('Definitions'!$A$8:$A$207,B181)&lt;&gt;1,"Unknown / duplicate definition",IF(VLOOKUP(B181,'Definitions'!$A$8:$J$207,7,FALSE)&lt;&gt;"Yes","Use bulk stock for untracked parts",IF(C181="","Missing manufacturer serial",IF(COUNTIFS($B$8:$B$207,B181,$C$8:$C$207,C181)&lt;&gt;1,"Duplicate part and serial",IF(OR(D181="",AND(E181&lt;&gt;"Good",E181&lt;&gt;"Faulty",E181&lt;&gt;"Unknown")),"Set location and condition",IF(AND(F181&lt;&gt;"In stock",F181&lt;&gt;"Packed",F181&lt;&gt;"Installed",F181&lt;&gt;"In transit",F181&lt;&gt;"Quarantine",F181&lt;&gt;"Retired"),"Choose asset state",IF(AND(G181&lt;&gt;"Unallocated",G181&lt;&gt;"This plan",G181&lt;&gt;"Other plan"),"Choose allocation",IF(AND(H181&lt;&gt;"",G181&lt;&gt;"This plan"),"Assigned role needs This plan",IF(AND(H181&lt;&gt;"",COUNTIFS('Layout'!$A$8:$A$207,H181)&lt;&gt;1),"Unknown / duplicate role",IF(H181&lt;&gt;"",IF(VLOOKUP(H181,'Layout'!$A$8:$N$207,7,FALSE)&lt;&gt;B181,"Assigned role part mismatch","OK"),IF(AND(F181="Installed",G181="This plan"),"Set installed role","OK")))))))))))))</x:f>
      </x:c>
    </x:row>
    <x:row r="182" ht="22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1" t="str">
        <x:f>IF(A182="","",IF(AND(E182="Good",OR(AND(G182="Unallocated",F182="In stock"),AND(G182="This plan",OR(F182="In stock",F182="Packed",F182="Installed")))),1,0))</x:f>
      </x:c>
      <x:c r="K182" s="9" t="str">
        <x:f>IF(A182="","",IF(COUNTIFS('Assets'!$A$8:$A$207,A182)&lt;&gt;1,"Duplicate asset ID",IF(COUNTIFS('Definitions'!$A$8:$A$207,B182)&lt;&gt;1,"Unknown / duplicate definition",IF(VLOOKUP(B182,'Definitions'!$A$8:$J$207,7,FALSE)&lt;&gt;"Yes","Use bulk stock for untracked parts",IF(C182="","Missing manufacturer serial",IF(COUNTIFS($B$8:$B$207,B182,$C$8:$C$207,C182)&lt;&gt;1,"Duplicate part and serial",IF(OR(D182="",AND(E182&lt;&gt;"Good",E182&lt;&gt;"Faulty",E182&lt;&gt;"Unknown")),"Set location and condition",IF(AND(F182&lt;&gt;"In stock",F182&lt;&gt;"Packed",F182&lt;&gt;"Installed",F182&lt;&gt;"In transit",F182&lt;&gt;"Quarantine",F182&lt;&gt;"Retired"),"Choose asset state",IF(AND(G182&lt;&gt;"Unallocated",G182&lt;&gt;"This plan",G182&lt;&gt;"Other plan"),"Choose allocation",IF(AND(H182&lt;&gt;"",G182&lt;&gt;"This plan"),"Assigned role needs This plan",IF(AND(H182&lt;&gt;"",COUNTIFS('Layout'!$A$8:$A$207,H182)&lt;&gt;1),"Unknown / duplicate role",IF(H182&lt;&gt;"",IF(VLOOKUP(H182,'Layout'!$A$8:$N$207,7,FALSE)&lt;&gt;B182,"Assigned role part mismatch","OK"),IF(AND(F182="Installed",G182="This plan"),"Set installed role","OK")))))))))))))</x:f>
      </x:c>
    </x:row>
    <x:row r="183" ht="22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1" t="str">
        <x:f>IF(A183="","",IF(AND(E183="Good",OR(AND(G183="Unallocated",F183="In stock"),AND(G183="This plan",OR(F183="In stock",F183="Packed",F183="Installed")))),1,0))</x:f>
      </x:c>
      <x:c r="K183" s="9" t="str">
        <x:f>IF(A183="","",IF(COUNTIFS('Assets'!$A$8:$A$207,A183)&lt;&gt;1,"Duplicate asset ID",IF(COUNTIFS('Definitions'!$A$8:$A$207,B183)&lt;&gt;1,"Unknown / duplicate definition",IF(VLOOKUP(B183,'Definitions'!$A$8:$J$207,7,FALSE)&lt;&gt;"Yes","Use bulk stock for untracked parts",IF(C183="","Missing manufacturer serial",IF(COUNTIFS($B$8:$B$207,B183,$C$8:$C$207,C183)&lt;&gt;1,"Duplicate part and serial",IF(OR(D183="",AND(E183&lt;&gt;"Good",E183&lt;&gt;"Faulty",E183&lt;&gt;"Unknown")),"Set location and condition",IF(AND(F183&lt;&gt;"In stock",F183&lt;&gt;"Packed",F183&lt;&gt;"Installed",F183&lt;&gt;"In transit",F183&lt;&gt;"Quarantine",F183&lt;&gt;"Retired"),"Choose asset state",IF(AND(G183&lt;&gt;"Unallocated",G183&lt;&gt;"This plan",G183&lt;&gt;"Other plan"),"Choose allocation",IF(AND(H183&lt;&gt;"",G183&lt;&gt;"This plan"),"Assigned role needs This plan",IF(AND(H183&lt;&gt;"",COUNTIFS('Layout'!$A$8:$A$207,H183)&lt;&gt;1),"Unknown / duplicate role",IF(H183&lt;&gt;"",IF(VLOOKUP(H183,'Layout'!$A$8:$N$207,7,FALSE)&lt;&gt;B183,"Assigned role part mismatch","OK"),IF(AND(F183="Installed",G183="This plan"),"Set installed role","OK")))))))))))))</x:f>
      </x:c>
    </x:row>
    <x:row r="184" ht="22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1" t="str">
        <x:f>IF(A184="","",IF(AND(E184="Good",OR(AND(G184="Unallocated",F184="In stock"),AND(G184="This plan",OR(F184="In stock",F184="Packed",F184="Installed")))),1,0))</x:f>
      </x:c>
      <x:c r="K184" s="9" t="str">
        <x:f>IF(A184="","",IF(COUNTIFS('Assets'!$A$8:$A$207,A184)&lt;&gt;1,"Duplicate asset ID",IF(COUNTIFS('Definitions'!$A$8:$A$207,B184)&lt;&gt;1,"Unknown / duplicate definition",IF(VLOOKUP(B184,'Definitions'!$A$8:$J$207,7,FALSE)&lt;&gt;"Yes","Use bulk stock for untracked parts",IF(C184="","Missing manufacturer serial",IF(COUNTIFS($B$8:$B$207,B184,$C$8:$C$207,C184)&lt;&gt;1,"Duplicate part and serial",IF(OR(D184="",AND(E184&lt;&gt;"Good",E184&lt;&gt;"Faulty",E184&lt;&gt;"Unknown")),"Set location and condition",IF(AND(F184&lt;&gt;"In stock",F184&lt;&gt;"Packed",F184&lt;&gt;"Installed",F184&lt;&gt;"In transit",F184&lt;&gt;"Quarantine",F184&lt;&gt;"Retired"),"Choose asset state",IF(AND(G184&lt;&gt;"Unallocated",G184&lt;&gt;"This plan",G184&lt;&gt;"Other plan"),"Choose allocation",IF(AND(H184&lt;&gt;"",G184&lt;&gt;"This plan"),"Assigned role needs This plan",IF(AND(H184&lt;&gt;"",COUNTIFS('Layout'!$A$8:$A$207,H184)&lt;&gt;1),"Unknown / duplicate role",IF(H184&lt;&gt;"",IF(VLOOKUP(H184,'Layout'!$A$8:$N$207,7,FALSE)&lt;&gt;B184,"Assigned role part mismatch","OK"),IF(AND(F184="Installed",G184="This plan"),"Set installed role","OK")))))))))))))</x:f>
      </x:c>
    </x:row>
    <x:row r="185" ht="22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1" t="str">
        <x:f>IF(A185="","",IF(AND(E185="Good",OR(AND(G185="Unallocated",F185="In stock"),AND(G185="This plan",OR(F185="In stock",F185="Packed",F185="Installed")))),1,0))</x:f>
      </x:c>
      <x:c r="K185" s="9" t="str">
        <x:f>IF(A185="","",IF(COUNTIFS('Assets'!$A$8:$A$207,A185)&lt;&gt;1,"Duplicate asset ID",IF(COUNTIFS('Definitions'!$A$8:$A$207,B185)&lt;&gt;1,"Unknown / duplicate definition",IF(VLOOKUP(B185,'Definitions'!$A$8:$J$207,7,FALSE)&lt;&gt;"Yes","Use bulk stock for untracked parts",IF(C185="","Missing manufacturer serial",IF(COUNTIFS($B$8:$B$207,B185,$C$8:$C$207,C185)&lt;&gt;1,"Duplicate part and serial",IF(OR(D185="",AND(E185&lt;&gt;"Good",E185&lt;&gt;"Faulty",E185&lt;&gt;"Unknown")),"Set location and condition",IF(AND(F185&lt;&gt;"In stock",F185&lt;&gt;"Packed",F185&lt;&gt;"Installed",F185&lt;&gt;"In transit",F185&lt;&gt;"Quarantine",F185&lt;&gt;"Retired"),"Choose asset state",IF(AND(G185&lt;&gt;"Unallocated",G185&lt;&gt;"This plan",G185&lt;&gt;"Other plan"),"Choose allocation",IF(AND(H185&lt;&gt;"",G185&lt;&gt;"This plan"),"Assigned role needs This plan",IF(AND(H185&lt;&gt;"",COUNTIFS('Layout'!$A$8:$A$207,H185)&lt;&gt;1),"Unknown / duplicate role",IF(H185&lt;&gt;"",IF(VLOOKUP(H185,'Layout'!$A$8:$N$207,7,FALSE)&lt;&gt;B185,"Assigned role part mismatch","OK"),IF(AND(F185="Installed",G185="This plan"),"Set installed role","OK")))))))))))))</x:f>
      </x:c>
    </x:row>
    <x:row r="186" ht="22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1" t="str">
        <x:f>IF(A186="","",IF(AND(E186="Good",OR(AND(G186="Unallocated",F186="In stock"),AND(G186="This plan",OR(F186="In stock",F186="Packed",F186="Installed")))),1,0))</x:f>
      </x:c>
      <x:c r="K186" s="9" t="str">
        <x:f>IF(A186="","",IF(COUNTIFS('Assets'!$A$8:$A$207,A186)&lt;&gt;1,"Duplicate asset ID",IF(COUNTIFS('Definitions'!$A$8:$A$207,B186)&lt;&gt;1,"Unknown / duplicate definition",IF(VLOOKUP(B186,'Definitions'!$A$8:$J$207,7,FALSE)&lt;&gt;"Yes","Use bulk stock for untracked parts",IF(C186="","Missing manufacturer serial",IF(COUNTIFS($B$8:$B$207,B186,$C$8:$C$207,C186)&lt;&gt;1,"Duplicate part and serial",IF(OR(D186="",AND(E186&lt;&gt;"Good",E186&lt;&gt;"Faulty",E186&lt;&gt;"Unknown")),"Set location and condition",IF(AND(F186&lt;&gt;"In stock",F186&lt;&gt;"Packed",F186&lt;&gt;"Installed",F186&lt;&gt;"In transit",F186&lt;&gt;"Quarantine",F186&lt;&gt;"Retired"),"Choose asset state",IF(AND(G186&lt;&gt;"Unallocated",G186&lt;&gt;"This plan",G186&lt;&gt;"Other plan"),"Choose allocation",IF(AND(H186&lt;&gt;"",G186&lt;&gt;"This plan"),"Assigned role needs This plan",IF(AND(H186&lt;&gt;"",COUNTIFS('Layout'!$A$8:$A$207,H186)&lt;&gt;1),"Unknown / duplicate role",IF(H186&lt;&gt;"",IF(VLOOKUP(H186,'Layout'!$A$8:$N$207,7,FALSE)&lt;&gt;B186,"Assigned role part mismatch","OK"),IF(AND(F186="Installed",G186="This plan"),"Set installed role","OK")))))))))))))</x:f>
      </x:c>
    </x:row>
    <x:row r="187" ht="22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1" t="str">
        <x:f>IF(A187="","",IF(AND(E187="Good",OR(AND(G187="Unallocated",F187="In stock"),AND(G187="This plan",OR(F187="In stock",F187="Packed",F187="Installed")))),1,0))</x:f>
      </x:c>
      <x:c r="K187" s="9" t="str">
        <x:f>IF(A187="","",IF(COUNTIFS('Assets'!$A$8:$A$207,A187)&lt;&gt;1,"Duplicate asset ID",IF(COUNTIFS('Definitions'!$A$8:$A$207,B187)&lt;&gt;1,"Unknown / duplicate definition",IF(VLOOKUP(B187,'Definitions'!$A$8:$J$207,7,FALSE)&lt;&gt;"Yes","Use bulk stock for untracked parts",IF(C187="","Missing manufacturer serial",IF(COUNTIFS($B$8:$B$207,B187,$C$8:$C$207,C187)&lt;&gt;1,"Duplicate part and serial",IF(OR(D187="",AND(E187&lt;&gt;"Good",E187&lt;&gt;"Faulty",E187&lt;&gt;"Unknown")),"Set location and condition",IF(AND(F187&lt;&gt;"In stock",F187&lt;&gt;"Packed",F187&lt;&gt;"Installed",F187&lt;&gt;"In transit",F187&lt;&gt;"Quarantine",F187&lt;&gt;"Retired"),"Choose asset state",IF(AND(G187&lt;&gt;"Unallocated",G187&lt;&gt;"This plan",G187&lt;&gt;"Other plan"),"Choose allocation",IF(AND(H187&lt;&gt;"",G187&lt;&gt;"This plan"),"Assigned role needs This plan",IF(AND(H187&lt;&gt;"",COUNTIFS('Layout'!$A$8:$A$207,H187)&lt;&gt;1),"Unknown / duplicate role",IF(H187&lt;&gt;"",IF(VLOOKUP(H187,'Layout'!$A$8:$N$207,7,FALSE)&lt;&gt;B187,"Assigned role part mismatch","OK"),IF(AND(F187="Installed",G187="This plan"),"Set installed role","OK")))))))))))))</x:f>
      </x:c>
    </x:row>
    <x:row r="188" ht="22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1" t="str">
        <x:f>IF(A188="","",IF(AND(E188="Good",OR(AND(G188="Unallocated",F188="In stock"),AND(G188="This plan",OR(F188="In stock",F188="Packed",F188="Installed")))),1,0))</x:f>
      </x:c>
      <x:c r="K188" s="9" t="str">
        <x:f>IF(A188="","",IF(COUNTIFS('Assets'!$A$8:$A$207,A188)&lt;&gt;1,"Duplicate asset ID",IF(COUNTIFS('Definitions'!$A$8:$A$207,B188)&lt;&gt;1,"Unknown / duplicate definition",IF(VLOOKUP(B188,'Definitions'!$A$8:$J$207,7,FALSE)&lt;&gt;"Yes","Use bulk stock for untracked parts",IF(C188="","Missing manufacturer serial",IF(COUNTIFS($B$8:$B$207,B188,$C$8:$C$207,C188)&lt;&gt;1,"Duplicate part and serial",IF(OR(D188="",AND(E188&lt;&gt;"Good",E188&lt;&gt;"Faulty",E188&lt;&gt;"Unknown")),"Set location and condition",IF(AND(F188&lt;&gt;"In stock",F188&lt;&gt;"Packed",F188&lt;&gt;"Installed",F188&lt;&gt;"In transit",F188&lt;&gt;"Quarantine",F188&lt;&gt;"Retired"),"Choose asset state",IF(AND(G188&lt;&gt;"Unallocated",G188&lt;&gt;"This plan",G188&lt;&gt;"Other plan"),"Choose allocation",IF(AND(H188&lt;&gt;"",G188&lt;&gt;"This plan"),"Assigned role needs This plan",IF(AND(H188&lt;&gt;"",COUNTIFS('Layout'!$A$8:$A$207,H188)&lt;&gt;1),"Unknown / duplicate role",IF(H188&lt;&gt;"",IF(VLOOKUP(H188,'Layout'!$A$8:$N$207,7,FALSE)&lt;&gt;B188,"Assigned role part mismatch","OK"),IF(AND(F188="Installed",G188="This plan"),"Set installed role","OK")))))))))))))</x:f>
      </x:c>
    </x:row>
    <x:row r="189" ht="22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1" t="str">
        <x:f>IF(A189="","",IF(AND(E189="Good",OR(AND(G189="Unallocated",F189="In stock"),AND(G189="This plan",OR(F189="In stock",F189="Packed",F189="Installed")))),1,0))</x:f>
      </x:c>
      <x:c r="K189" s="9" t="str">
        <x:f>IF(A189="","",IF(COUNTIFS('Assets'!$A$8:$A$207,A189)&lt;&gt;1,"Duplicate asset ID",IF(COUNTIFS('Definitions'!$A$8:$A$207,B189)&lt;&gt;1,"Unknown / duplicate definition",IF(VLOOKUP(B189,'Definitions'!$A$8:$J$207,7,FALSE)&lt;&gt;"Yes","Use bulk stock for untracked parts",IF(C189="","Missing manufacturer serial",IF(COUNTIFS($B$8:$B$207,B189,$C$8:$C$207,C189)&lt;&gt;1,"Duplicate part and serial",IF(OR(D189="",AND(E189&lt;&gt;"Good",E189&lt;&gt;"Faulty",E189&lt;&gt;"Unknown")),"Set location and condition",IF(AND(F189&lt;&gt;"In stock",F189&lt;&gt;"Packed",F189&lt;&gt;"Installed",F189&lt;&gt;"In transit",F189&lt;&gt;"Quarantine",F189&lt;&gt;"Retired"),"Choose asset state",IF(AND(G189&lt;&gt;"Unallocated",G189&lt;&gt;"This plan",G189&lt;&gt;"Other plan"),"Choose allocation",IF(AND(H189&lt;&gt;"",G189&lt;&gt;"This plan"),"Assigned role needs This plan",IF(AND(H189&lt;&gt;"",COUNTIFS('Layout'!$A$8:$A$207,H189)&lt;&gt;1),"Unknown / duplicate role",IF(H189&lt;&gt;"",IF(VLOOKUP(H189,'Layout'!$A$8:$N$207,7,FALSE)&lt;&gt;B189,"Assigned role part mismatch","OK"),IF(AND(F189="Installed",G189="This plan"),"Set installed role","OK")))))))))))))</x:f>
      </x:c>
    </x:row>
    <x:row r="190" ht="22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1" t="str">
        <x:f>IF(A190="","",IF(AND(E190="Good",OR(AND(G190="Unallocated",F190="In stock"),AND(G190="This plan",OR(F190="In stock",F190="Packed",F190="Installed")))),1,0))</x:f>
      </x:c>
      <x:c r="K190" s="9" t="str">
        <x:f>IF(A190="","",IF(COUNTIFS('Assets'!$A$8:$A$207,A190)&lt;&gt;1,"Duplicate asset ID",IF(COUNTIFS('Definitions'!$A$8:$A$207,B190)&lt;&gt;1,"Unknown / duplicate definition",IF(VLOOKUP(B190,'Definitions'!$A$8:$J$207,7,FALSE)&lt;&gt;"Yes","Use bulk stock for untracked parts",IF(C190="","Missing manufacturer serial",IF(COUNTIFS($B$8:$B$207,B190,$C$8:$C$207,C190)&lt;&gt;1,"Duplicate part and serial",IF(OR(D190="",AND(E190&lt;&gt;"Good",E190&lt;&gt;"Faulty",E190&lt;&gt;"Unknown")),"Set location and condition",IF(AND(F190&lt;&gt;"In stock",F190&lt;&gt;"Packed",F190&lt;&gt;"Installed",F190&lt;&gt;"In transit",F190&lt;&gt;"Quarantine",F190&lt;&gt;"Retired"),"Choose asset state",IF(AND(G190&lt;&gt;"Unallocated",G190&lt;&gt;"This plan",G190&lt;&gt;"Other plan"),"Choose allocation",IF(AND(H190&lt;&gt;"",G190&lt;&gt;"This plan"),"Assigned role needs This plan",IF(AND(H190&lt;&gt;"",COUNTIFS('Layout'!$A$8:$A$207,H190)&lt;&gt;1),"Unknown / duplicate role",IF(H190&lt;&gt;"",IF(VLOOKUP(H190,'Layout'!$A$8:$N$207,7,FALSE)&lt;&gt;B190,"Assigned role part mismatch","OK"),IF(AND(F190="Installed",G190="This plan"),"Set installed role","OK")))))))))))))</x:f>
      </x:c>
    </x:row>
    <x:row r="191" ht="22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1" t="str">
        <x:f>IF(A191="","",IF(AND(E191="Good",OR(AND(G191="Unallocated",F191="In stock"),AND(G191="This plan",OR(F191="In stock",F191="Packed",F191="Installed")))),1,0))</x:f>
      </x:c>
      <x:c r="K191" s="9" t="str">
        <x:f>IF(A191="","",IF(COUNTIFS('Assets'!$A$8:$A$207,A191)&lt;&gt;1,"Duplicate asset ID",IF(COUNTIFS('Definitions'!$A$8:$A$207,B191)&lt;&gt;1,"Unknown / duplicate definition",IF(VLOOKUP(B191,'Definitions'!$A$8:$J$207,7,FALSE)&lt;&gt;"Yes","Use bulk stock for untracked parts",IF(C191="","Missing manufacturer serial",IF(COUNTIFS($B$8:$B$207,B191,$C$8:$C$207,C191)&lt;&gt;1,"Duplicate part and serial",IF(OR(D191="",AND(E191&lt;&gt;"Good",E191&lt;&gt;"Faulty",E191&lt;&gt;"Unknown")),"Set location and condition",IF(AND(F191&lt;&gt;"In stock",F191&lt;&gt;"Packed",F191&lt;&gt;"Installed",F191&lt;&gt;"In transit",F191&lt;&gt;"Quarantine",F191&lt;&gt;"Retired"),"Choose asset state",IF(AND(G191&lt;&gt;"Unallocated",G191&lt;&gt;"This plan",G191&lt;&gt;"Other plan"),"Choose allocation",IF(AND(H191&lt;&gt;"",G191&lt;&gt;"This plan"),"Assigned role needs This plan",IF(AND(H191&lt;&gt;"",COUNTIFS('Layout'!$A$8:$A$207,H191)&lt;&gt;1),"Unknown / duplicate role",IF(H191&lt;&gt;"",IF(VLOOKUP(H191,'Layout'!$A$8:$N$207,7,FALSE)&lt;&gt;B191,"Assigned role part mismatch","OK"),IF(AND(F191="Installed",G191="This plan"),"Set installed role","OK")))))))))))))</x:f>
      </x:c>
    </x:row>
    <x:row r="192" ht="22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1" t="str">
        <x:f>IF(A192="","",IF(AND(E192="Good",OR(AND(G192="Unallocated",F192="In stock"),AND(G192="This plan",OR(F192="In stock",F192="Packed",F192="Installed")))),1,0))</x:f>
      </x:c>
      <x:c r="K192" s="9" t="str">
        <x:f>IF(A192="","",IF(COUNTIFS('Assets'!$A$8:$A$207,A192)&lt;&gt;1,"Duplicate asset ID",IF(COUNTIFS('Definitions'!$A$8:$A$207,B192)&lt;&gt;1,"Unknown / duplicate definition",IF(VLOOKUP(B192,'Definitions'!$A$8:$J$207,7,FALSE)&lt;&gt;"Yes","Use bulk stock for untracked parts",IF(C192="","Missing manufacturer serial",IF(COUNTIFS($B$8:$B$207,B192,$C$8:$C$207,C192)&lt;&gt;1,"Duplicate part and serial",IF(OR(D192="",AND(E192&lt;&gt;"Good",E192&lt;&gt;"Faulty",E192&lt;&gt;"Unknown")),"Set location and condition",IF(AND(F192&lt;&gt;"In stock",F192&lt;&gt;"Packed",F192&lt;&gt;"Installed",F192&lt;&gt;"In transit",F192&lt;&gt;"Quarantine",F192&lt;&gt;"Retired"),"Choose asset state",IF(AND(G192&lt;&gt;"Unallocated",G192&lt;&gt;"This plan",G192&lt;&gt;"Other plan"),"Choose allocation",IF(AND(H192&lt;&gt;"",G192&lt;&gt;"This plan"),"Assigned role needs This plan",IF(AND(H192&lt;&gt;"",COUNTIFS('Layout'!$A$8:$A$207,H192)&lt;&gt;1),"Unknown / duplicate role",IF(H192&lt;&gt;"",IF(VLOOKUP(H192,'Layout'!$A$8:$N$207,7,FALSE)&lt;&gt;B192,"Assigned role part mismatch","OK"),IF(AND(F192="Installed",G192="This plan"),"Set installed role","OK")))))))))))))</x:f>
      </x:c>
    </x:row>
    <x:row r="193" ht="22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1" t="str">
        <x:f>IF(A193="","",IF(AND(E193="Good",OR(AND(G193="Unallocated",F193="In stock"),AND(G193="This plan",OR(F193="In stock",F193="Packed",F193="Installed")))),1,0))</x:f>
      </x:c>
      <x:c r="K193" s="9" t="str">
        <x:f>IF(A193="","",IF(COUNTIFS('Assets'!$A$8:$A$207,A193)&lt;&gt;1,"Duplicate asset ID",IF(COUNTIFS('Definitions'!$A$8:$A$207,B193)&lt;&gt;1,"Unknown / duplicate definition",IF(VLOOKUP(B193,'Definitions'!$A$8:$J$207,7,FALSE)&lt;&gt;"Yes","Use bulk stock for untracked parts",IF(C193="","Missing manufacturer serial",IF(COUNTIFS($B$8:$B$207,B193,$C$8:$C$207,C193)&lt;&gt;1,"Duplicate part and serial",IF(OR(D193="",AND(E193&lt;&gt;"Good",E193&lt;&gt;"Faulty",E193&lt;&gt;"Unknown")),"Set location and condition",IF(AND(F193&lt;&gt;"In stock",F193&lt;&gt;"Packed",F193&lt;&gt;"Installed",F193&lt;&gt;"In transit",F193&lt;&gt;"Quarantine",F193&lt;&gt;"Retired"),"Choose asset state",IF(AND(G193&lt;&gt;"Unallocated",G193&lt;&gt;"This plan",G193&lt;&gt;"Other plan"),"Choose allocation",IF(AND(H193&lt;&gt;"",G193&lt;&gt;"This plan"),"Assigned role needs This plan",IF(AND(H193&lt;&gt;"",COUNTIFS('Layout'!$A$8:$A$207,H193)&lt;&gt;1),"Unknown / duplicate role",IF(H193&lt;&gt;"",IF(VLOOKUP(H193,'Layout'!$A$8:$N$207,7,FALSE)&lt;&gt;B193,"Assigned role part mismatch","OK"),IF(AND(F193="Installed",G193="This plan"),"Set installed role","OK")))))))))))))</x:f>
      </x:c>
    </x:row>
    <x:row r="194" ht="22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1" t="str">
        <x:f>IF(A194="","",IF(AND(E194="Good",OR(AND(G194="Unallocated",F194="In stock"),AND(G194="This plan",OR(F194="In stock",F194="Packed",F194="Installed")))),1,0))</x:f>
      </x:c>
      <x:c r="K194" s="9" t="str">
        <x:f>IF(A194="","",IF(COUNTIFS('Assets'!$A$8:$A$207,A194)&lt;&gt;1,"Duplicate asset ID",IF(COUNTIFS('Definitions'!$A$8:$A$207,B194)&lt;&gt;1,"Unknown / duplicate definition",IF(VLOOKUP(B194,'Definitions'!$A$8:$J$207,7,FALSE)&lt;&gt;"Yes","Use bulk stock for untracked parts",IF(C194="","Missing manufacturer serial",IF(COUNTIFS($B$8:$B$207,B194,$C$8:$C$207,C194)&lt;&gt;1,"Duplicate part and serial",IF(OR(D194="",AND(E194&lt;&gt;"Good",E194&lt;&gt;"Faulty",E194&lt;&gt;"Unknown")),"Set location and condition",IF(AND(F194&lt;&gt;"In stock",F194&lt;&gt;"Packed",F194&lt;&gt;"Installed",F194&lt;&gt;"In transit",F194&lt;&gt;"Quarantine",F194&lt;&gt;"Retired"),"Choose asset state",IF(AND(G194&lt;&gt;"Unallocated",G194&lt;&gt;"This plan",G194&lt;&gt;"Other plan"),"Choose allocation",IF(AND(H194&lt;&gt;"",G194&lt;&gt;"This plan"),"Assigned role needs This plan",IF(AND(H194&lt;&gt;"",COUNTIFS('Layout'!$A$8:$A$207,H194)&lt;&gt;1),"Unknown / duplicate role",IF(H194&lt;&gt;"",IF(VLOOKUP(H194,'Layout'!$A$8:$N$207,7,FALSE)&lt;&gt;B194,"Assigned role part mismatch","OK"),IF(AND(F194="Installed",G194="This plan"),"Set installed role","OK")))))))))))))</x:f>
      </x:c>
    </x:row>
    <x:row r="195" ht="22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1" t="str">
        <x:f>IF(A195="","",IF(AND(E195="Good",OR(AND(G195="Unallocated",F195="In stock"),AND(G195="This plan",OR(F195="In stock",F195="Packed",F195="Installed")))),1,0))</x:f>
      </x:c>
      <x:c r="K195" s="9" t="str">
        <x:f>IF(A195="","",IF(COUNTIFS('Assets'!$A$8:$A$207,A195)&lt;&gt;1,"Duplicate asset ID",IF(COUNTIFS('Definitions'!$A$8:$A$207,B195)&lt;&gt;1,"Unknown / duplicate definition",IF(VLOOKUP(B195,'Definitions'!$A$8:$J$207,7,FALSE)&lt;&gt;"Yes","Use bulk stock for untracked parts",IF(C195="","Missing manufacturer serial",IF(COUNTIFS($B$8:$B$207,B195,$C$8:$C$207,C195)&lt;&gt;1,"Duplicate part and serial",IF(OR(D195="",AND(E195&lt;&gt;"Good",E195&lt;&gt;"Faulty",E195&lt;&gt;"Unknown")),"Set location and condition",IF(AND(F195&lt;&gt;"In stock",F195&lt;&gt;"Packed",F195&lt;&gt;"Installed",F195&lt;&gt;"In transit",F195&lt;&gt;"Quarantine",F195&lt;&gt;"Retired"),"Choose asset state",IF(AND(G195&lt;&gt;"Unallocated",G195&lt;&gt;"This plan",G195&lt;&gt;"Other plan"),"Choose allocation",IF(AND(H195&lt;&gt;"",G195&lt;&gt;"This plan"),"Assigned role needs This plan",IF(AND(H195&lt;&gt;"",COUNTIFS('Layout'!$A$8:$A$207,H195)&lt;&gt;1),"Unknown / duplicate role",IF(H195&lt;&gt;"",IF(VLOOKUP(H195,'Layout'!$A$8:$N$207,7,FALSE)&lt;&gt;B195,"Assigned role part mismatch","OK"),IF(AND(F195="Installed",G195="This plan"),"Set installed role","OK")))))))))))))</x:f>
      </x:c>
    </x:row>
    <x:row r="196" ht="22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1" t="str">
        <x:f>IF(A196="","",IF(AND(E196="Good",OR(AND(G196="Unallocated",F196="In stock"),AND(G196="This plan",OR(F196="In stock",F196="Packed",F196="Installed")))),1,0))</x:f>
      </x:c>
      <x:c r="K196" s="9" t="str">
        <x:f>IF(A196="","",IF(COUNTIFS('Assets'!$A$8:$A$207,A196)&lt;&gt;1,"Duplicate asset ID",IF(COUNTIFS('Definitions'!$A$8:$A$207,B196)&lt;&gt;1,"Unknown / duplicate definition",IF(VLOOKUP(B196,'Definitions'!$A$8:$J$207,7,FALSE)&lt;&gt;"Yes","Use bulk stock for untracked parts",IF(C196="","Missing manufacturer serial",IF(COUNTIFS($B$8:$B$207,B196,$C$8:$C$207,C196)&lt;&gt;1,"Duplicate part and serial",IF(OR(D196="",AND(E196&lt;&gt;"Good",E196&lt;&gt;"Faulty",E196&lt;&gt;"Unknown")),"Set location and condition",IF(AND(F196&lt;&gt;"In stock",F196&lt;&gt;"Packed",F196&lt;&gt;"Installed",F196&lt;&gt;"In transit",F196&lt;&gt;"Quarantine",F196&lt;&gt;"Retired"),"Choose asset state",IF(AND(G196&lt;&gt;"Unallocated",G196&lt;&gt;"This plan",G196&lt;&gt;"Other plan"),"Choose allocation",IF(AND(H196&lt;&gt;"",G196&lt;&gt;"This plan"),"Assigned role needs This plan",IF(AND(H196&lt;&gt;"",COUNTIFS('Layout'!$A$8:$A$207,H196)&lt;&gt;1),"Unknown / duplicate role",IF(H196&lt;&gt;"",IF(VLOOKUP(H196,'Layout'!$A$8:$N$207,7,FALSE)&lt;&gt;B196,"Assigned role part mismatch","OK"),IF(AND(F196="Installed",G196="This plan"),"Set installed role","OK")))))))))))))</x:f>
      </x:c>
    </x:row>
    <x:row r="197" ht="22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1" t="str">
        <x:f>IF(A197="","",IF(AND(E197="Good",OR(AND(G197="Unallocated",F197="In stock"),AND(G197="This plan",OR(F197="In stock",F197="Packed",F197="Installed")))),1,0))</x:f>
      </x:c>
      <x:c r="K197" s="9" t="str">
        <x:f>IF(A197="","",IF(COUNTIFS('Assets'!$A$8:$A$207,A197)&lt;&gt;1,"Duplicate asset ID",IF(COUNTIFS('Definitions'!$A$8:$A$207,B197)&lt;&gt;1,"Unknown / duplicate definition",IF(VLOOKUP(B197,'Definitions'!$A$8:$J$207,7,FALSE)&lt;&gt;"Yes","Use bulk stock for untracked parts",IF(C197="","Missing manufacturer serial",IF(COUNTIFS($B$8:$B$207,B197,$C$8:$C$207,C197)&lt;&gt;1,"Duplicate part and serial",IF(OR(D197="",AND(E197&lt;&gt;"Good",E197&lt;&gt;"Faulty",E197&lt;&gt;"Unknown")),"Set location and condition",IF(AND(F197&lt;&gt;"In stock",F197&lt;&gt;"Packed",F197&lt;&gt;"Installed",F197&lt;&gt;"In transit",F197&lt;&gt;"Quarantine",F197&lt;&gt;"Retired"),"Choose asset state",IF(AND(G197&lt;&gt;"Unallocated",G197&lt;&gt;"This plan",G197&lt;&gt;"Other plan"),"Choose allocation",IF(AND(H197&lt;&gt;"",G197&lt;&gt;"This plan"),"Assigned role needs This plan",IF(AND(H197&lt;&gt;"",COUNTIFS('Layout'!$A$8:$A$207,H197)&lt;&gt;1),"Unknown / duplicate role",IF(H197&lt;&gt;"",IF(VLOOKUP(H197,'Layout'!$A$8:$N$207,7,FALSE)&lt;&gt;B197,"Assigned role part mismatch","OK"),IF(AND(F197="Installed",G197="This plan"),"Set installed role","OK")))))))))))))</x:f>
      </x:c>
    </x:row>
    <x:row r="198" ht="22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1" t="str">
        <x:f>IF(A198="","",IF(AND(E198="Good",OR(AND(G198="Unallocated",F198="In stock"),AND(G198="This plan",OR(F198="In stock",F198="Packed",F198="Installed")))),1,0))</x:f>
      </x:c>
      <x:c r="K198" s="9" t="str">
        <x:f>IF(A198="","",IF(COUNTIFS('Assets'!$A$8:$A$207,A198)&lt;&gt;1,"Duplicate asset ID",IF(COUNTIFS('Definitions'!$A$8:$A$207,B198)&lt;&gt;1,"Unknown / duplicate definition",IF(VLOOKUP(B198,'Definitions'!$A$8:$J$207,7,FALSE)&lt;&gt;"Yes","Use bulk stock for untracked parts",IF(C198="","Missing manufacturer serial",IF(COUNTIFS($B$8:$B$207,B198,$C$8:$C$207,C198)&lt;&gt;1,"Duplicate part and serial",IF(OR(D198="",AND(E198&lt;&gt;"Good",E198&lt;&gt;"Faulty",E198&lt;&gt;"Unknown")),"Set location and condition",IF(AND(F198&lt;&gt;"In stock",F198&lt;&gt;"Packed",F198&lt;&gt;"Installed",F198&lt;&gt;"In transit",F198&lt;&gt;"Quarantine",F198&lt;&gt;"Retired"),"Choose asset state",IF(AND(G198&lt;&gt;"Unallocated",G198&lt;&gt;"This plan",G198&lt;&gt;"Other plan"),"Choose allocation",IF(AND(H198&lt;&gt;"",G198&lt;&gt;"This plan"),"Assigned role needs This plan",IF(AND(H198&lt;&gt;"",COUNTIFS('Layout'!$A$8:$A$207,H198)&lt;&gt;1),"Unknown / duplicate role",IF(H198&lt;&gt;"",IF(VLOOKUP(H198,'Layout'!$A$8:$N$207,7,FALSE)&lt;&gt;B198,"Assigned role part mismatch","OK"),IF(AND(F198="Installed",G198="This plan"),"Set installed role","OK")))))))))))))</x:f>
      </x:c>
    </x:row>
    <x:row r="199" ht="22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1" t="str">
        <x:f>IF(A199="","",IF(AND(E199="Good",OR(AND(G199="Unallocated",F199="In stock"),AND(G199="This plan",OR(F199="In stock",F199="Packed",F199="Installed")))),1,0))</x:f>
      </x:c>
      <x:c r="K199" s="9" t="str">
        <x:f>IF(A199="","",IF(COUNTIFS('Assets'!$A$8:$A$207,A199)&lt;&gt;1,"Duplicate asset ID",IF(COUNTIFS('Definitions'!$A$8:$A$207,B199)&lt;&gt;1,"Unknown / duplicate definition",IF(VLOOKUP(B199,'Definitions'!$A$8:$J$207,7,FALSE)&lt;&gt;"Yes","Use bulk stock for untracked parts",IF(C199="","Missing manufacturer serial",IF(COUNTIFS($B$8:$B$207,B199,$C$8:$C$207,C199)&lt;&gt;1,"Duplicate part and serial",IF(OR(D199="",AND(E199&lt;&gt;"Good",E199&lt;&gt;"Faulty",E199&lt;&gt;"Unknown")),"Set location and condition",IF(AND(F199&lt;&gt;"In stock",F199&lt;&gt;"Packed",F199&lt;&gt;"Installed",F199&lt;&gt;"In transit",F199&lt;&gt;"Quarantine",F199&lt;&gt;"Retired"),"Choose asset state",IF(AND(G199&lt;&gt;"Unallocated",G199&lt;&gt;"This plan",G199&lt;&gt;"Other plan"),"Choose allocation",IF(AND(H199&lt;&gt;"",G199&lt;&gt;"This plan"),"Assigned role needs This plan",IF(AND(H199&lt;&gt;"",COUNTIFS('Layout'!$A$8:$A$207,H199)&lt;&gt;1),"Unknown / duplicate role",IF(H199&lt;&gt;"",IF(VLOOKUP(H199,'Layout'!$A$8:$N$207,7,FALSE)&lt;&gt;B199,"Assigned role part mismatch","OK"),IF(AND(F199="Installed",G199="This plan"),"Set installed role","OK")))))))))))))</x:f>
      </x:c>
    </x:row>
    <x:row r="200" ht="22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1" t="str">
        <x:f>IF(A200="","",IF(AND(E200="Good",OR(AND(G200="Unallocated",F200="In stock"),AND(G200="This plan",OR(F200="In stock",F200="Packed",F200="Installed")))),1,0))</x:f>
      </x:c>
      <x:c r="K200" s="9" t="str">
        <x:f>IF(A200="","",IF(COUNTIFS('Assets'!$A$8:$A$207,A200)&lt;&gt;1,"Duplicate asset ID",IF(COUNTIFS('Definitions'!$A$8:$A$207,B200)&lt;&gt;1,"Unknown / duplicate definition",IF(VLOOKUP(B200,'Definitions'!$A$8:$J$207,7,FALSE)&lt;&gt;"Yes","Use bulk stock for untracked parts",IF(C200="","Missing manufacturer serial",IF(COUNTIFS($B$8:$B$207,B200,$C$8:$C$207,C200)&lt;&gt;1,"Duplicate part and serial",IF(OR(D200="",AND(E200&lt;&gt;"Good",E200&lt;&gt;"Faulty",E200&lt;&gt;"Unknown")),"Set location and condition",IF(AND(F200&lt;&gt;"In stock",F200&lt;&gt;"Packed",F200&lt;&gt;"Installed",F200&lt;&gt;"In transit",F200&lt;&gt;"Quarantine",F200&lt;&gt;"Retired"),"Choose asset state",IF(AND(G200&lt;&gt;"Unallocated",G200&lt;&gt;"This plan",G200&lt;&gt;"Other plan"),"Choose allocation",IF(AND(H200&lt;&gt;"",G200&lt;&gt;"This plan"),"Assigned role needs This plan",IF(AND(H200&lt;&gt;"",COUNTIFS('Layout'!$A$8:$A$207,H200)&lt;&gt;1),"Unknown / duplicate role",IF(H200&lt;&gt;"",IF(VLOOKUP(H200,'Layout'!$A$8:$N$207,7,FALSE)&lt;&gt;B200,"Assigned role part mismatch","OK"),IF(AND(F200="Installed",G200="This plan"),"Set installed role","OK")))))))))))))</x:f>
      </x:c>
    </x:row>
    <x:row r="201" ht="22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1" t="str">
        <x:f>IF(A201="","",IF(AND(E201="Good",OR(AND(G201="Unallocated",F201="In stock"),AND(G201="This plan",OR(F201="In stock",F201="Packed",F201="Installed")))),1,0))</x:f>
      </x:c>
      <x:c r="K201" s="9" t="str">
        <x:f>IF(A201="","",IF(COUNTIFS('Assets'!$A$8:$A$207,A201)&lt;&gt;1,"Duplicate asset ID",IF(COUNTIFS('Definitions'!$A$8:$A$207,B201)&lt;&gt;1,"Unknown / duplicate definition",IF(VLOOKUP(B201,'Definitions'!$A$8:$J$207,7,FALSE)&lt;&gt;"Yes","Use bulk stock for untracked parts",IF(C201="","Missing manufacturer serial",IF(COUNTIFS($B$8:$B$207,B201,$C$8:$C$207,C201)&lt;&gt;1,"Duplicate part and serial",IF(OR(D201="",AND(E201&lt;&gt;"Good",E201&lt;&gt;"Faulty",E201&lt;&gt;"Unknown")),"Set location and condition",IF(AND(F201&lt;&gt;"In stock",F201&lt;&gt;"Packed",F201&lt;&gt;"Installed",F201&lt;&gt;"In transit",F201&lt;&gt;"Quarantine",F201&lt;&gt;"Retired"),"Choose asset state",IF(AND(G201&lt;&gt;"Unallocated",G201&lt;&gt;"This plan",G201&lt;&gt;"Other plan"),"Choose allocation",IF(AND(H201&lt;&gt;"",G201&lt;&gt;"This plan"),"Assigned role needs This plan",IF(AND(H201&lt;&gt;"",COUNTIFS('Layout'!$A$8:$A$207,H201)&lt;&gt;1),"Unknown / duplicate role",IF(H201&lt;&gt;"",IF(VLOOKUP(H201,'Layout'!$A$8:$N$207,7,FALSE)&lt;&gt;B201,"Assigned role part mismatch","OK"),IF(AND(F201="Installed",G201="This plan"),"Set installed role","OK")))))))))))))</x:f>
      </x:c>
    </x:row>
    <x:row r="202" ht="22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1" t="str">
        <x:f>IF(A202="","",IF(AND(E202="Good",OR(AND(G202="Unallocated",F202="In stock"),AND(G202="This plan",OR(F202="In stock",F202="Packed",F202="Installed")))),1,0))</x:f>
      </x:c>
      <x:c r="K202" s="9" t="str">
        <x:f>IF(A202="","",IF(COUNTIFS('Assets'!$A$8:$A$207,A202)&lt;&gt;1,"Duplicate asset ID",IF(COUNTIFS('Definitions'!$A$8:$A$207,B202)&lt;&gt;1,"Unknown / duplicate definition",IF(VLOOKUP(B202,'Definitions'!$A$8:$J$207,7,FALSE)&lt;&gt;"Yes","Use bulk stock for untracked parts",IF(C202="","Missing manufacturer serial",IF(COUNTIFS($B$8:$B$207,B202,$C$8:$C$207,C202)&lt;&gt;1,"Duplicate part and serial",IF(OR(D202="",AND(E202&lt;&gt;"Good",E202&lt;&gt;"Faulty",E202&lt;&gt;"Unknown")),"Set location and condition",IF(AND(F202&lt;&gt;"In stock",F202&lt;&gt;"Packed",F202&lt;&gt;"Installed",F202&lt;&gt;"In transit",F202&lt;&gt;"Quarantine",F202&lt;&gt;"Retired"),"Choose asset state",IF(AND(G202&lt;&gt;"Unallocated",G202&lt;&gt;"This plan",G202&lt;&gt;"Other plan"),"Choose allocation",IF(AND(H202&lt;&gt;"",G202&lt;&gt;"This plan"),"Assigned role needs This plan",IF(AND(H202&lt;&gt;"",COUNTIFS('Layout'!$A$8:$A$207,H202)&lt;&gt;1),"Unknown / duplicate role",IF(H202&lt;&gt;"",IF(VLOOKUP(H202,'Layout'!$A$8:$N$207,7,FALSE)&lt;&gt;B202,"Assigned role part mismatch","OK"),IF(AND(F202="Installed",G202="This plan"),"Set installed role","OK")))))))))))))</x:f>
      </x:c>
    </x:row>
    <x:row r="203" ht="22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1" t="str">
        <x:f>IF(A203="","",IF(AND(E203="Good",OR(AND(G203="Unallocated",F203="In stock"),AND(G203="This plan",OR(F203="In stock",F203="Packed",F203="Installed")))),1,0))</x:f>
      </x:c>
      <x:c r="K203" s="9" t="str">
        <x:f>IF(A203="","",IF(COUNTIFS('Assets'!$A$8:$A$207,A203)&lt;&gt;1,"Duplicate asset ID",IF(COUNTIFS('Definitions'!$A$8:$A$207,B203)&lt;&gt;1,"Unknown / duplicate definition",IF(VLOOKUP(B203,'Definitions'!$A$8:$J$207,7,FALSE)&lt;&gt;"Yes","Use bulk stock for untracked parts",IF(C203="","Missing manufacturer serial",IF(COUNTIFS($B$8:$B$207,B203,$C$8:$C$207,C203)&lt;&gt;1,"Duplicate part and serial",IF(OR(D203="",AND(E203&lt;&gt;"Good",E203&lt;&gt;"Faulty",E203&lt;&gt;"Unknown")),"Set location and condition",IF(AND(F203&lt;&gt;"In stock",F203&lt;&gt;"Packed",F203&lt;&gt;"Installed",F203&lt;&gt;"In transit",F203&lt;&gt;"Quarantine",F203&lt;&gt;"Retired"),"Choose asset state",IF(AND(G203&lt;&gt;"Unallocated",G203&lt;&gt;"This plan",G203&lt;&gt;"Other plan"),"Choose allocation",IF(AND(H203&lt;&gt;"",G203&lt;&gt;"This plan"),"Assigned role needs This plan",IF(AND(H203&lt;&gt;"",COUNTIFS('Layout'!$A$8:$A$207,H203)&lt;&gt;1),"Unknown / duplicate role",IF(H203&lt;&gt;"",IF(VLOOKUP(H203,'Layout'!$A$8:$N$207,7,FALSE)&lt;&gt;B203,"Assigned role part mismatch","OK"),IF(AND(F203="Installed",G203="This plan"),"Set installed role","OK")))))))))))))</x:f>
      </x:c>
    </x:row>
    <x:row r="204" ht="22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1" t="str">
        <x:f>IF(A204="","",IF(AND(E204="Good",OR(AND(G204="Unallocated",F204="In stock"),AND(G204="This plan",OR(F204="In stock",F204="Packed",F204="Installed")))),1,0))</x:f>
      </x:c>
      <x:c r="K204" s="9" t="str">
        <x:f>IF(A204="","",IF(COUNTIFS('Assets'!$A$8:$A$207,A204)&lt;&gt;1,"Duplicate asset ID",IF(COUNTIFS('Definitions'!$A$8:$A$207,B204)&lt;&gt;1,"Unknown / duplicate definition",IF(VLOOKUP(B204,'Definitions'!$A$8:$J$207,7,FALSE)&lt;&gt;"Yes","Use bulk stock for untracked parts",IF(C204="","Missing manufacturer serial",IF(COUNTIFS($B$8:$B$207,B204,$C$8:$C$207,C204)&lt;&gt;1,"Duplicate part and serial",IF(OR(D204="",AND(E204&lt;&gt;"Good",E204&lt;&gt;"Faulty",E204&lt;&gt;"Unknown")),"Set location and condition",IF(AND(F204&lt;&gt;"In stock",F204&lt;&gt;"Packed",F204&lt;&gt;"Installed",F204&lt;&gt;"In transit",F204&lt;&gt;"Quarantine",F204&lt;&gt;"Retired"),"Choose asset state",IF(AND(G204&lt;&gt;"Unallocated",G204&lt;&gt;"This plan",G204&lt;&gt;"Other plan"),"Choose allocation",IF(AND(H204&lt;&gt;"",G204&lt;&gt;"This plan"),"Assigned role needs This plan",IF(AND(H204&lt;&gt;"",COUNTIFS('Layout'!$A$8:$A$207,H204)&lt;&gt;1),"Unknown / duplicate role",IF(H204&lt;&gt;"",IF(VLOOKUP(H204,'Layout'!$A$8:$N$207,7,FALSE)&lt;&gt;B204,"Assigned role part mismatch","OK"),IF(AND(F204="Installed",G204="This plan"),"Set installed role","OK")))))))))))))</x:f>
      </x:c>
    </x:row>
    <x:row r="205" ht="22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1" t="str">
        <x:f>IF(A205="","",IF(AND(E205="Good",OR(AND(G205="Unallocated",F205="In stock"),AND(G205="This plan",OR(F205="In stock",F205="Packed",F205="Installed")))),1,0))</x:f>
      </x:c>
      <x:c r="K205" s="9" t="str">
        <x:f>IF(A205="","",IF(COUNTIFS('Assets'!$A$8:$A$207,A205)&lt;&gt;1,"Duplicate asset ID",IF(COUNTIFS('Definitions'!$A$8:$A$207,B205)&lt;&gt;1,"Unknown / duplicate definition",IF(VLOOKUP(B205,'Definitions'!$A$8:$J$207,7,FALSE)&lt;&gt;"Yes","Use bulk stock for untracked parts",IF(C205="","Missing manufacturer serial",IF(COUNTIFS($B$8:$B$207,B205,$C$8:$C$207,C205)&lt;&gt;1,"Duplicate part and serial",IF(OR(D205="",AND(E205&lt;&gt;"Good",E205&lt;&gt;"Faulty",E205&lt;&gt;"Unknown")),"Set location and condition",IF(AND(F205&lt;&gt;"In stock",F205&lt;&gt;"Packed",F205&lt;&gt;"Installed",F205&lt;&gt;"In transit",F205&lt;&gt;"Quarantine",F205&lt;&gt;"Retired"),"Choose asset state",IF(AND(G205&lt;&gt;"Unallocated",G205&lt;&gt;"This plan",G205&lt;&gt;"Other plan"),"Choose allocation",IF(AND(H205&lt;&gt;"",G205&lt;&gt;"This plan"),"Assigned role needs This plan",IF(AND(H205&lt;&gt;"",COUNTIFS('Layout'!$A$8:$A$207,H205)&lt;&gt;1),"Unknown / duplicate role",IF(H205&lt;&gt;"",IF(VLOOKUP(H205,'Layout'!$A$8:$N$207,7,FALSE)&lt;&gt;B205,"Assigned role part mismatch","OK"),IF(AND(F205="Installed",G205="This plan"),"Set installed role","OK")))))))))))))</x:f>
      </x:c>
    </x:row>
    <x:row r="206" ht="22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1" t="str">
        <x:f>IF(A206="","",IF(AND(E206="Good",OR(AND(G206="Unallocated",F206="In stock"),AND(G206="This plan",OR(F206="In stock",F206="Packed",F206="Installed")))),1,0))</x:f>
      </x:c>
      <x:c r="K206" s="9" t="str">
        <x:f>IF(A206="","",IF(COUNTIFS('Assets'!$A$8:$A$207,A206)&lt;&gt;1,"Duplicate asset ID",IF(COUNTIFS('Definitions'!$A$8:$A$207,B206)&lt;&gt;1,"Unknown / duplicate definition",IF(VLOOKUP(B206,'Definitions'!$A$8:$J$207,7,FALSE)&lt;&gt;"Yes","Use bulk stock for untracked parts",IF(C206="","Missing manufacturer serial",IF(COUNTIFS($B$8:$B$207,B206,$C$8:$C$207,C206)&lt;&gt;1,"Duplicate part and serial",IF(OR(D206="",AND(E206&lt;&gt;"Good",E206&lt;&gt;"Faulty",E206&lt;&gt;"Unknown")),"Set location and condition",IF(AND(F206&lt;&gt;"In stock",F206&lt;&gt;"Packed",F206&lt;&gt;"Installed",F206&lt;&gt;"In transit",F206&lt;&gt;"Quarantine",F206&lt;&gt;"Retired"),"Choose asset state",IF(AND(G206&lt;&gt;"Unallocated",G206&lt;&gt;"This plan",G206&lt;&gt;"Other plan"),"Choose allocation",IF(AND(H206&lt;&gt;"",G206&lt;&gt;"This plan"),"Assigned role needs This plan",IF(AND(H206&lt;&gt;"",COUNTIFS('Layout'!$A$8:$A$207,H206)&lt;&gt;1),"Unknown / duplicate role",IF(H206&lt;&gt;"",IF(VLOOKUP(H206,'Layout'!$A$8:$N$207,7,FALSE)&lt;&gt;B206,"Assigned role part mismatch","OK"),IF(AND(F206="Installed",G206="This plan"),"Set installed role","OK")))))))))))))</x:f>
      </x:c>
    </x:row>
    <x:row r="207" ht="22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1" t="str">
        <x:f>IF(A207="","",IF(AND(E207="Good",OR(AND(G207="Unallocated",F207="In stock"),AND(G207="This plan",OR(F207="In stock",F207="Packed",F207="Installed")))),1,0))</x:f>
      </x:c>
      <x:c r="K207" s="9" t="str">
        <x:f>IF(A207="","",IF(COUNTIFS('Assets'!$A$8:$A$207,A207)&lt;&gt;1,"Duplicate asset ID",IF(COUNTIFS('Definitions'!$A$8:$A$207,B207)&lt;&gt;1,"Unknown / duplicate definition",IF(VLOOKUP(B207,'Definitions'!$A$8:$J$207,7,FALSE)&lt;&gt;"Yes","Use bulk stock for untracked parts",IF(C207="","Missing manufacturer serial",IF(COUNTIFS($B$8:$B$207,B207,$C$8:$C$207,C207)&lt;&gt;1,"Duplicate part and serial",IF(OR(D207="",AND(E207&lt;&gt;"Good",E207&lt;&gt;"Faulty",E207&lt;&gt;"Unknown")),"Set location and condition",IF(AND(F207&lt;&gt;"In stock",F207&lt;&gt;"Packed",F207&lt;&gt;"Installed",F207&lt;&gt;"In transit",F207&lt;&gt;"Quarantine",F207&lt;&gt;"Retired"),"Choose asset state",IF(AND(G207&lt;&gt;"Unallocated",G207&lt;&gt;"This plan",G207&lt;&gt;"Other plan"),"Choose allocation",IF(AND(H207&lt;&gt;"",G207&lt;&gt;"This plan"),"Assigned role needs This plan",IF(AND(H207&lt;&gt;"",COUNTIFS('Layout'!$A$8:$A$207,H207)&lt;&gt;1),"Unknown / duplicate role",IF(H207&lt;&gt;"",IF(VLOOKUP(H207,'Layout'!$A$8:$N$207,7,FALSE)&lt;&gt;B207,"Assigned role part mismatch","OK"),IF(AND(F207="Installed",G207="This plan"),"Set installed role","OK")))))))))))))</x:f>
      </x:c>
    </x:row>
  </x:sheetData>
  <x:conditionalFormatting sqref="K8:K207">
    <x:cfRule type="expression" dxfId="4" priority="1">
      <x:formula>AND($A8&lt;&gt;"",K8&lt;&gt;"OK")</x:formula>
    </x:cfRule>
  </x:conditionalFormatting>
  <x:dataValidations count="5">
    <x:dataValidation type="list" sqref="B8:B207">
      <x:formula1>'Definitions'!$A$8:$A$207</x:formula1>
    </x:dataValidation>
    <x:dataValidation type="list" sqref="E8:E207">
      <x:formula1>"Good,Faulty,Unknown"</x:formula1>
    </x:dataValidation>
    <x:dataValidation type="list" sqref="F8:F207">
      <x:formula1>"In stock,Packed,Installed,In transit,Quarantine,Retired"</x:formula1>
    </x:dataValidation>
    <x:dataValidation type="list" sqref="G8:G207">
      <x:formula1>"Unallocated,This plan,Other plan"</x:formula1>
    </x:dataValidation>
    <x:dataValidation type="list" sqref="H8:H207">
      <x:formula1>'Layout'!$A$8:$A$207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ac3ae158434894"/>
  </x:tableParts>
</x:worksheet>
</file>

<file path=xl/worksheets/sheet7.xml><?xml version="1.0" encoding="utf-8"?>
<x:worksheet xmlns:x="http://schemas.openxmlformats.org/spreadsheetml/2006/main">
  <x:sheetPr>
    <x:tabColor rgb="FFCAD4DF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3" hidden="0" customWidth="1"/>
    <x:col min="2" max="2" width="20" hidden="0" customWidth="1"/>
    <x:col min="3" max="3" width="24" hidden="0" customWidth="1"/>
    <x:col min="4" max="4" width="23" hidden="0" customWidth="1"/>
    <x:col min="5" max="5" width="15" hidden="0" customWidth="1"/>
    <x:col min="6" max="6" width="15" hidden="0" customWidth="1"/>
    <x:col min="7" max="7" width="16" hidden="0" customWidth="1"/>
    <x:col min="8" max="8" width="18" hidden="0" customWidth="1"/>
    <x:col min="9" max="9" width="19" hidden="0" customWidth="1"/>
    <x:col min="10" max="10" width="17" hidden="0" customWidth="1"/>
    <x:col min="11" max="11" width="19" hidden="0" customWidth="1"/>
    <x:col min="12" max="12" width="4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Incoming purchase orders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4" t="str">
        <x:v>One row per purchase-order line. Outstanding quantity includes items in transit. Receipts are linked through Shipments.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4" t="str">
        <x:v>Amber cells are editable. Grey cells contain formulas. All populated records are illustrative.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40" customHeight="1">
      <x:c r="A7" s="8" t="str">
        <x:v>Order line ID</x:v>
      </x:c>
      <x:c r="B7" s="8" t="str">
        <x:v>PO number</x:v>
      </x:c>
      <x:c r="C7" s="8" t="str">
        <x:v>Supplier</x:v>
      </x:c>
      <x:c r="D7" s="8" t="str">
        <x:v>Definition ID</x:v>
      </x:c>
      <x:c r="E7" s="8" t="str">
        <x:v>Ordered qty</x:v>
      </x:c>
      <x:c r="F7" s="8" t="str">
        <x:v>Cancelled qty</x:v>
      </x:c>
      <x:c r="G7" s="8" t="str">
        <x:v>Due date</x:v>
      </x:c>
      <x:c r="H7" s="8" t="str">
        <x:v>Accepted receipts</x:v>
      </x:c>
      <x:c r="I7" s="8" t="str">
        <x:v>Open purchase qty</x:v>
      </x:c>
      <x:c r="J7" s="8" t="str">
        <x:v>In transit qty</x:v>
      </x:c>
      <x:c r="K7" s="8" t="str">
        <x:v>Awaiting dispatch</x:v>
      </x:c>
      <x:c r="L7" s="8" t="str">
        <x:v>Check</x:v>
      </x:c>
    </x:row>
    <x:row r="8" ht="22" customHeight="1">
      <x:c r="A8" s="10" t="str">
        <x:v>PO-DEMO-OPT</x:v>
      </x:c>
      <x:c r="B8" s="10" t="str">
        <x:v>PO-DEMO</x:v>
      </x:c>
      <x:c r="C8" s="10" t="str">
        <x:v>Example supplier</x:v>
      </x:c>
      <x:c r="D8" s="10" t="str">
        <x:v>P-OPTIC</x:v>
      </x:c>
      <x:c r="E8" s="12" t="n">
        <x:v>20</x:v>
      </x:c>
      <x:c r="F8" s="12" t="n">
        <x:v>0</x:v>
      </x:c>
      <x:c r="G8" s="13" t="d">
        <x:v>2026-11-15T12:00:00.000Z</x:v>
      </x:c>
      <x:c r="H8" s="11" t="n">
        <x:f>IF(A8="","",SUMIFS('Shipments'!$I$8:$I$207,'Shipments'!$D$8:$D$207,A8,'Shipments'!$C$8:$C$207,"Inbound"))</x:f>
        <x:v>0</x:v>
      </x:c>
      <x:c r="I8" s="11" t="n">
        <x:f>IF(A8="","",MAX(0,E8-F8-H8))</x:f>
        <x:v>20</x:v>
      </x:c>
      <x:c r="J8" s="11" t="n">
        <x:f>IF(A8="","",SUMIFS('Shipments'!$K$8:$K$207,'Shipments'!$D$8:$D$207,A8,'Shipments'!$C$8:$C$207,"Inbound"))</x:f>
        <x:v>6</x:v>
      </x:c>
      <x:c r="K8" s="11" t="n">
        <x:f>IF(A8="","",MAX(0,I8-J8))</x:f>
        <x:v>14</x:v>
      </x:c>
      <x:c r="L8" s="9" t="str">
        <x:f>IF(A8="","",IF(COUNTIFS('Orders'!$A$8:$A$207,A8)&lt;&gt;1,"Duplicate order line",IF(OR(B8="",C8=""),"Set PO and supplier",IF(COUNTIFS('Definitions'!$A$8:$A$207,D8)&lt;&gt;1,"Unknown / duplicate part",IF(VLOOKUP(D8,'Definitions'!$A$8:$J$207,3,FALSE)&lt;&gt;"Part","Order purchasable parts only",IF(OR(NOT(ISNUMBER(E8)),E8&lt;=0,MOD(E8,1)&lt;&gt;0,NOT(ISNUMBER(F8)),F8&lt;0,MOD(F8,1)&lt;&gt;0),"Invalid ordered / cancelled qty",IF(H8+F8&gt;E8,"Receipts exceed net order",IF(J8&gt;I8,"Transit exceeds outstanding qty","OK"))))))))</x:f>
        <x:v>OK</x:v>
      </x:c>
    </x:row>
    <x:row r="9" ht="22" customHeight="1">
      <x:c r="A9" s="10" t="str">
        <x:v>PO-DEMO-FIB</x:v>
      </x:c>
      <x:c r="B9" s="10" t="str">
        <x:v>PO-DEMO</x:v>
      </x:c>
      <x:c r="C9" s="10" t="str">
        <x:v>Example supplier</x:v>
      </x:c>
      <x:c r="D9" s="10" t="str">
        <x:v>P-FIBRE</x:v>
      </x:c>
      <x:c r="E9" s="12" t="n">
        <x:v>10</x:v>
      </x:c>
      <x:c r="F9" s="12" t="n">
        <x:v>0</x:v>
      </x:c>
      <x:c r="G9" s="13" t="d">
        <x:v>2026-11-15T12:00:00.000Z</x:v>
      </x:c>
      <x:c r="H9" s="11" t="n">
        <x:f>IF(A9="","",SUMIFS('Shipments'!$I$8:$I$207,'Shipments'!$D$8:$D$207,A9,'Shipments'!$C$8:$C$207,"Inbound"))</x:f>
        <x:v>0</x:v>
      </x:c>
      <x:c r="I9" s="11" t="n">
        <x:f>IF(A9="","",MAX(0,E9-F9-H9))</x:f>
        <x:v>10</x:v>
      </x:c>
      <x:c r="J9" s="11" t="n">
        <x:f>IF(A9="","",SUMIFS('Shipments'!$K$8:$K$207,'Shipments'!$D$8:$D$207,A9,'Shipments'!$C$8:$C$207,"Inbound"))</x:f>
        <x:v>0</x:v>
      </x:c>
      <x:c r="K9" s="11" t="n">
        <x:f>IF(A9="","",MAX(0,I9-J9))</x:f>
        <x:v>10</x:v>
      </x:c>
      <x:c r="L9" s="9" t="str">
        <x:f>IF(A9="","",IF(COUNTIFS('Orders'!$A$8:$A$207,A9)&lt;&gt;1,"Duplicate order line",IF(OR(B9="",C9=""),"Set PO and supplier",IF(COUNTIFS('Definitions'!$A$8:$A$207,D9)&lt;&gt;1,"Unknown / duplicate part",IF(VLOOKUP(D9,'Definitions'!$A$8:$J$207,3,FALSE)&lt;&gt;"Part","Order purchasable parts only",IF(OR(NOT(ISNUMBER(E9)),E9&lt;=0,MOD(E9,1)&lt;&gt;0,NOT(ISNUMBER(F9)),F9&lt;0,MOD(F9,1)&lt;&gt;0),"Invalid ordered / cancelled qty",IF(H9+F9&gt;E9,"Receipts exceed net order",IF(J9&gt;I9,"Transit exceeds outstanding qty","OK"))))))))</x:f>
        <x:v>OK</x:v>
      </x:c>
    </x:row>
    <x:row r="10" ht="22" customHeight="1">
      <x:c r="A10" s="10"/>
      <x:c r="B10" s="10"/>
      <x:c r="C10" s="10"/>
      <x:c r="D10" s="10"/>
      <x:c r="E10" s="12"/>
      <x:c r="F10" s="12"/>
      <x:c r="G10" s="13"/>
      <x:c r="H10" s="11" t="str">
        <x:f>IF(A10="","",SUMIFS('Shipments'!$I$8:$I$207,'Shipments'!$D$8:$D$207,A10,'Shipments'!$C$8:$C$207,"Inbound"))</x:f>
      </x:c>
      <x:c r="I10" s="11" t="str">
        <x:f>IF(A10="","",MAX(0,E10-F10-H10))</x:f>
      </x:c>
      <x:c r="J10" s="11" t="str">
        <x:f>IF(A10="","",SUMIFS('Shipments'!$K$8:$K$207,'Shipments'!$D$8:$D$207,A10,'Shipments'!$C$8:$C$207,"Inbound"))</x:f>
      </x:c>
      <x:c r="K10" s="11" t="str">
        <x:f>IF(A10="","",MAX(0,I10-J10))</x:f>
      </x:c>
      <x:c r="L10" s="9" t="str">
        <x:f>IF(A10="","",IF(COUNTIFS('Orders'!$A$8:$A$207,A10)&lt;&gt;1,"Duplicate order line",IF(OR(B10="",C10=""),"Set PO and supplier",IF(COUNTIFS('Definitions'!$A$8:$A$207,D10)&lt;&gt;1,"Unknown / duplicate part",IF(VLOOKUP(D10,'Definitions'!$A$8:$J$207,3,FALSE)&lt;&gt;"Part","Order purchasable parts only",IF(OR(NOT(ISNUMBER(E10)),E10&lt;=0,MOD(E10,1)&lt;&gt;0,NOT(ISNUMBER(F10)),F10&lt;0,MOD(F10,1)&lt;&gt;0),"Invalid ordered / cancelled qty",IF(H10+F10&gt;E10,"Receipts exceed net order",IF(J10&gt;I10,"Transit exceeds outstanding qty","OK"))))))))</x:f>
      </x:c>
    </x:row>
    <x:row r="11" ht="22" customHeight="1">
      <x:c r="A11" s="10"/>
      <x:c r="B11" s="10"/>
      <x:c r="C11" s="10"/>
      <x:c r="D11" s="10"/>
      <x:c r="E11" s="12"/>
      <x:c r="F11" s="12"/>
      <x:c r="G11" s="13"/>
      <x:c r="H11" s="11" t="str">
        <x:f>IF(A11="","",SUMIFS('Shipments'!$I$8:$I$207,'Shipments'!$D$8:$D$207,A11,'Shipments'!$C$8:$C$207,"Inbound"))</x:f>
      </x:c>
      <x:c r="I11" s="11" t="str">
        <x:f>IF(A11="","",MAX(0,E11-F11-H11))</x:f>
      </x:c>
      <x:c r="J11" s="11" t="str">
        <x:f>IF(A11="","",SUMIFS('Shipments'!$K$8:$K$207,'Shipments'!$D$8:$D$207,A11,'Shipments'!$C$8:$C$207,"Inbound"))</x:f>
      </x:c>
      <x:c r="K11" s="11" t="str">
        <x:f>IF(A11="","",MAX(0,I11-J11))</x:f>
      </x:c>
      <x:c r="L11" s="9" t="str">
        <x:f>IF(A11="","",IF(COUNTIFS('Orders'!$A$8:$A$207,A11)&lt;&gt;1,"Duplicate order line",IF(OR(B11="",C11=""),"Set PO and supplier",IF(COUNTIFS('Definitions'!$A$8:$A$207,D11)&lt;&gt;1,"Unknown / duplicate part",IF(VLOOKUP(D11,'Definitions'!$A$8:$J$207,3,FALSE)&lt;&gt;"Part","Order purchasable parts only",IF(OR(NOT(ISNUMBER(E11)),E11&lt;=0,MOD(E11,1)&lt;&gt;0,NOT(ISNUMBER(F11)),F11&lt;0,MOD(F11,1)&lt;&gt;0),"Invalid ordered / cancelled qty",IF(H11+F11&gt;E11,"Receipts exceed net order",IF(J11&gt;I11,"Transit exceeds outstanding qty","OK"))))))))</x:f>
      </x:c>
    </x:row>
    <x:row r="12" ht="22" customHeight="1">
      <x:c r="A12" s="10"/>
      <x:c r="B12" s="10"/>
      <x:c r="C12" s="10"/>
      <x:c r="D12" s="10"/>
      <x:c r="E12" s="12"/>
      <x:c r="F12" s="12"/>
      <x:c r="G12" s="13"/>
      <x:c r="H12" s="11" t="str">
        <x:f>IF(A12="","",SUMIFS('Shipments'!$I$8:$I$207,'Shipments'!$D$8:$D$207,A12,'Shipments'!$C$8:$C$207,"Inbound"))</x:f>
      </x:c>
      <x:c r="I12" s="11" t="str">
        <x:f>IF(A12="","",MAX(0,E12-F12-H12))</x:f>
      </x:c>
      <x:c r="J12" s="11" t="str">
        <x:f>IF(A12="","",SUMIFS('Shipments'!$K$8:$K$207,'Shipments'!$D$8:$D$207,A12,'Shipments'!$C$8:$C$207,"Inbound"))</x:f>
      </x:c>
      <x:c r="K12" s="11" t="str">
        <x:f>IF(A12="","",MAX(0,I12-J12))</x:f>
      </x:c>
      <x:c r="L12" s="9" t="str">
        <x:f>IF(A12="","",IF(COUNTIFS('Orders'!$A$8:$A$207,A12)&lt;&gt;1,"Duplicate order line",IF(OR(B12="",C12=""),"Set PO and supplier",IF(COUNTIFS('Definitions'!$A$8:$A$207,D12)&lt;&gt;1,"Unknown / duplicate part",IF(VLOOKUP(D12,'Definitions'!$A$8:$J$207,3,FALSE)&lt;&gt;"Part","Order purchasable parts only",IF(OR(NOT(ISNUMBER(E12)),E12&lt;=0,MOD(E12,1)&lt;&gt;0,NOT(ISNUMBER(F12)),F12&lt;0,MOD(F12,1)&lt;&gt;0),"Invalid ordered / cancelled qty",IF(H12+F12&gt;E12,"Receipts exceed net order",IF(J12&gt;I12,"Transit exceeds outstanding qty","OK"))))))))</x:f>
      </x:c>
    </x:row>
    <x:row r="13" ht="22" customHeight="1">
      <x:c r="A13" s="10"/>
      <x:c r="B13" s="10"/>
      <x:c r="C13" s="10"/>
      <x:c r="D13" s="10"/>
      <x:c r="E13" s="12"/>
      <x:c r="F13" s="12"/>
      <x:c r="G13" s="13"/>
      <x:c r="H13" s="11" t="str">
        <x:f>IF(A13="","",SUMIFS('Shipments'!$I$8:$I$207,'Shipments'!$D$8:$D$207,A13,'Shipments'!$C$8:$C$207,"Inbound"))</x:f>
      </x:c>
      <x:c r="I13" s="11" t="str">
        <x:f>IF(A13="","",MAX(0,E13-F13-H13))</x:f>
      </x:c>
      <x:c r="J13" s="11" t="str">
        <x:f>IF(A13="","",SUMIFS('Shipments'!$K$8:$K$207,'Shipments'!$D$8:$D$207,A13,'Shipments'!$C$8:$C$207,"Inbound"))</x:f>
      </x:c>
      <x:c r="K13" s="11" t="str">
        <x:f>IF(A13="","",MAX(0,I13-J13))</x:f>
      </x:c>
      <x:c r="L13" s="9" t="str">
        <x:f>IF(A13="","",IF(COUNTIFS('Orders'!$A$8:$A$207,A13)&lt;&gt;1,"Duplicate order line",IF(OR(B13="",C13=""),"Set PO and supplier",IF(COUNTIFS('Definitions'!$A$8:$A$207,D13)&lt;&gt;1,"Unknown / duplicate part",IF(VLOOKUP(D13,'Definitions'!$A$8:$J$207,3,FALSE)&lt;&gt;"Part","Order purchasable parts only",IF(OR(NOT(ISNUMBER(E13)),E13&lt;=0,MOD(E13,1)&lt;&gt;0,NOT(ISNUMBER(F13)),F13&lt;0,MOD(F13,1)&lt;&gt;0),"Invalid ordered / cancelled qty",IF(H13+F13&gt;E13,"Receipts exceed net order",IF(J13&gt;I13,"Transit exceeds outstanding qty","OK"))))))))</x:f>
      </x:c>
    </x:row>
    <x:row r="14" ht="22" customHeight="1">
      <x:c r="A14" s="10"/>
      <x:c r="B14" s="10"/>
      <x:c r="C14" s="10"/>
      <x:c r="D14" s="10"/>
      <x:c r="E14" s="12"/>
      <x:c r="F14" s="12"/>
      <x:c r="G14" s="13"/>
      <x:c r="H14" s="11" t="str">
        <x:f>IF(A14="","",SUMIFS('Shipments'!$I$8:$I$207,'Shipments'!$D$8:$D$207,A14,'Shipments'!$C$8:$C$207,"Inbound"))</x:f>
      </x:c>
      <x:c r="I14" s="11" t="str">
        <x:f>IF(A14="","",MAX(0,E14-F14-H14))</x:f>
      </x:c>
      <x:c r="J14" s="11" t="str">
        <x:f>IF(A14="","",SUMIFS('Shipments'!$K$8:$K$207,'Shipments'!$D$8:$D$207,A14,'Shipments'!$C$8:$C$207,"Inbound"))</x:f>
      </x:c>
      <x:c r="K14" s="11" t="str">
        <x:f>IF(A14="","",MAX(0,I14-J14))</x:f>
      </x:c>
      <x:c r="L14" s="9" t="str">
        <x:f>IF(A14="","",IF(COUNTIFS('Orders'!$A$8:$A$207,A14)&lt;&gt;1,"Duplicate order line",IF(OR(B14="",C14=""),"Set PO and supplier",IF(COUNTIFS('Definitions'!$A$8:$A$207,D14)&lt;&gt;1,"Unknown / duplicate part",IF(VLOOKUP(D14,'Definitions'!$A$8:$J$207,3,FALSE)&lt;&gt;"Part","Order purchasable parts only",IF(OR(NOT(ISNUMBER(E14)),E14&lt;=0,MOD(E14,1)&lt;&gt;0,NOT(ISNUMBER(F14)),F14&lt;0,MOD(F14,1)&lt;&gt;0),"Invalid ordered / cancelled qty",IF(H14+F14&gt;E14,"Receipts exceed net order",IF(J14&gt;I14,"Transit exceeds outstanding qty","OK"))))))))</x:f>
      </x:c>
    </x:row>
    <x:row r="15" ht="22" customHeight="1">
      <x:c r="A15" s="10"/>
      <x:c r="B15" s="10"/>
      <x:c r="C15" s="10"/>
      <x:c r="D15" s="10"/>
      <x:c r="E15" s="12"/>
      <x:c r="F15" s="12"/>
      <x:c r="G15" s="13"/>
      <x:c r="H15" s="11" t="str">
        <x:f>IF(A15="","",SUMIFS('Shipments'!$I$8:$I$207,'Shipments'!$D$8:$D$207,A15,'Shipments'!$C$8:$C$207,"Inbound"))</x:f>
      </x:c>
      <x:c r="I15" s="11" t="str">
        <x:f>IF(A15="","",MAX(0,E15-F15-H15))</x:f>
      </x:c>
      <x:c r="J15" s="11" t="str">
        <x:f>IF(A15="","",SUMIFS('Shipments'!$K$8:$K$207,'Shipments'!$D$8:$D$207,A15,'Shipments'!$C$8:$C$207,"Inbound"))</x:f>
      </x:c>
      <x:c r="K15" s="11" t="str">
        <x:f>IF(A15="","",MAX(0,I15-J15))</x:f>
      </x:c>
      <x:c r="L15" s="9" t="str">
        <x:f>IF(A15="","",IF(COUNTIFS('Orders'!$A$8:$A$207,A15)&lt;&gt;1,"Duplicate order line",IF(OR(B15="",C15=""),"Set PO and supplier",IF(COUNTIFS('Definitions'!$A$8:$A$207,D15)&lt;&gt;1,"Unknown / duplicate part",IF(VLOOKUP(D15,'Definitions'!$A$8:$J$207,3,FALSE)&lt;&gt;"Part","Order purchasable parts only",IF(OR(NOT(ISNUMBER(E15)),E15&lt;=0,MOD(E15,1)&lt;&gt;0,NOT(ISNUMBER(F15)),F15&lt;0,MOD(F15,1)&lt;&gt;0),"Invalid ordered / cancelled qty",IF(H15+F15&gt;E15,"Receipts exceed net order",IF(J15&gt;I15,"Transit exceeds outstanding qty","OK"))))))))</x:f>
      </x:c>
    </x:row>
    <x:row r="16" ht="22" customHeight="1">
      <x:c r="A16" s="10"/>
      <x:c r="B16" s="10"/>
      <x:c r="C16" s="10"/>
      <x:c r="D16" s="10"/>
      <x:c r="E16" s="12"/>
      <x:c r="F16" s="12"/>
      <x:c r="G16" s="13"/>
      <x:c r="H16" s="11" t="str">
        <x:f>IF(A16="","",SUMIFS('Shipments'!$I$8:$I$207,'Shipments'!$D$8:$D$207,A16,'Shipments'!$C$8:$C$207,"Inbound"))</x:f>
      </x:c>
      <x:c r="I16" s="11" t="str">
        <x:f>IF(A16="","",MAX(0,E16-F16-H16))</x:f>
      </x:c>
      <x:c r="J16" s="11" t="str">
        <x:f>IF(A16="","",SUMIFS('Shipments'!$K$8:$K$207,'Shipments'!$D$8:$D$207,A16,'Shipments'!$C$8:$C$207,"Inbound"))</x:f>
      </x:c>
      <x:c r="K16" s="11" t="str">
        <x:f>IF(A16="","",MAX(0,I16-J16))</x:f>
      </x:c>
      <x:c r="L16" s="9" t="str">
        <x:f>IF(A16="","",IF(COUNTIFS('Orders'!$A$8:$A$207,A16)&lt;&gt;1,"Duplicate order line",IF(OR(B16="",C16=""),"Set PO and supplier",IF(COUNTIFS('Definitions'!$A$8:$A$207,D16)&lt;&gt;1,"Unknown / duplicate part",IF(VLOOKUP(D16,'Definitions'!$A$8:$J$207,3,FALSE)&lt;&gt;"Part","Order purchasable parts only",IF(OR(NOT(ISNUMBER(E16)),E16&lt;=0,MOD(E16,1)&lt;&gt;0,NOT(ISNUMBER(F16)),F16&lt;0,MOD(F16,1)&lt;&gt;0),"Invalid ordered / cancelled qty",IF(H16+F16&gt;E16,"Receipts exceed net order",IF(J16&gt;I16,"Transit exceeds outstanding qty","OK"))))))))</x:f>
      </x:c>
    </x:row>
    <x:row r="17" ht="22" customHeight="1">
      <x:c r="A17" s="10"/>
      <x:c r="B17" s="10"/>
      <x:c r="C17" s="10"/>
      <x:c r="D17" s="10"/>
      <x:c r="E17" s="12"/>
      <x:c r="F17" s="12"/>
      <x:c r="G17" s="13"/>
      <x:c r="H17" s="11" t="str">
        <x:f>IF(A17="","",SUMIFS('Shipments'!$I$8:$I$207,'Shipments'!$D$8:$D$207,A17,'Shipments'!$C$8:$C$207,"Inbound"))</x:f>
      </x:c>
      <x:c r="I17" s="11" t="str">
        <x:f>IF(A17="","",MAX(0,E17-F17-H17))</x:f>
      </x:c>
      <x:c r="J17" s="11" t="str">
        <x:f>IF(A17="","",SUMIFS('Shipments'!$K$8:$K$207,'Shipments'!$D$8:$D$207,A17,'Shipments'!$C$8:$C$207,"Inbound"))</x:f>
      </x:c>
      <x:c r="K17" s="11" t="str">
        <x:f>IF(A17="","",MAX(0,I17-J17))</x:f>
      </x:c>
      <x:c r="L17" s="9" t="str">
        <x:f>IF(A17="","",IF(COUNTIFS('Orders'!$A$8:$A$207,A17)&lt;&gt;1,"Duplicate order line",IF(OR(B17="",C17=""),"Set PO and supplier",IF(COUNTIFS('Definitions'!$A$8:$A$207,D17)&lt;&gt;1,"Unknown / duplicate part",IF(VLOOKUP(D17,'Definitions'!$A$8:$J$207,3,FALSE)&lt;&gt;"Part","Order purchasable parts only",IF(OR(NOT(ISNUMBER(E17)),E17&lt;=0,MOD(E17,1)&lt;&gt;0,NOT(ISNUMBER(F17)),F17&lt;0,MOD(F17,1)&lt;&gt;0),"Invalid ordered / cancelled qty",IF(H17+F17&gt;E17,"Receipts exceed net order",IF(J17&gt;I17,"Transit exceeds outstanding qty","OK"))))))))</x:f>
      </x:c>
    </x:row>
    <x:row r="18" ht="22" customHeight="1">
      <x:c r="A18" s="10"/>
      <x:c r="B18" s="10"/>
      <x:c r="C18" s="10"/>
      <x:c r="D18" s="10"/>
      <x:c r="E18" s="12"/>
      <x:c r="F18" s="12"/>
      <x:c r="G18" s="13"/>
      <x:c r="H18" s="11" t="str">
        <x:f>IF(A18="","",SUMIFS('Shipments'!$I$8:$I$207,'Shipments'!$D$8:$D$207,A18,'Shipments'!$C$8:$C$207,"Inbound"))</x:f>
      </x:c>
      <x:c r="I18" s="11" t="str">
        <x:f>IF(A18="","",MAX(0,E18-F18-H18))</x:f>
      </x:c>
      <x:c r="J18" s="11" t="str">
        <x:f>IF(A18="","",SUMIFS('Shipments'!$K$8:$K$207,'Shipments'!$D$8:$D$207,A18,'Shipments'!$C$8:$C$207,"Inbound"))</x:f>
      </x:c>
      <x:c r="K18" s="11" t="str">
        <x:f>IF(A18="","",MAX(0,I18-J18))</x:f>
      </x:c>
      <x:c r="L18" s="9" t="str">
        <x:f>IF(A18="","",IF(COUNTIFS('Orders'!$A$8:$A$207,A18)&lt;&gt;1,"Duplicate order line",IF(OR(B18="",C18=""),"Set PO and supplier",IF(COUNTIFS('Definitions'!$A$8:$A$207,D18)&lt;&gt;1,"Unknown / duplicate part",IF(VLOOKUP(D18,'Definitions'!$A$8:$J$207,3,FALSE)&lt;&gt;"Part","Order purchasable parts only",IF(OR(NOT(ISNUMBER(E18)),E18&lt;=0,MOD(E18,1)&lt;&gt;0,NOT(ISNUMBER(F18)),F18&lt;0,MOD(F18,1)&lt;&gt;0),"Invalid ordered / cancelled qty",IF(H18+F18&gt;E18,"Receipts exceed net order",IF(J18&gt;I18,"Transit exceeds outstanding qty","OK"))))))))</x:f>
      </x:c>
    </x:row>
    <x:row r="19" ht="22" customHeight="1">
      <x:c r="A19" s="10"/>
      <x:c r="B19" s="10"/>
      <x:c r="C19" s="10"/>
      <x:c r="D19" s="10"/>
      <x:c r="E19" s="12"/>
      <x:c r="F19" s="12"/>
      <x:c r="G19" s="13"/>
      <x:c r="H19" s="11" t="str">
        <x:f>IF(A19="","",SUMIFS('Shipments'!$I$8:$I$207,'Shipments'!$D$8:$D$207,A19,'Shipments'!$C$8:$C$207,"Inbound"))</x:f>
      </x:c>
      <x:c r="I19" s="11" t="str">
        <x:f>IF(A19="","",MAX(0,E19-F19-H19))</x:f>
      </x:c>
      <x:c r="J19" s="11" t="str">
        <x:f>IF(A19="","",SUMIFS('Shipments'!$K$8:$K$207,'Shipments'!$D$8:$D$207,A19,'Shipments'!$C$8:$C$207,"Inbound"))</x:f>
      </x:c>
      <x:c r="K19" s="11" t="str">
        <x:f>IF(A19="","",MAX(0,I19-J19))</x:f>
      </x:c>
      <x:c r="L19" s="9" t="str">
        <x:f>IF(A19="","",IF(COUNTIFS('Orders'!$A$8:$A$207,A19)&lt;&gt;1,"Duplicate order line",IF(OR(B19="",C19=""),"Set PO and supplier",IF(COUNTIFS('Definitions'!$A$8:$A$207,D19)&lt;&gt;1,"Unknown / duplicate part",IF(VLOOKUP(D19,'Definitions'!$A$8:$J$207,3,FALSE)&lt;&gt;"Part","Order purchasable parts only",IF(OR(NOT(ISNUMBER(E19)),E19&lt;=0,MOD(E19,1)&lt;&gt;0,NOT(ISNUMBER(F19)),F19&lt;0,MOD(F19,1)&lt;&gt;0),"Invalid ordered / cancelled qty",IF(H19+F19&gt;E19,"Receipts exceed net order",IF(J19&gt;I19,"Transit exceeds outstanding qty","OK"))))))))</x:f>
      </x:c>
    </x:row>
    <x:row r="20" ht="22" customHeight="1">
      <x:c r="A20" s="10"/>
      <x:c r="B20" s="10"/>
      <x:c r="C20" s="10"/>
      <x:c r="D20" s="10"/>
      <x:c r="E20" s="12"/>
      <x:c r="F20" s="12"/>
      <x:c r="G20" s="13"/>
      <x:c r="H20" s="11" t="str">
        <x:f>IF(A20="","",SUMIFS('Shipments'!$I$8:$I$207,'Shipments'!$D$8:$D$207,A20,'Shipments'!$C$8:$C$207,"Inbound"))</x:f>
      </x:c>
      <x:c r="I20" s="11" t="str">
        <x:f>IF(A20="","",MAX(0,E20-F20-H20))</x:f>
      </x:c>
      <x:c r="J20" s="11" t="str">
        <x:f>IF(A20="","",SUMIFS('Shipments'!$K$8:$K$207,'Shipments'!$D$8:$D$207,A20,'Shipments'!$C$8:$C$207,"Inbound"))</x:f>
      </x:c>
      <x:c r="K20" s="11" t="str">
        <x:f>IF(A20="","",MAX(0,I20-J20))</x:f>
      </x:c>
      <x:c r="L20" s="9" t="str">
        <x:f>IF(A20="","",IF(COUNTIFS('Orders'!$A$8:$A$207,A20)&lt;&gt;1,"Duplicate order line",IF(OR(B20="",C20=""),"Set PO and supplier",IF(COUNTIFS('Definitions'!$A$8:$A$207,D20)&lt;&gt;1,"Unknown / duplicate part",IF(VLOOKUP(D20,'Definitions'!$A$8:$J$207,3,FALSE)&lt;&gt;"Part","Order purchasable parts only",IF(OR(NOT(ISNUMBER(E20)),E20&lt;=0,MOD(E20,1)&lt;&gt;0,NOT(ISNUMBER(F20)),F20&lt;0,MOD(F20,1)&lt;&gt;0),"Invalid ordered / cancelled qty",IF(H20+F20&gt;E20,"Receipts exceed net order",IF(J20&gt;I20,"Transit exceeds outstanding qty","OK"))))))))</x:f>
      </x:c>
    </x:row>
    <x:row r="21" ht="22" customHeight="1">
      <x:c r="A21" s="10"/>
      <x:c r="B21" s="10"/>
      <x:c r="C21" s="10"/>
      <x:c r="D21" s="10"/>
      <x:c r="E21" s="12"/>
      <x:c r="F21" s="12"/>
      <x:c r="G21" s="13"/>
      <x:c r="H21" s="11" t="str">
        <x:f>IF(A21="","",SUMIFS('Shipments'!$I$8:$I$207,'Shipments'!$D$8:$D$207,A21,'Shipments'!$C$8:$C$207,"Inbound"))</x:f>
      </x:c>
      <x:c r="I21" s="11" t="str">
        <x:f>IF(A21="","",MAX(0,E21-F21-H21))</x:f>
      </x:c>
      <x:c r="J21" s="11" t="str">
        <x:f>IF(A21="","",SUMIFS('Shipments'!$K$8:$K$207,'Shipments'!$D$8:$D$207,A21,'Shipments'!$C$8:$C$207,"Inbound"))</x:f>
      </x:c>
      <x:c r="K21" s="11" t="str">
        <x:f>IF(A21="","",MAX(0,I21-J21))</x:f>
      </x:c>
      <x:c r="L21" s="9" t="str">
        <x:f>IF(A21="","",IF(COUNTIFS('Orders'!$A$8:$A$207,A21)&lt;&gt;1,"Duplicate order line",IF(OR(B21="",C21=""),"Set PO and supplier",IF(COUNTIFS('Definitions'!$A$8:$A$207,D21)&lt;&gt;1,"Unknown / duplicate part",IF(VLOOKUP(D21,'Definitions'!$A$8:$J$207,3,FALSE)&lt;&gt;"Part","Order purchasable parts only",IF(OR(NOT(ISNUMBER(E21)),E21&lt;=0,MOD(E21,1)&lt;&gt;0,NOT(ISNUMBER(F21)),F21&lt;0,MOD(F21,1)&lt;&gt;0),"Invalid ordered / cancelled qty",IF(H21+F21&gt;E21,"Receipts exceed net order",IF(J21&gt;I21,"Transit exceeds outstanding qty","OK"))))))))</x:f>
      </x:c>
    </x:row>
    <x:row r="22" ht="22" customHeight="1">
      <x:c r="A22" s="10"/>
      <x:c r="B22" s="10"/>
      <x:c r="C22" s="10"/>
      <x:c r="D22" s="10"/>
      <x:c r="E22" s="12"/>
      <x:c r="F22" s="12"/>
      <x:c r="G22" s="13"/>
      <x:c r="H22" s="11" t="str">
        <x:f>IF(A22="","",SUMIFS('Shipments'!$I$8:$I$207,'Shipments'!$D$8:$D$207,A22,'Shipments'!$C$8:$C$207,"Inbound"))</x:f>
      </x:c>
      <x:c r="I22" s="11" t="str">
        <x:f>IF(A22="","",MAX(0,E22-F22-H22))</x:f>
      </x:c>
      <x:c r="J22" s="11" t="str">
        <x:f>IF(A22="","",SUMIFS('Shipments'!$K$8:$K$207,'Shipments'!$D$8:$D$207,A22,'Shipments'!$C$8:$C$207,"Inbound"))</x:f>
      </x:c>
      <x:c r="K22" s="11" t="str">
        <x:f>IF(A22="","",MAX(0,I22-J22))</x:f>
      </x:c>
      <x:c r="L22" s="9" t="str">
        <x:f>IF(A22="","",IF(COUNTIFS('Orders'!$A$8:$A$207,A22)&lt;&gt;1,"Duplicate order line",IF(OR(B22="",C22=""),"Set PO and supplier",IF(COUNTIFS('Definitions'!$A$8:$A$207,D22)&lt;&gt;1,"Unknown / duplicate part",IF(VLOOKUP(D22,'Definitions'!$A$8:$J$207,3,FALSE)&lt;&gt;"Part","Order purchasable parts only",IF(OR(NOT(ISNUMBER(E22)),E22&lt;=0,MOD(E22,1)&lt;&gt;0,NOT(ISNUMBER(F22)),F22&lt;0,MOD(F22,1)&lt;&gt;0),"Invalid ordered / cancelled qty",IF(H22+F22&gt;E22,"Receipts exceed net order",IF(J22&gt;I22,"Transit exceeds outstanding qty","OK"))))))))</x:f>
      </x:c>
    </x:row>
    <x:row r="23" ht="22" customHeight="1">
      <x:c r="A23" s="10"/>
      <x:c r="B23" s="10"/>
      <x:c r="C23" s="10"/>
      <x:c r="D23" s="10"/>
      <x:c r="E23" s="12"/>
      <x:c r="F23" s="12"/>
      <x:c r="G23" s="13"/>
      <x:c r="H23" s="11" t="str">
        <x:f>IF(A23="","",SUMIFS('Shipments'!$I$8:$I$207,'Shipments'!$D$8:$D$207,A23,'Shipments'!$C$8:$C$207,"Inbound"))</x:f>
      </x:c>
      <x:c r="I23" s="11" t="str">
        <x:f>IF(A23="","",MAX(0,E23-F23-H23))</x:f>
      </x:c>
      <x:c r="J23" s="11" t="str">
        <x:f>IF(A23="","",SUMIFS('Shipments'!$K$8:$K$207,'Shipments'!$D$8:$D$207,A23,'Shipments'!$C$8:$C$207,"Inbound"))</x:f>
      </x:c>
      <x:c r="K23" s="11" t="str">
        <x:f>IF(A23="","",MAX(0,I23-J23))</x:f>
      </x:c>
      <x:c r="L23" s="9" t="str">
        <x:f>IF(A23="","",IF(COUNTIFS('Orders'!$A$8:$A$207,A23)&lt;&gt;1,"Duplicate order line",IF(OR(B23="",C23=""),"Set PO and supplier",IF(COUNTIFS('Definitions'!$A$8:$A$207,D23)&lt;&gt;1,"Unknown / duplicate part",IF(VLOOKUP(D23,'Definitions'!$A$8:$J$207,3,FALSE)&lt;&gt;"Part","Order purchasable parts only",IF(OR(NOT(ISNUMBER(E23)),E23&lt;=0,MOD(E23,1)&lt;&gt;0,NOT(ISNUMBER(F23)),F23&lt;0,MOD(F23,1)&lt;&gt;0),"Invalid ordered / cancelled qty",IF(H23+F23&gt;E23,"Receipts exceed net order",IF(J23&gt;I23,"Transit exceeds outstanding qty","OK"))))))))</x:f>
      </x:c>
    </x:row>
    <x:row r="24" ht="22" customHeight="1">
      <x:c r="A24" s="10"/>
      <x:c r="B24" s="10"/>
      <x:c r="C24" s="10"/>
      <x:c r="D24" s="10"/>
      <x:c r="E24" s="12"/>
      <x:c r="F24" s="12"/>
      <x:c r="G24" s="13"/>
      <x:c r="H24" s="11" t="str">
        <x:f>IF(A24="","",SUMIFS('Shipments'!$I$8:$I$207,'Shipments'!$D$8:$D$207,A24,'Shipments'!$C$8:$C$207,"Inbound"))</x:f>
      </x:c>
      <x:c r="I24" s="11" t="str">
        <x:f>IF(A24="","",MAX(0,E24-F24-H24))</x:f>
      </x:c>
      <x:c r="J24" s="11" t="str">
        <x:f>IF(A24="","",SUMIFS('Shipments'!$K$8:$K$207,'Shipments'!$D$8:$D$207,A24,'Shipments'!$C$8:$C$207,"Inbound"))</x:f>
      </x:c>
      <x:c r="K24" s="11" t="str">
        <x:f>IF(A24="","",MAX(0,I24-J24))</x:f>
      </x:c>
      <x:c r="L24" s="9" t="str">
        <x:f>IF(A24="","",IF(COUNTIFS('Orders'!$A$8:$A$207,A24)&lt;&gt;1,"Duplicate order line",IF(OR(B24="",C24=""),"Set PO and supplier",IF(COUNTIFS('Definitions'!$A$8:$A$207,D24)&lt;&gt;1,"Unknown / duplicate part",IF(VLOOKUP(D24,'Definitions'!$A$8:$J$207,3,FALSE)&lt;&gt;"Part","Order purchasable parts only",IF(OR(NOT(ISNUMBER(E24)),E24&lt;=0,MOD(E24,1)&lt;&gt;0,NOT(ISNUMBER(F24)),F24&lt;0,MOD(F24,1)&lt;&gt;0),"Invalid ordered / cancelled qty",IF(H24+F24&gt;E24,"Receipts exceed net order",IF(J24&gt;I24,"Transit exceeds outstanding qty","OK"))))))))</x:f>
      </x:c>
    </x:row>
    <x:row r="25" ht="22" customHeight="1">
      <x:c r="A25" s="10"/>
      <x:c r="B25" s="10"/>
      <x:c r="C25" s="10"/>
      <x:c r="D25" s="10"/>
      <x:c r="E25" s="12"/>
      <x:c r="F25" s="12"/>
      <x:c r="G25" s="13"/>
      <x:c r="H25" s="11" t="str">
        <x:f>IF(A25="","",SUMIFS('Shipments'!$I$8:$I$207,'Shipments'!$D$8:$D$207,A25,'Shipments'!$C$8:$C$207,"Inbound"))</x:f>
      </x:c>
      <x:c r="I25" s="11" t="str">
        <x:f>IF(A25="","",MAX(0,E25-F25-H25))</x:f>
      </x:c>
      <x:c r="J25" s="11" t="str">
        <x:f>IF(A25="","",SUMIFS('Shipments'!$K$8:$K$207,'Shipments'!$D$8:$D$207,A25,'Shipments'!$C$8:$C$207,"Inbound"))</x:f>
      </x:c>
      <x:c r="K25" s="11" t="str">
        <x:f>IF(A25="","",MAX(0,I25-J25))</x:f>
      </x:c>
      <x:c r="L25" s="9" t="str">
        <x:f>IF(A25="","",IF(COUNTIFS('Orders'!$A$8:$A$207,A25)&lt;&gt;1,"Duplicate order line",IF(OR(B25="",C25=""),"Set PO and supplier",IF(COUNTIFS('Definitions'!$A$8:$A$207,D25)&lt;&gt;1,"Unknown / duplicate part",IF(VLOOKUP(D25,'Definitions'!$A$8:$J$207,3,FALSE)&lt;&gt;"Part","Order purchasable parts only",IF(OR(NOT(ISNUMBER(E25)),E25&lt;=0,MOD(E25,1)&lt;&gt;0,NOT(ISNUMBER(F25)),F25&lt;0,MOD(F25,1)&lt;&gt;0),"Invalid ordered / cancelled qty",IF(H25+F25&gt;E25,"Receipts exceed net order",IF(J25&gt;I25,"Transit exceeds outstanding qty","OK"))))))))</x:f>
      </x:c>
    </x:row>
    <x:row r="26" ht="22" customHeight="1">
      <x:c r="A26" s="10"/>
      <x:c r="B26" s="10"/>
      <x:c r="C26" s="10"/>
      <x:c r="D26" s="10"/>
      <x:c r="E26" s="12"/>
      <x:c r="F26" s="12"/>
      <x:c r="G26" s="13"/>
      <x:c r="H26" s="11" t="str">
        <x:f>IF(A26="","",SUMIFS('Shipments'!$I$8:$I$207,'Shipments'!$D$8:$D$207,A26,'Shipments'!$C$8:$C$207,"Inbound"))</x:f>
      </x:c>
      <x:c r="I26" s="11" t="str">
        <x:f>IF(A26="","",MAX(0,E26-F26-H26))</x:f>
      </x:c>
      <x:c r="J26" s="11" t="str">
        <x:f>IF(A26="","",SUMIFS('Shipments'!$K$8:$K$207,'Shipments'!$D$8:$D$207,A26,'Shipments'!$C$8:$C$207,"Inbound"))</x:f>
      </x:c>
      <x:c r="K26" s="11" t="str">
        <x:f>IF(A26="","",MAX(0,I26-J26))</x:f>
      </x:c>
      <x:c r="L26" s="9" t="str">
        <x:f>IF(A26="","",IF(COUNTIFS('Orders'!$A$8:$A$207,A26)&lt;&gt;1,"Duplicate order line",IF(OR(B26="",C26=""),"Set PO and supplier",IF(COUNTIFS('Definitions'!$A$8:$A$207,D26)&lt;&gt;1,"Unknown / duplicate part",IF(VLOOKUP(D26,'Definitions'!$A$8:$J$207,3,FALSE)&lt;&gt;"Part","Order purchasable parts only",IF(OR(NOT(ISNUMBER(E26)),E26&lt;=0,MOD(E26,1)&lt;&gt;0,NOT(ISNUMBER(F26)),F26&lt;0,MOD(F26,1)&lt;&gt;0),"Invalid ordered / cancelled qty",IF(H26+F26&gt;E26,"Receipts exceed net order",IF(J26&gt;I26,"Transit exceeds outstanding qty","OK"))))))))</x:f>
      </x:c>
    </x:row>
    <x:row r="27" ht="22" customHeight="1">
      <x:c r="A27" s="10"/>
      <x:c r="B27" s="10"/>
      <x:c r="C27" s="10"/>
      <x:c r="D27" s="10"/>
      <x:c r="E27" s="12"/>
      <x:c r="F27" s="12"/>
      <x:c r="G27" s="13"/>
      <x:c r="H27" s="11" t="str">
        <x:f>IF(A27="","",SUMIFS('Shipments'!$I$8:$I$207,'Shipments'!$D$8:$D$207,A27,'Shipments'!$C$8:$C$207,"Inbound"))</x:f>
      </x:c>
      <x:c r="I27" s="11" t="str">
        <x:f>IF(A27="","",MAX(0,E27-F27-H27))</x:f>
      </x:c>
      <x:c r="J27" s="11" t="str">
        <x:f>IF(A27="","",SUMIFS('Shipments'!$K$8:$K$207,'Shipments'!$D$8:$D$207,A27,'Shipments'!$C$8:$C$207,"Inbound"))</x:f>
      </x:c>
      <x:c r="K27" s="11" t="str">
        <x:f>IF(A27="","",MAX(0,I27-J27))</x:f>
      </x:c>
      <x:c r="L27" s="9" t="str">
        <x:f>IF(A27="","",IF(COUNTIFS('Orders'!$A$8:$A$207,A27)&lt;&gt;1,"Duplicate order line",IF(OR(B27="",C27=""),"Set PO and supplier",IF(COUNTIFS('Definitions'!$A$8:$A$207,D27)&lt;&gt;1,"Unknown / duplicate part",IF(VLOOKUP(D27,'Definitions'!$A$8:$J$207,3,FALSE)&lt;&gt;"Part","Order purchasable parts only",IF(OR(NOT(ISNUMBER(E27)),E27&lt;=0,MOD(E27,1)&lt;&gt;0,NOT(ISNUMBER(F27)),F27&lt;0,MOD(F27,1)&lt;&gt;0),"Invalid ordered / cancelled qty",IF(H27+F27&gt;E27,"Receipts exceed net order",IF(J27&gt;I27,"Transit exceeds outstanding qty","OK"))))))))</x:f>
      </x:c>
    </x:row>
    <x:row r="28" ht="22" customHeight="1">
      <x:c r="A28" s="10"/>
      <x:c r="B28" s="10"/>
      <x:c r="C28" s="10"/>
      <x:c r="D28" s="10"/>
      <x:c r="E28" s="12"/>
      <x:c r="F28" s="12"/>
      <x:c r="G28" s="13"/>
      <x:c r="H28" s="11" t="str">
        <x:f>IF(A28="","",SUMIFS('Shipments'!$I$8:$I$207,'Shipments'!$D$8:$D$207,A28,'Shipments'!$C$8:$C$207,"Inbound"))</x:f>
      </x:c>
      <x:c r="I28" s="11" t="str">
        <x:f>IF(A28="","",MAX(0,E28-F28-H28))</x:f>
      </x:c>
      <x:c r="J28" s="11" t="str">
        <x:f>IF(A28="","",SUMIFS('Shipments'!$K$8:$K$207,'Shipments'!$D$8:$D$207,A28,'Shipments'!$C$8:$C$207,"Inbound"))</x:f>
      </x:c>
      <x:c r="K28" s="11" t="str">
        <x:f>IF(A28="","",MAX(0,I28-J28))</x:f>
      </x:c>
      <x:c r="L28" s="9" t="str">
        <x:f>IF(A28="","",IF(COUNTIFS('Orders'!$A$8:$A$207,A28)&lt;&gt;1,"Duplicate order line",IF(OR(B28="",C28=""),"Set PO and supplier",IF(COUNTIFS('Definitions'!$A$8:$A$207,D28)&lt;&gt;1,"Unknown / duplicate part",IF(VLOOKUP(D28,'Definitions'!$A$8:$J$207,3,FALSE)&lt;&gt;"Part","Order purchasable parts only",IF(OR(NOT(ISNUMBER(E28)),E28&lt;=0,MOD(E28,1)&lt;&gt;0,NOT(ISNUMBER(F28)),F28&lt;0,MOD(F28,1)&lt;&gt;0),"Invalid ordered / cancelled qty",IF(H28+F28&gt;E28,"Receipts exceed net order",IF(J28&gt;I28,"Transit exceeds outstanding qty","OK"))))))))</x:f>
      </x:c>
    </x:row>
    <x:row r="29" ht="22" customHeight="1">
      <x:c r="A29" s="10"/>
      <x:c r="B29" s="10"/>
      <x:c r="C29" s="10"/>
      <x:c r="D29" s="10"/>
      <x:c r="E29" s="12"/>
      <x:c r="F29" s="12"/>
      <x:c r="G29" s="13"/>
      <x:c r="H29" s="11" t="str">
        <x:f>IF(A29="","",SUMIFS('Shipments'!$I$8:$I$207,'Shipments'!$D$8:$D$207,A29,'Shipments'!$C$8:$C$207,"Inbound"))</x:f>
      </x:c>
      <x:c r="I29" s="11" t="str">
        <x:f>IF(A29="","",MAX(0,E29-F29-H29))</x:f>
      </x:c>
      <x:c r="J29" s="11" t="str">
        <x:f>IF(A29="","",SUMIFS('Shipments'!$K$8:$K$207,'Shipments'!$D$8:$D$207,A29,'Shipments'!$C$8:$C$207,"Inbound"))</x:f>
      </x:c>
      <x:c r="K29" s="11" t="str">
        <x:f>IF(A29="","",MAX(0,I29-J29))</x:f>
      </x:c>
      <x:c r="L29" s="9" t="str">
        <x:f>IF(A29="","",IF(COUNTIFS('Orders'!$A$8:$A$207,A29)&lt;&gt;1,"Duplicate order line",IF(OR(B29="",C29=""),"Set PO and supplier",IF(COUNTIFS('Definitions'!$A$8:$A$207,D29)&lt;&gt;1,"Unknown / duplicate part",IF(VLOOKUP(D29,'Definitions'!$A$8:$J$207,3,FALSE)&lt;&gt;"Part","Order purchasable parts only",IF(OR(NOT(ISNUMBER(E29)),E29&lt;=0,MOD(E29,1)&lt;&gt;0,NOT(ISNUMBER(F29)),F29&lt;0,MOD(F29,1)&lt;&gt;0),"Invalid ordered / cancelled qty",IF(H29+F29&gt;E29,"Receipts exceed net order",IF(J29&gt;I29,"Transit exceeds outstanding qty","OK"))))))))</x:f>
      </x:c>
    </x:row>
    <x:row r="30" ht="22" customHeight="1">
      <x:c r="A30" s="10"/>
      <x:c r="B30" s="10"/>
      <x:c r="C30" s="10"/>
      <x:c r="D30" s="10"/>
      <x:c r="E30" s="12"/>
      <x:c r="F30" s="12"/>
      <x:c r="G30" s="13"/>
      <x:c r="H30" s="11" t="str">
        <x:f>IF(A30="","",SUMIFS('Shipments'!$I$8:$I$207,'Shipments'!$D$8:$D$207,A30,'Shipments'!$C$8:$C$207,"Inbound"))</x:f>
      </x:c>
      <x:c r="I30" s="11" t="str">
        <x:f>IF(A30="","",MAX(0,E30-F30-H30))</x:f>
      </x:c>
      <x:c r="J30" s="11" t="str">
        <x:f>IF(A30="","",SUMIFS('Shipments'!$K$8:$K$207,'Shipments'!$D$8:$D$207,A30,'Shipments'!$C$8:$C$207,"Inbound"))</x:f>
      </x:c>
      <x:c r="K30" s="11" t="str">
        <x:f>IF(A30="","",MAX(0,I30-J30))</x:f>
      </x:c>
      <x:c r="L30" s="9" t="str">
        <x:f>IF(A30="","",IF(COUNTIFS('Orders'!$A$8:$A$207,A30)&lt;&gt;1,"Duplicate order line",IF(OR(B30="",C30=""),"Set PO and supplier",IF(COUNTIFS('Definitions'!$A$8:$A$207,D30)&lt;&gt;1,"Unknown / duplicate part",IF(VLOOKUP(D30,'Definitions'!$A$8:$J$207,3,FALSE)&lt;&gt;"Part","Order purchasable parts only",IF(OR(NOT(ISNUMBER(E30)),E30&lt;=0,MOD(E30,1)&lt;&gt;0,NOT(ISNUMBER(F30)),F30&lt;0,MOD(F30,1)&lt;&gt;0),"Invalid ordered / cancelled qty",IF(H30+F30&gt;E30,"Receipts exceed net order",IF(J30&gt;I30,"Transit exceeds outstanding qty","OK"))))))))</x:f>
      </x:c>
    </x:row>
    <x:row r="31" ht="22" customHeight="1">
      <x:c r="A31" s="10"/>
      <x:c r="B31" s="10"/>
      <x:c r="C31" s="10"/>
      <x:c r="D31" s="10"/>
      <x:c r="E31" s="12"/>
      <x:c r="F31" s="12"/>
      <x:c r="G31" s="13"/>
      <x:c r="H31" s="11" t="str">
        <x:f>IF(A31="","",SUMIFS('Shipments'!$I$8:$I$207,'Shipments'!$D$8:$D$207,A31,'Shipments'!$C$8:$C$207,"Inbound"))</x:f>
      </x:c>
      <x:c r="I31" s="11" t="str">
        <x:f>IF(A31="","",MAX(0,E31-F31-H31))</x:f>
      </x:c>
      <x:c r="J31" s="11" t="str">
        <x:f>IF(A31="","",SUMIFS('Shipments'!$K$8:$K$207,'Shipments'!$D$8:$D$207,A31,'Shipments'!$C$8:$C$207,"Inbound"))</x:f>
      </x:c>
      <x:c r="K31" s="11" t="str">
        <x:f>IF(A31="","",MAX(0,I31-J31))</x:f>
      </x:c>
      <x:c r="L31" s="9" t="str">
        <x:f>IF(A31="","",IF(COUNTIFS('Orders'!$A$8:$A$207,A31)&lt;&gt;1,"Duplicate order line",IF(OR(B31="",C31=""),"Set PO and supplier",IF(COUNTIFS('Definitions'!$A$8:$A$207,D31)&lt;&gt;1,"Unknown / duplicate part",IF(VLOOKUP(D31,'Definitions'!$A$8:$J$207,3,FALSE)&lt;&gt;"Part","Order purchasable parts only",IF(OR(NOT(ISNUMBER(E31)),E31&lt;=0,MOD(E31,1)&lt;&gt;0,NOT(ISNUMBER(F31)),F31&lt;0,MOD(F31,1)&lt;&gt;0),"Invalid ordered / cancelled qty",IF(H31+F31&gt;E31,"Receipts exceed net order",IF(J31&gt;I31,"Transit exceeds outstanding qty","OK"))))))))</x:f>
      </x:c>
    </x:row>
    <x:row r="32" ht="22" customHeight="1">
      <x:c r="A32" s="10"/>
      <x:c r="B32" s="10"/>
      <x:c r="C32" s="10"/>
      <x:c r="D32" s="10"/>
      <x:c r="E32" s="12"/>
      <x:c r="F32" s="12"/>
      <x:c r="G32" s="13"/>
      <x:c r="H32" s="11" t="str">
        <x:f>IF(A32="","",SUMIFS('Shipments'!$I$8:$I$207,'Shipments'!$D$8:$D$207,A32,'Shipments'!$C$8:$C$207,"Inbound"))</x:f>
      </x:c>
      <x:c r="I32" s="11" t="str">
        <x:f>IF(A32="","",MAX(0,E32-F32-H32))</x:f>
      </x:c>
      <x:c r="J32" s="11" t="str">
        <x:f>IF(A32="","",SUMIFS('Shipments'!$K$8:$K$207,'Shipments'!$D$8:$D$207,A32,'Shipments'!$C$8:$C$207,"Inbound"))</x:f>
      </x:c>
      <x:c r="K32" s="11" t="str">
        <x:f>IF(A32="","",MAX(0,I32-J32))</x:f>
      </x:c>
      <x:c r="L32" s="9" t="str">
        <x:f>IF(A32="","",IF(COUNTIFS('Orders'!$A$8:$A$207,A32)&lt;&gt;1,"Duplicate order line",IF(OR(B32="",C32=""),"Set PO and supplier",IF(COUNTIFS('Definitions'!$A$8:$A$207,D32)&lt;&gt;1,"Unknown / duplicate part",IF(VLOOKUP(D32,'Definitions'!$A$8:$J$207,3,FALSE)&lt;&gt;"Part","Order purchasable parts only",IF(OR(NOT(ISNUMBER(E32)),E32&lt;=0,MOD(E32,1)&lt;&gt;0,NOT(ISNUMBER(F32)),F32&lt;0,MOD(F32,1)&lt;&gt;0),"Invalid ordered / cancelled qty",IF(H32+F32&gt;E32,"Receipts exceed net order",IF(J32&gt;I32,"Transit exceeds outstanding qty","OK"))))))))</x:f>
      </x:c>
    </x:row>
    <x:row r="33" ht="22" customHeight="1">
      <x:c r="A33" s="10"/>
      <x:c r="B33" s="10"/>
      <x:c r="C33" s="10"/>
      <x:c r="D33" s="10"/>
      <x:c r="E33" s="12"/>
      <x:c r="F33" s="12"/>
      <x:c r="G33" s="13"/>
      <x:c r="H33" s="11" t="str">
        <x:f>IF(A33="","",SUMIFS('Shipments'!$I$8:$I$207,'Shipments'!$D$8:$D$207,A33,'Shipments'!$C$8:$C$207,"Inbound"))</x:f>
      </x:c>
      <x:c r="I33" s="11" t="str">
        <x:f>IF(A33="","",MAX(0,E33-F33-H33))</x:f>
      </x:c>
      <x:c r="J33" s="11" t="str">
        <x:f>IF(A33="","",SUMIFS('Shipments'!$K$8:$K$207,'Shipments'!$D$8:$D$207,A33,'Shipments'!$C$8:$C$207,"Inbound"))</x:f>
      </x:c>
      <x:c r="K33" s="11" t="str">
        <x:f>IF(A33="","",MAX(0,I33-J33))</x:f>
      </x:c>
      <x:c r="L33" s="9" t="str">
        <x:f>IF(A33="","",IF(COUNTIFS('Orders'!$A$8:$A$207,A33)&lt;&gt;1,"Duplicate order line",IF(OR(B33="",C33=""),"Set PO and supplier",IF(COUNTIFS('Definitions'!$A$8:$A$207,D33)&lt;&gt;1,"Unknown / duplicate part",IF(VLOOKUP(D33,'Definitions'!$A$8:$J$207,3,FALSE)&lt;&gt;"Part","Order purchasable parts only",IF(OR(NOT(ISNUMBER(E33)),E33&lt;=0,MOD(E33,1)&lt;&gt;0,NOT(ISNUMBER(F33)),F33&lt;0,MOD(F33,1)&lt;&gt;0),"Invalid ordered / cancelled qty",IF(H33+F33&gt;E33,"Receipts exceed net order",IF(J33&gt;I33,"Transit exceeds outstanding qty","OK"))))))))</x:f>
      </x:c>
    </x:row>
    <x:row r="34" ht="22" customHeight="1">
      <x:c r="A34" s="10"/>
      <x:c r="B34" s="10"/>
      <x:c r="C34" s="10"/>
      <x:c r="D34" s="10"/>
      <x:c r="E34" s="12"/>
      <x:c r="F34" s="12"/>
      <x:c r="G34" s="13"/>
      <x:c r="H34" s="11" t="str">
        <x:f>IF(A34="","",SUMIFS('Shipments'!$I$8:$I$207,'Shipments'!$D$8:$D$207,A34,'Shipments'!$C$8:$C$207,"Inbound"))</x:f>
      </x:c>
      <x:c r="I34" s="11" t="str">
        <x:f>IF(A34="","",MAX(0,E34-F34-H34))</x:f>
      </x:c>
      <x:c r="J34" s="11" t="str">
        <x:f>IF(A34="","",SUMIFS('Shipments'!$K$8:$K$207,'Shipments'!$D$8:$D$207,A34,'Shipments'!$C$8:$C$207,"Inbound"))</x:f>
      </x:c>
      <x:c r="K34" s="11" t="str">
        <x:f>IF(A34="","",MAX(0,I34-J34))</x:f>
      </x:c>
      <x:c r="L34" s="9" t="str">
        <x:f>IF(A34="","",IF(COUNTIFS('Orders'!$A$8:$A$207,A34)&lt;&gt;1,"Duplicate order line",IF(OR(B34="",C34=""),"Set PO and supplier",IF(COUNTIFS('Definitions'!$A$8:$A$207,D34)&lt;&gt;1,"Unknown / duplicate part",IF(VLOOKUP(D34,'Definitions'!$A$8:$J$207,3,FALSE)&lt;&gt;"Part","Order purchasable parts only",IF(OR(NOT(ISNUMBER(E34)),E34&lt;=0,MOD(E34,1)&lt;&gt;0,NOT(ISNUMBER(F34)),F34&lt;0,MOD(F34,1)&lt;&gt;0),"Invalid ordered / cancelled qty",IF(H34+F34&gt;E34,"Receipts exceed net order",IF(J34&gt;I34,"Transit exceeds outstanding qty","OK"))))))))</x:f>
      </x:c>
    </x:row>
    <x:row r="35" ht="22" customHeight="1">
      <x:c r="A35" s="10"/>
      <x:c r="B35" s="10"/>
      <x:c r="C35" s="10"/>
      <x:c r="D35" s="10"/>
      <x:c r="E35" s="12"/>
      <x:c r="F35" s="12"/>
      <x:c r="G35" s="13"/>
      <x:c r="H35" s="11" t="str">
        <x:f>IF(A35="","",SUMIFS('Shipments'!$I$8:$I$207,'Shipments'!$D$8:$D$207,A35,'Shipments'!$C$8:$C$207,"Inbound"))</x:f>
      </x:c>
      <x:c r="I35" s="11" t="str">
        <x:f>IF(A35="","",MAX(0,E35-F35-H35))</x:f>
      </x:c>
      <x:c r="J35" s="11" t="str">
        <x:f>IF(A35="","",SUMIFS('Shipments'!$K$8:$K$207,'Shipments'!$D$8:$D$207,A35,'Shipments'!$C$8:$C$207,"Inbound"))</x:f>
      </x:c>
      <x:c r="K35" s="11" t="str">
        <x:f>IF(A35="","",MAX(0,I35-J35))</x:f>
      </x:c>
      <x:c r="L35" s="9" t="str">
        <x:f>IF(A35="","",IF(COUNTIFS('Orders'!$A$8:$A$207,A35)&lt;&gt;1,"Duplicate order line",IF(OR(B35="",C35=""),"Set PO and supplier",IF(COUNTIFS('Definitions'!$A$8:$A$207,D35)&lt;&gt;1,"Unknown / duplicate part",IF(VLOOKUP(D35,'Definitions'!$A$8:$J$207,3,FALSE)&lt;&gt;"Part","Order purchasable parts only",IF(OR(NOT(ISNUMBER(E35)),E35&lt;=0,MOD(E35,1)&lt;&gt;0,NOT(ISNUMBER(F35)),F35&lt;0,MOD(F35,1)&lt;&gt;0),"Invalid ordered / cancelled qty",IF(H35+F35&gt;E35,"Receipts exceed net order",IF(J35&gt;I35,"Transit exceeds outstanding qty","OK"))))))))</x:f>
      </x:c>
    </x:row>
    <x:row r="36" ht="22" customHeight="1">
      <x:c r="A36" s="10"/>
      <x:c r="B36" s="10"/>
      <x:c r="C36" s="10"/>
      <x:c r="D36" s="10"/>
      <x:c r="E36" s="12"/>
      <x:c r="F36" s="12"/>
      <x:c r="G36" s="13"/>
      <x:c r="H36" s="11" t="str">
        <x:f>IF(A36="","",SUMIFS('Shipments'!$I$8:$I$207,'Shipments'!$D$8:$D$207,A36,'Shipments'!$C$8:$C$207,"Inbound"))</x:f>
      </x:c>
      <x:c r="I36" s="11" t="str">
        <x:f>IF(A36="","",MAX(0,E36-F36-H36))</x:f>
      </x:c>
      <x:c r="J36" s="11" t="str">
        <x:f>IF(A36="","",SUMIFS('Shipments'!$K$8:$K$207,'Shipments'!$D$8:$D$207,A36,'Shipments'!$C$8:$C$207,"Inbound"))</x:f>
      </x:c>
      <x:c r="K36" s="11" t="str">
        <x:f>IF(A36="","",MAX(0,I36-J36))</x:f>
      </x:c>
      <x:c r="L36" s="9" t="str">
        <x:f>IF(A36="","",IF(COUNTIFS('Orders'!$A$8:$A$207,A36)&lt;&gt;1,"Duplicate order line",IF(OR(B36="",C36=""),"Set PO and supplier",IF(COUNTIFS('Definitions'!$A$8:$A$207,D36)&lt;&gt;1,"Unknown / duplicate part",IF(VLOOKUP(D36,'Definitions'!$A$8:$J$207,3,FALSE)&lt;&gt;"Part","Order purchasable parts only",IF(OR(NOT(ISNUMBER(E36)),E36&lt;=0,MOD(E36,1)&lt;&gt;0,NOT(ISNUMBER(F36)),F36&lt;0,MOD(F36,1)&lt;&gt;0),"Invalid ordered / cancelled qty",IF(H36+F36&gt;E36,"Receipts exceed net order",IF(J36&gt;I36,"Transit exceeds outstanding qty","OK"))))))))</x:f>
      </x:c>
    </x:row>
    <x:row r="37" ht="22" customHeight="1">
      <x:c r="A37" s="10"/>
      <x:c r="B37" s="10"/>
      <x:c r="C37" s="10"/>
      <x:c r="D37" s="10"/>
      <x:c r="E37" s="12"/>
      <x:c r="F37" s="12"/>
      <x:c r="G37" s="13"/>
      <x:c r="H37" s="11" t="str">
        <x:f>IF(A37="","",SUMIFS('Shipments'!$I$8:$I$207,'Shipments'!$D$8:$D$207,A37,'Shipments'!$C$8:$C$207,"Inbound"))</x:f>
      </x:c>
      <x:c r="I37" s="11" t="str">
        <x:f>IF(A37="","",MAX(0,E37-F37-H37))</x:f>
      </x:c>
      <x:c r="J37" s="11" t="str">
        <x:f>IF(A37="","",SUMIFS('Shipments'!$K$8:$K$207,'Shipments'!$D$8:$D$207,A37,'Shipments'!$C$8:$C$207,"Inbound"))</x:f>
      </x:c>
      <x:c r="K37" s="11" t="str">
        <x:f>IF(A37="","",MAX(0,I37-J37))</x:f>
      </x:c>
      <x:c r="L37" s="9" t="str">
        <x:f>IF(A37="","",IF(COUNTIFS('Orders'!$A$8:$A$207,A37)&lt;&gt;1,"Duplicate order line",IF(OR(B37="",C37=""),"Set PO and supplier",IF(COUNTIFS('Definitions'!$A$8:$A$207,D37)&lt;&gt;1,"Unknown / duplicate part",IF(VLOOKUP(D37,'Definitions'!$A$8:$J$207,3,FALSE)&lt;&gt;"Part","Order purchasable parts only",IF(OR(NOT(ISNUMBER(E37)),E37&lt;=0,MOD(E37,1)&lt;&gt;0,NOT(ISNUMBER(F37)),F37&lt;0,MOD(F37,1)&lt;&gt;0),"Invalid ordered / cancelled qty",IF(H37+F37&gt;E37,"Receipts exceed net order",IF(J37&gt;I37,"Transit exceeds outstanding qty","OK"))))))))</x:f>
      </x:c>
    </x:row>
    <x:row r="38" ht="22" customHeight="1">
      <x:c r="A38" s="10"/>
      <x:c r="B38" s="10"/>
      <x:c r="C38" s="10"/>
      <x:c r="D38" s="10"/>
      <x:c r="E38" s="12"/>
      <x:c r="F38" s="12"/>
      <x:c r="G38" s="13"/>
      <x:c r="H38" s="11" t="str">
        <x:f>IF(A38="","",SUMIFS('Shipments'!$I$8:$I$207,'Shipments'!$D$8:$D$207,A38,'Shipments'!$C$8:$C$207,"Inbound"))</x:f>
      </x:c>
      <x:c r="I38" s="11" t="str">
        <x:f>IF(A38="","",MAX(0,E38-F38-H38))</x:f>
      </x:c>
      <x:c r="J38" s="11" t="str">
        <x:f>IF(A38="","",SUMIFS('Shipments'!$K$8:$K$207,'Shipments'!$D$8:$D$207,A38,'Shipments'!$C$8:$C$207,"Inbound"))</x:f>
      </x:c>
      <x:c r="K38" s="11" t="str">
        <x:f>IF(A38="","",MAX(0,I38-J38))</x:f>
      </x:c>
      <x:c r="L38" s="9" t="str">
        <x:f>IF(A38="","",IF(COUNTIFS('Orders'!$A$8:$A$207,A38)&lt;&gt;1,"Duplicate order line",IF(OR(B38="",C38=""),"Set PO and supplier",IF(COUNTIFS('Definitions'!$A$8:$A$207,D38)&lt;&gt;1,"Unknown / duplicate part",IF(VLOOKUP(D38,'Definitions'!$A$8:$J$207,3,FALSE)&lt;&gt;"Part","Order purchasable parts only",IF(OR(NOT(ISNUMBER(E38)),E38&lt;=0,MOD(E38,1)&lt;&gt;0,NOT(ISNUMBER(F38)),F38&lt;0,MOD(F38,1)&lt;&gt;0),"Invalid ordered / cancelled qty",IF(H38+F38&gt;E38,"Receipts exceed net order",IF(J38&gt;I38,"Transit exceeds outstanding qty","OK"))))))))</x:f>
      </x:c>
    </x:row>
    <x:row r="39" ht="22" customHeight="1">
      <x:c r="A39" s="10"/>
      <x:c r="B39" s="10"/>
      <x:c r="C39" s="10"/>
      <x:c r="D39" s="10"/>
      <x:c r="E39" s="12"/>
      <x:c r="F39" s="12"/>
      <x:c r="G39" s="13"/>
      <x:c r="H39" s="11" t="str">
        <x:f>IF(A39="","",SUMIFS('Shipments'!$I$8:$I$207,'Shipments'!$D$8:$D$207,A39,'Shipments'!$C$8:$C$207,"Inbound"))</x:f>
      </x:c>
      <x:c r="I39" s="11" t="str">
        <x:f>IF(A39="","",MAX(0,E39-F39-H39))</x:f>
      </x:c>
      <x:c r="J39" s="11" t="str">
        <x:f>IF(A39="","",SUMIFS('Shipments'!$K$8:$K$207,'Shipments'!$D$8:$D$207,A39,'Shipments'!$C$8:$C$207,"Inbound"))</x:f>
      </x:c>
      <x:c r="K39" s="11" t="str">
        <x:f>IF(A39="","",MAX(0,I39-J39))</x:f>
      </x:c>
      <x:c r="L39" s="9" t="str">
        <x:f>IF(A39="","",IF(COUNTIFS('Orders'!$A$8:$A$207,A39)&lt;&gt;1,"Duplicate order line",IF(OR(B39="",C39=""),"Set PO and supplier",IF(COUNTIFS('Definitions'!$A$8:$A$207,D39)&lt;&gt;1,"Unknown / duplicate part",IF(VLOOKUP(D39,'Definitions'!$A$8:$J$207,3,FALSE)&lt;&gt;"Part","Order purchasable parts only",IF(OR(NOT(ISNUMBER(E39)),E39&lt;=0,MOD(E39,1)&lt;&gt;0,NOT(ISNUMBER(F39)),F39&lt;0,MOD(F39,1)&lt;&gt;0),"Invalid ordered / cancelled qty",IF(H39+F39&gt;E39,"Receipts exceed net order",IF(J39&gt;I39,"Transit exceeds outstanding qty","OK"))))))))</x:f>
      </x:c>
    </x:row>
    <x:row r="40" ht="22" customHeight="1">
      <x:c r="A40" s="10"/>
      <x:c r="B40" s="10"/>
      <x:c r="C40" s="10"/>
      <x:c r="D40" s="10"/>
      <x:c r="E40" s="12"/>
      <x:c r="F40" s="12"/>
      <x:c r="G40" s="13"/>
      <x:c r="H40" s="11" t="str">
        <x:f>IF(A40="","",SUMIFS('Shipments'!$I$8:$I$207,'Shipments'!$D$8:$D$207,A40,'Shipments'!$C$8:$C$207,"Inbound"))</x:f>
      </x:c>
      <x:c r="I40" s="11" t="str">
        <x:f>IF(A40="","",MAX(0,E40-F40-H40))</x:f>
      </x:c>
      <x:c r="J40" s="11" t="str">
        <x:f>IF(A40="","",SUMIFS('Shipments'!$K$8:$K$207,'Shipments'!$D$8:$D$207,A40,'Shipments'!$C$8:$C$207,"Inbound"))</x:f>
      </x:c>
      <x:c r="K40" s="11" t="str">
        <x:f>IF(A40="","",MAX(0,I40-J40))</x:f>
      </x:c>
      <x:c r="L40" s="9" t="str">
        <x:f>IF(A40="","",IF(COUNTIFS('Orders'!$A$8:$A$207,A40)&lt;&gt;1,"Duplicate order line",IF(OR(B40="",C40=""),"Set PO and supplier",IF(COUNTIFS('Definitions'!$A$8:$A$207,D40)&lt;&gt;1,"Unknown / duplicate part",IF(VLOOKUP(D40,'Definitions'!$A$8:$J$207,3,FALSE)&lt;&gt;"Part","Order purchasable parts only",IF(OR(NOT(ISNUMBER(E40)),E40&lt;=0,MOD(E40,1)&lt;&gt;0,NOT(ISNUMBER(F40)),F40&lt;0,MOD(F40,1)&lt;&gt;0),"Invalid ordered / cancelled qty",IF(H40+F40&gt;E40,"Receipts exceed net order",IF(J40&gt;I40,"Transit exceeds outstanding qty","OK"))))))))</x:f>
      </x:c>
    </x:row>
    <x:row r="41" ht="22" customHeight="1">
      <x:c r="A41" s="10"/>
      <x:c r="B41" s="10"/>
      <x:c r="C41" s="10"/>
      <x:c r="D41" s="10"/>
      <x:c r="E41" s="12"/>
      <x:c r="F41" s="12"/>
      <x:c r="G41" s="13"/>
      <x:c r="H41" s="11" t="str">
        <x:f>IF(A41="","",SUMIFS('Shipments'!$I$8:$I$207,'Shipments'!$D$8:$D$207,A41,'Shipments'!$C$8:$C$207,"Inbound"))</x:f>
      </x:c>
      <x:c r="I41" s="11" t="str">
        <x:f>IF(A41="","",MAX(0,E41-F41-H41))</x:f>
      </x:c>
      <x:c r="J41" s="11" t="str">
        <x:f>IF(A41="","",SUMIFS('Shipments'!$K$8:$K$207,'Shipments'!$D$8:$D$207,A41,'Shipments'!$C$8:$C$207,"Inbound"))</x:f>
      </x:c>
      <x:c r="K41" s="11" t="str">
        <x:f>IF(A41="","",MAX(0,I41-J41))</x:f>
      </x:c>
      <x:c r="L41" s="9" t="str">
        <x:f>IF(A41="","",IF(COUNTIFS('Orders'!$A$8:$A$207,A41)&lt;&gt;1,"Duplicate order line",IF(OR(B41="",C41=""),"Set PO and supplier",IF(COUNTIFS('Definitions'!$A$8:$A$207,D41)&lt;&gt;1,"Unknown / duplicate part",IF(VLOOKUP(D41,'Definitions'!$A$8:$J$207,3,FALSE)&lt;&gt;"Part","Order purchasable parts only",IF(OR(NOT(ISNUMBER(E41)),E41&lt;=0,MOD(E41,1)&lt;&gt;0,NOT(ISNUMBER(F41)),F41&lt;0,MOD(F41,1)&lt;&gt;0),"Invalid ordered / cancelled qty",IF(H41+F41&gt;E41,"Receipts exceed net order",IF(J41&gt;I41,"Transit exceeds outstanding qty","OK"))))))))</x:f>
      </x:c>
    </x:row>
    <x:row r="42" ht="22" customHeight="1">
      <x:c r="A42" s="10"/>
      <x:c r="B42" s="10"/>
      <x:c r="C42" s="10"/>
      <x:c r="D42" s="10"/>
      <x:c r="E42" s="12"/>
      <x:c r="F42" s="12"/>
      <x:c r="G42" s="13"/>
      <x:c r="H42" s="11" t="str">
        <x:f>IF(A42="","",SUMIFS('Shipments'!$I$8:$I$207,'Shipments'!$D$8:$D$207,A42,'Shipments'!$C$8:$C$207,"Inbound"))</x:f>
      </x:c>
      <x:c r="I42" s="11" t="str">
        <x:f>IF(A42="","",MAX(0,E42-F42-H42))</x:f>
      </x:c>
      <x:c r="J42" s="11" t="str">
        <x:f>IF(A42="","",SUMIFS('Shipments'!$K$8:$K$207,'Shipments'!$D$8:$D$207,A42,'Shipments'!$C$8:$C$207,"Inbound"))</x:f>
      </x:c>
      <x:c r="K42" s="11" t="str">
        <x:f>IF(A42="","",MAX(0,I42-J42))</x:f>
      </x:c>
      <x:c r="L42" s="9" t="str">
        <x:f>IF(A42="","",IF(COUNTIFS('Orders'!$A$8:$A$207,A42)&lt;&gt;1,"Duplicate order line",IF(OR(B42="",C42=""),"Set PO and supplier",IF(COUNTIFS('Definitions'!$A$8:$A$207,D42)&lt;&gt;1,"Unknown / duplicate part",IF(VLOOKUP(D42,'Definitions'!$A$8:$J$207,3,FALSE)&lt;&gt;"Part","Order purchasable parts only",IF(OR(NOT(ISNUMBER(E42)),E42&lt;=0,MOD(E42,1)&lt;&gt;0,NOT(ISNUMBER(F42)),F42&lt;0,MOD(F42,1)&lt;&gt;0),"Invalid ordered / cancelled qty",IF(H42+F42&gt;E42,"Receipts exceed net order",IF(J42&gt;I42,"Transit exceeds outstanding qty","OK"))))))))</x:f>
      </x:c>
    </x:row>
    <x:row r="43" ht="22" customHeight="1">
      <x:c r="A43" s="10"/>
      <x:c r="B43" s="10"/>
      <x:c r="C43" s="10"/>
      <x:c r="D43" s="10"/>
      <x:c r="E43" s="12"/>
      <x:c r="F43" s="12"/>
      <x:c r="G43" s="13"/>
      <x:c r="H43" s="11" t="str">
        <x:f>IF(A43="","",SUMIFS('Shipments'!$I$8:$I$207,'Shipments'!$D$8:$D$207,A43,'Shipments'!$C$8:$C$207,"Inbound"))</x:f>
      </x:c>
      <x:c r="I43" s="11" t="str">
        <x:f>IF(A43="","",MAX(0,E43-F43-H43))</x:f>
      </x:c>
      <x:c r="J43" s="11" t="str">
        <x:f>IF(A43="","",SUMIFS('Shipments'!$K$8:$K$207,'Shipments'!$D$8:$D$207,A43,'Shipments'!$C$8:$C$207,"Inbound"))</x:f>
      </x:c>
      <x:c r="K43" s="11" t="str">
        <x:f>IF(A43="","",MAX(0,I43-J43))</x:f>
      </x:c>
      <x:c r="L43" s="9" t="str">
        <x:f>IF(A43="","",IF(COUNTIFS('Orders'!$A$8:$A$207,A43)&lt;&gt;1,"Duplicate order line",IF(OR(B43="",C43=""),"Set PO and supplier",IF(COUNTIFS('Definitions'!$A$8:$A$207,D43)&lt;&gt;1,"Unknown / duplicate part",IF(VLOOKUP(D43,'Definitions'!$A$8:$J$207,3,FALSE)&lt;&gt;"Part","Order purchasable parts only",IF(OR(NOT(ISNUMBER(E43)),E43&lt;=0,MOD(E43,1)&lt;&gt;0,NOT(ISNUMBER(F43)),F43&lt;0,MOD(F43,1)&lt;&gt;0),"Invalid ordered / cancelled qty",IF(H43+F43&gt;E43,"Receipts exceed net order",IF(J43&gt;I43,"Transit exceeds outstanding qty","OK"))))))))</x:f>
      </x:c>
    </x:row>
    <x:row r="44" ht="22" customHeight="1">
      <x:c r="A44" s="10"/>
      <x:c r="B44" s="10"/>
      <x:c r="C44" s="10"/>
      <x:c r="D44" s="10"/>
      <x:c r="E44" s="12"/>
      <x:c r="F44" s="12"/>
      <x:c r="G44" s="13"/>
      <x:c r="H44" s="11" t="str">
        <x:f>IF(A44="","",SUMIFS('Shipments'!$I$8:$I$207,'Shipments'!$D$8:$D$207,A44,'Shipments'!$C$8:$C$207,"Inbound"))</x:f>
      </x:c>
      <x:c r="I44" s="11" t="str">
        <x:f>IF(A44="","",MAX(0,E44-F44-H44))</x:f>
      </x:c>
      <x:c r="J44" s="11" t="str">
        <x:f>IF(A44="","",SUMIFS('Shipments'!$K$8:$K$207,'Shipments'!$D$8:$D$207,A44,'Shipments'!$C$8:$C$207,"Inbound"))</x:f>
      </x:c>
      <x:c r="K44" s="11" t="str">
        <x:f>IF(A44="","",MAX(0,I44-J44))</x:f>
      </x:c>
      <x:c r="L44" s="9" t="str">
        <x:f>IF(A44="","",IF(COUNTIFS('Orders'!$A$8:$A$207,A44)&lt;&gt;1,"Duplicate order line",IF(OR(B44="",C44=""),"Set PO and supplier",IF(COUNTIFS('Definitions'!$A$8:$A$207,D44)&lt;&gt;1,"Unknown / duplicate part",IF(VLOOKUP(D44,'Definitions'!$A$8:$J$207,3,FALSE)&lt;&gt;"Part","Order purchasable parts only",IF(OR(NOT(ISNUMBER(E44)),E44&lt;=0,MOD(E44,1)&lt;&gt;0,NOT(ISNUMBER(F44)),F44&lt;0,MOD(F44,1)&lt;&gt;0),"Invalid ordered / cancelled qty",IF(H44+F44&gt;E44,"Receipts exceed net order",IF(J44&gt;I44,"Transit exceeds outstanding qty","OK"))))))))</x:f>
      </x:c>
    </x:row>
    <x:row r="45" ht="22" customHeight="1">
      <x:c r="A45" s="10"/>
      <x:c r="B45" s="10"/>
      <x:c r="C45" s="10"/>
      <x:c r="D45" s="10"/>
      <x:c r="E45" s="12"/>
      <x:c r="F45" s="12"/>
      <x:c r="G45" s="13"/>
      <x:c r="H45" s="11" t="str">
        <x:f>IF(A45="","",SUMIFS('Shipments'!$I$8:$I$207,'Shipments'!$D$8:$D$207,A45,'Shipments'!$C$8:$C$207,"Inbound"))</x:f>
      </x:c>
      <x:c r="I45" s="11" t="str">
        <x:f>IF(A45="","",MAX(0,E45-F45-H45))</x:f>
      </x:c>
      <x:c r="J45" s="11" t="str">
        <x:f>IF(A45="","",SUMIFS('Shipments'!$K$8:$K$207,'Shipments'!$D$8:$D$207,A45,'Shipments'!$C$8:$C$207,"Inbound"))</x:f>
      </x:c>
      <x:c r="K45" s="11" t="str">
        <x:f>IF(A45="","",MAX(0,I45-J45))</x:f>
      </x:c>
      <x:c r="L45" s="9" t="str">
        <x:f>IF(A45="","",IF(COUNTIFS('Orders'!$A$8:$A$207,A45)&lt;&gt;1,"Duplicate order line",IF(OR(B45="",C45=""),"Set PO and supplier",IF(COUNTIFS('Definitions'!$A$8:$A$207,D45)&lt;&gt;1,"Unknown / duplicate part",IF(VLOOKUP(D45,'Definitions'!$A$8:$J$207,3,FALSE)&lt;&gt;"Part","Order purchasable parts only",IF(OR(NOT(ISNUMBER(E45)),E45&lt;=0,MOD(E45,1)&lt;&gt;0,NOT(ISNUMBER(F45)),F45&lt;0,MOD(F45,1)&lt;&gt;0),"Invalid ordered / cancelled qty",IF(H45+F45&gt;E45,"Receipts exceed net order",IF(J45&gt;I45,"Transit exceeds outstanding qty","OK"))))))))</x:f>
      </x:c>
    </x:row>
    <x:row r="46" ht="22" customHeight="1">
      <x:c r="A46" s="10"/>
      <x:c r="B46" s="10"/>
      <x:c r="C46" s="10"/>
      <x:c r="D46" s="10"/>
      <x:c r="E46" s="12"/>
      <x:c r="F46" s="12"/>
      <x:c r="G46" s="13"/>
      <x:c r="H46" s="11" t="str">
        <x:f>IF(A46="","",SUMIFS('Shipments'!$I$8:$I$207,'Shipments'!$D$8:$D$207,A46,'Shipments'!$C$8:$C$207,"Inbound"))</x:f>
      </x:c>
      <x:c r="I46" s="11" t="str">
        <x:f>IF(A46="","",MAX(0,E46-F46-H46))</x:f>
      </x:c>
      <x:c r="J46" s="11" t="str">
        <x:f>IF(A46="","",SUMIFS('Shipments'!$K$8:$K$207,'Shipments'!$D$8:$D$207,A46,'Shipments'!$C$8:$C$207,"Inbound"))</x:f>
      </x:c>
      <x:c r="K46" s="11" t="str">
        <x:f>IF(A46="","",MAX(0,I46-J46))</x:f>
      </x:c>
      <x:c r="L46" s="9" t="str">
        <x:f>IF(A46="","",IF(COUNTIFS('Orders'!$A$8:$A$207,A46)&lt;&gt;1,"Duplicate order line",IF(OR(B46="",C46=""),"Set PO and supplier",IF(COUNTIFS('Definitions'!$A$8:$A$207,D46)&lt;&gt;1,"Unknown / duplicate part",IF(VLOOKUP(D46,'Definitions'!$A$8:$J$207,3,FALSE)&lt;&gt;"Part","Order purchasable parts only",IF(OR(NOT(ISNUMBER(E46)),E46&lt;=0,MOD(E46,1)&lt;&gt;0,NOT(ISNUMBER(F46)),F46&lt;0,MOD(F46,1)&lt;&gt;0),"Invalid ordered / cancelled qty",IF(H46+F46&gt;E46,"Receipts exceed net order",IF(J46&gt;I46,"Transit exceeds outstanding qty","OK"))))))))</x:f>
      </x:c>
    </x:row>
    <x:row r="47" ht="22" customHeight="1">
      <x:c r="A47" s="10"/>
      <x:c r="B47" s="10"/>
      <x:c r="C47" s="10"/>
      <x:c r="D47" s="10"/>
      <x:c r="E47" s="12"/>
      <x:c r="F47" s="12"/>
      <x:c r="G47" s="13"/>
      <x:c r="H47" s="11" t="str">
        <x:f>IF(A47="","",SUMIFS('Shipments'!$I$8:$I$207,'Shipments'!$D$8:$D$207,A47,'Shipments'!$C$8:$C$207,"Inbound"))</x:f>
      </x:c>
      <x:c r="I47" s="11" t="str">
        <x:f>IF(A47="","",MAX(0,E47-F47-H47))</x:f>
      </x:c>
      <x:c r="J47" s="11" t="str">
        <x:f>IF(A47="","",SUMIFS('Shipments'!$K$8:$K$207,'Shipments'!$D$8:$D$207,A47,'Shipments'!$C$8:$C$207,"Inbound"))</x:f>
      </x:c>
      <x:c r="K47" s="11" t="str">
        <x:f>IF(A47="","",MAX(0,I47-J47))</x:f>
      </x:c>
      <x:c r="L47" s="9" t="str">
        <x:f>IF(A47="","",IF(COUNTIFS('Orders'!$A$8:$A$207,A47)&lt;&gt;1,"Duplicate order line",IF(OR(B47="",C47=""),"Set PO and supplier",IF(COUNTIFS('Definitions'!$A$8:$A$207,D47)&lt;&gt;1,"Unknown / duplicate part",IF(VLOOKUP(D47,'Definitions'!$A$8:$J$207,3,FALSE)&lt;&gt;"Part","Order purchasable parts only",IF(OR(NOT(ISNUMBER(E47)),E47&lt;=0,MOD(E47,1)&lt;&gt;0,NOT(ISNUMBER(F47)),F47&lt;0,MOD(F47,1)&lt;&gt;0),"Invalid ordered / cancelled qty",IF(H47+F47&gt;E47,"Receipts exceed net order",IF(J47&gt;I47,"Transit exceeds outstanding qty","OK"))))))))</x:f>
      </x:c>
    </x:row>
    <x:row r="48" ht="22" customHeight="1">
      <x:c r="A48" s="10"/>
      <x:c r="B48" s="10"/>
      <x:c r="C48" s="10"/>
      <x:c r="D48" s="10"/>
      <x:c r="E48" s="12"/>
      <x:c r="F48" s="12"/>
      <x:c r="G48" s="13"/>
      <x:c r="H48" s="11" t="str">
        <x:f>IF(A48="","",SUMIFS('Shipments'!$I$8:$I$207,'Shipments'!$D$8:$D$207,A48,'Shipments'!$C$8:$C$207,"Inbound"))</x:f>
      </x:c>
      <x:c r="I48" s="11" t="str">
        <x:f>IF(A48="","",MAX(0,E48-F48-H48))</x:f>
      </x:c>
      <x:c r="J48" s="11" t="str">
        <x:f>IF(A48="","",SUMIFS('Shipments'!$K$8:$K$207,'Shipments'!$D$8:$D$207,A48,'Shipments'!$C$8:$C$207,"Inbound"))</x:f>
      </x:c>
      <x:c r="K48" s="11" t="str">
        <x:f>IF(A48="","",MAX(0,I48-J48))</x:f>
      </x:c>
      <x:c r="L48" s="9" t="str">
        <x:f>IF(A48="","",IF(COUNTIFS('Orders'!$A$8:$A$207,A48)&lt;&gt;1,"Duplicate order line",IF(OR(B48="",C48=""),"Set PO and supplier",IF(COUNTIFS('Definitions'!$A$8:$A$207,D48)&lt;&gt;1,"Unknown / duplicate part",IF(VLOOKUP(D48,'Definitions'!$A$8:$J$207,3,FALSE)&lt;&gt;"Part","Order purchasable parts only",IF(OR(NOT(ISNUMBER(E48)),E48&lt;=0,MOD(E48,1)&lt;&gt;0,NOT(ISNUMBER(F48)),F48&lt;0,MOD(F48,1)&lt;&gt;0),"Invalid ordered / cancelled qty",IF(H48+F48&gt;E48,"Receipts exceed net order",IF(J48&gt;I48,"Transit exceeds outstanding qty","OK"))))))))</x:f>
      </x:c>
    </x:row>
    <x:row r="49" ht="22" customHeight="1">
      <x:c r="A49" s="10"/>
      <x:c r="B49" s="10"/>
      <x:c r="C49" s="10"/>
      <x:c r="D49" s="10"/>
      <x:c r="E49" s="12"/>
      <x:c r="F49" s="12"/>
      <x:c r="G49" s="13"/>
      <x:c r="H49" s="11" t="str">
        <x:f>IF(A49="","",SUMIFS('Shipments'!$I$8:$I$207,'Shipments'!$D$8:$D$207,A49,'Shipments'!$C$8:$C$207,"Inbound"))</x:f>
      </x:c>
      <x:c r="I49" s="11" t="str">
        <x:f>IF(A49="","",MAX(0,E49-F49-H49))</x:f>
      </x:c>
      <x:c r="J49" s="11" t="str">
        <x:f>IF(A49="","",SUMIFS('Shipments'!$K$8:$K$207,'Shipments'!$D$8:$D$207,A49,'Shipments'!$C$8:$C$207,"Inbound"))</x:f>
      </x:c>
      <x:c r="K49" s="11" t="str">
        <x:f>IF(A49="","",MAX(0,I49-J49))</x:f>
      </x:c>
      <x:c r="L49" s="9" t="str">
        <x:f>IF(A49="","",IF(COUNTIFS('Orders'!$A$8:$A$207,A49)&lt;&gt;1,"Duplicate order line",IF(OR(B49="",C49=""),"Set PO and supplier",IF(COUNTIFS('Definitions'!$A$8:$A$207,D49)&lt;&gt;1,"Unknown / duplicate part",IF(VLOOKUP(D49,'Definitions'!$A$8:$J$207,3,FALSE)&lt;&gt;"Part","Order purchasable parts only",IF(OR(NOT(ISNUMBER(E49)),E49&lt;=0,MOD(E49,1)&lt;&gt;0,NOT(ISNUMBER(F49)),F49&lt;0,MOD(F49,1)&lt;&gt;0),"Invalid ordered / cancelled qty",IF(H49+F49&gt;E49,"Receipts exceed net order",IF(J49&gt;I49,"Transit exceeds outstanding qty","OK"))))))))</x:f>
      </x:c>
    </x:row>
    <x:row r="50" ht="22" customHeight="1">
      <x:c r="A50" s="10"/>
      <x:c r="B50" s="10"/>
      <x:c r="C50" s="10"/>
      <x:c r="D50" s="10"/>
      <x:c r="E50" s="12"/>
      <x:c r="F50" s="12"/>
      <x:c r="G50" s="13"/>
      <x:c r="H50" s="11" t="str">
        <x:f>IF(A50="","",SUMIFS('Shipments'!$I$8:$I$207,'Shipments'!$D$8:$D$207,A50,'Shipments'!$C$8:$C$207,"Inbound"))</x:f>
      </x:c>
      <x:c r="I50" s="11" t="str">
        <x:f>IF(A50="","",MAX(0,E50-F50-H50))</x:f>
      </x:c>
      <x:c r="J50" s="11" t="str">
        <x:f>IF(A50="","",SUMIFS('Shipments'!$K$8:$K$207,'Shipments'!$D$8:$D$207,A50,'Shipments'!$C$8:$C$207,"Inbound"))</x:f>
      </x:c>
      <x:c r="K50" s="11" t="str">
        <x:f>IF(A50="","",MAX(0,I50-J50))</x:f>
      </x:c>
      <x:c r="L50" s="9" t="str">
        <x:f>IF(A50="","",IF(COUNTIFS('Orders'!$A$8:$A$207,A50)&lt;&gt;1,"Duplicate order line",IF(OR(B50="",C50=""),"Set PO and supplier",IF(COUNTIFS('Definitions'!$A$8:$A$207,D50)&lt;&gt;1,"Unknown / duplicate part",IF(VLOOKUP(D50,'Definitions'!$A$8:$J$207,3,FALSE)&lt;&gt;"Part","Order purchasable parts only",IF(OR(NOT(ISNUMBER(E50)),E50&lt;=0,MOD(E50,1)&lt;&gt;0,NOT(ISNUMBER(F50)),F50&lt;0,MOD(F50,1)&lt;&gt;0),"Invalid ordered / cancelled qty",IF(H50+F50&gt;E50,"Receipts exceed net order",IF(J50&gt;I50,"Transit exceeds outstanding qty","OK"))))))))</x:f>
      </x:c>
    </x:row>
    <x:row r="51" ht="22" customHeight="1">
      <x:c r="A51" s="10"/>
      <x:c r="B51" s="10"/>
      <x:c r="C51" s="10"/>
      <x:c r="D51" s="10"/>
      <x:c r="E51" s="12"/>
      <x:c r="F51" s="12"/>
      <x:c r="G51" s="13"/>
      <x:c r="H51" s="11" t="str">
        <x:f>IF(A51="","",SUMIFS('Shipments'!$I$8:$I$207,'Shipments'!$D$8:$D$207,A51,'Shipments'!$C$8:$C$207,"Inbound"))</x:f>
      </x:c>
      <x:c r="I51" s="11" t="str">
        <x:f>IF(A51="","",MAX(0,E51-F51-H51))</x:f>
      </x:c>
      <x:c r="J51" s="11" t="str">
        <x:f>IF(A51="","",SUMIFS('Shipments'!$K$8:$K$207,'Shipments'!$D$8:$D$207,A51,'Shipments'!$C$8:$C$207,"Inbound"))</x:f>
      </x:c>
      <x:c r="K51" s="11" t="str">
        <x:f>IF(A51="","",MAX(0,I51-J51))</x:f>
      </x:c>
      <x:c r="L51" s="9" t="str">
        <x:f>IF(A51="","",IF(COUNTIFS('Orders'!$A$8:$A$207,A51)&lt;&gt;1,"Duplicate order line",IF(OR(B51="",C51=""),"Set PO and supplier",IF(COUNTIFS('Definitions'!$A$8:$A$207,D51)&lt;&gt;1,"Unknown / duplicate part",IF(VLOOKUP(D51,'Definitions'!$A$8:$J$207,3,FALSE)&lt;&gt;"Part","Order purchasable parts only",IF(OR(NOT(ISNUMBER(E51)),E51&lt;=0,MOD(E51,1)&lt;&gt;0,NOT(ISNUMBER(F51)),F51&lt;0,MOD(F51,1)&lt;&gt;0),"Invalid ordered / cancelled qty",IF(H51+F51&gt;E51,"Receipts exceed net order",IF(J51&gt;I51,"Transit exceeds outstanding qty","OK"))))))))</x:f>
      </x:c>
    </x:row>
    <x:row r="52" ht="22" customHeight="1">
      <x:c r="A52" s="10"/>
      <x:c r="B52" s="10"/>
      <x:c r="C52" s="10"/>
      <x:c r="D52" s="10"/>
      <x:c r="E52" s="12"/>
      <x:c r="F52" s="12"/>
      <x:c r="G52" s="13"/>
      <x:c r="H52" s="11" t="str">
        <x:f>IF(A52="","",SUMIFS('Shipments'!$I$8:$I$207,'Shipments'!$D$8:$D$207,A52,'Shipments'!$C$8:$C$207,"Inbound"))</x:f>
      </x:c>
      <x:c r="I52" s="11" t="str">
        <x:f>IF(A52="","",MAX(0,E52-F52-H52))</x:f>
      </x:c>
      <x:c r="J52" s="11" t="str">
        <x:f>IF(A52="","",SUMIFS('Shipments'!$K$8:$K$207,'Shipments'!$D$8:$D$207,A52,'Shipments'!$C$8:$C$207,"Inbound"))</x:f>
      </x:c>
      <x:c r="K52" s="11" t="str">
        <x:f>IF(A52="","",MAX(0,I52-J52))</x:f>
      </x:c>
      <x:c r="L52" s="9" t="str">
        <x:f>IF(A52="","",IF(COUNTIFS('Orders'!$A$8:$A$207,A52)&lt;&gt;1,"Duplicate order line",IF(OR(B52="",C52=""),"Set PO and supplier",IF(COUNTIFS('Definitions'!$A$8:$A$207,D52)&lt;&gt;1,"Unknown / duplicate part",IF(VLOOKUP(D52,'Definitions'!$A$8:$J$207,3,FALSE)&lt;&gt;"Part","Order purchasable parts only",IF(OR(NOT(ISNUMBER(E52)),E52&lt;=0,MOD(E52,1)&lt;&gt;0,NOT(ISNUMBER(F52)),F52&lt;0,MOD(F52,1)&lt;&gt;0),"Invalid ordered / cancelled qty",IF(H52+F52&gt;E52,"Receipts exceed net order",IF(J52&gt;I52,"Transit exceeds outstanding qty","OK"))))))))</x:f>
      </x:c>
    </x:row>
    <x:row r="53" ht="22" customHeight="1">
      <x:c r="A53" s="10"/>
      <x:c r="B53" s="10"/>
      <x:c r="C53" s="10"/>
      <x:c r="D53" s="10"/>
      <x:c r="E53" s="12"/>
      <x:c r="F53" s="12"/>
      <x:c r="G53" s="13"/>
      <x:c r="H53" s="11" t="str">
        <x:f>IF(A53="","",SUMIFS('Shipments'!$I$8:$I$207,'Shipments'!$D$8:$D$207,A53,'Shipments'!$C$8:$C$207,"Inbound"))</x:f>
      </x:c>
      <x:c r="I53" s="11" t="str">
        <x:f>IF(A53="","",MAX(0,E53-F53-H53))</x:f>
      </x:c>
      <x:c r="J53" s="11" t="str">
        <x:f>IF(A53="","",SUMIFS('Shipments'!$K$8:$K$207,'Shipments'!$D$8:$D$207,A53,'Shipments'!$C$8:$C$207,"Inbound"))</x:f>
      </x:c>
      <x:c r="K53" s="11" t="str">
        <x:f>IF(A53="","",MAX(0,I53-J53))</x:f>
      </x:c>
      <x:c r="L53" s="9" t="str">
        <x:f>IF(A53="","",IF(COUNTIFS('Orders'!$A$8:$A$207,A53)&lt;&gt;1,"Duplicate order line",IF(OR(B53="",C53=""),"Set PO and supplier",IF(COUNTIFS('Definitions'!$A$8:$A$207,D53)&lt;&gt;1,"Unknown / duplicate part",IF(VLOOKUP(D53,'Definitions'!$A$8:$J$207,3,FALSE)&lt;&gt;"Part","Order purchasable parts only",IF(OR(NOT(ISNUMBER(E53)),E53&lt;=0,MOD(E53,1)&lt;&gt;0,NOT(ISNUMBER(F53)),F53&lt;0,MOD(F53,1)&lt;&gt;0),"Invalid ordered / cancelled qty",IF(H53+F53&gt;E53,"Receipts exceed net order",IF(J53&gt;I53,"Transit exceeds outstanding qty","OK"))))))))</x:f>
      </x:c>
    </x:row>
    <x:row r="54" ht="22" customHeight="1">
      <x:c r="A54" s="10"/>
      <x:c r="B54" s="10"/>
      <x:c r="C54" s="10"/>
      <x:c r="D54" s="10"/>
      <x:c r="E54" s="12"/>
      <x:c r="F54" s="12"/>
      <x:c r="G54" s="13"/>
      <x:c r="H54" s="11" t="str">
        <x:f>IF(A54="","",SUMIFS('Shipments'!$I$8:$I$207,'Shipments'!$D$8:$D$207,A54,'Shipments'!$C$8:$C$207,"Inbound"))</x:f>
      </x:c>
      <x:c r="I54" s="11" t="str">
        <x:f>IF(A54="","",MAX(0,E54-F54-H54))</x:f>
      </x:c>
      <x:c r="J54" s="11" t="str">
        <x:f>IF(A54="","",SUMIFS('Shipments'!$K$8:$K$207,'Shipments'!$D$8:$D$207,A54,'Shipments'!$C$8:$C$207,"Inbound"))</x:f>
      </x:c>
      <x:c r="K54" s="11" t="str">
        <x:f>IF(A54="","",MAX(0,I54-J54))</x:f>
      </x:c>
      <x:c r="L54" s="9" t="str">
        <x:f>IF(A54="","",IF(COUNTIFS('Orders'!$A$8:$A$207,A54)&lt;&gt;1,"Duplicate order line",IF(OR(B54="",C54=""),"Set PO and supplier",IF(COUNTIFS('Definitions'!$A$8:$A$207,D54)&lt;&gt;1,"Unknown / duplicate part",IF(VLOOKUP(D54,'Definitions'!$A$8:$J$207,3,FALSE)&lt;&gt;"Part","Order purchasable parts only",IF(OR(NOT(ISNUMBER(E54)),E54&lt;=0,MOD(E54,1)&lt;&gt;0,NOT(ISNUMBER(F54)),F54&lt;0,MOD(F54,1)&lt;&gt;0),"Invalid ordered / cancelled qty",IF(H54+F54&gt;E54,"Receipts exceed net order",IF(J54&gt;I54,"Transit exceeds outstanding qty","OK"))))))))</x:f>
      </x:c>
    </x:row>
    <x:row r="55" ht="22" customHeight="1">
      <x:c r="A55" s="10"/>
      <x:c r="B55" s="10"/>
      <x:c r="C55" s="10"/>
      <x:c r="D55" s="10"/>
      <x:c r="E55" s="12"/>
      <x:c r="F55" s="12"/>
      <x:c r="G55" s="13"/>
      <x:c r="H55" s="11" t="str">
        <x:f>IF(A55="","",SUMIFS('Shipments'!$I$8:$I$207,'Shipments'!$D$8:$D$207,A55,'Shipments'!$C$8:$C$207,"Inbound"))</x:f>
      </x:c>
      <x:c r="I55" s="11" t="str">
        <x:f>IF(A55="","",MAX(0,E55-F55-H55))</x:f>
      </x:c>
      <x:c r="J55" s="11" t="str">
        <x:f>IF(A55="","",SUMIFS('Shipments'!$K$8:$K$207,'Shipments'!$D$8:$D$207,A55,'Shipments'!$C$8:$C$207,"Inbound"))</x:f>
      </x:c>
      <x:c r="K55" s="11" t="str">
        <x:f>IF(A55="","",MAX(0,I55-J55))</x:f>
      </x:c>
      <x:c r="L55" s="9" t="str">
        <x:f>IF(A55="","",IF(COUNTIFS('Orders'!$A$8:$A$207,A55)&lt;&gt;1,"Duplicate order line",IF(OR(B55="",C55=""),"Set PO and supplier",IF(COUNTIFS('Definitions'!$A$8:$A$207,D55)&lt;&gt;1,"Unknown / duplicate part",IF(VLOOKUP(D55,'Definitions'!$A$8:$J$207,3,FALSE)&lt;&gt;"Part","Order purchasable parts only",IF(OR(NOT(ISNUMBER(E55)),E55&lt;=0,MOD(E55,1)&lt;&gt;0,NOT(ISNUMBER(F55)),F55&lt;0,MOD(F55,1)&lt;&gt;0),"Invalid ordered / cancelled qty",IF(H55+F55&gt;E55,"Receipts exceed net order",IF(J55&gt;I55,"Transit exceeds outstanding qty","OK"))))))))</x:f>
      </x:c>
    </x:row>
    <x:row r="56" ht="22" customHeight="1">
      <x:c r="A56" s="10"/>
      <x:c r="B56" s="10"/>
      <x:c r="C56" s="10"/>
      <x:c r="D56" s="10"/>
      <x:c r="E56" s="12"/>
      <x:c r="F56" s="12"/>
      <x:c r="G56" s="13"/>
      <x:c r="H56" s="11" t="str">
        <x:f>IF(A56="","",SUMIFS('Shipments'!$I$8:$I$207,'Shipments'!$D$8:$D$207,A56,'Shipments'!$C$8:$C$207,"Inbound"))</x:f>
      </x:c>
      <x:c r="I56" s="11" t="str">
        <x:f>IF(A56="","",MAX(0,E56-F56-H56))</x:f>
      </x:c>
      <x:c r="J56" s="11" t="str">
        <x:f>IF(A56="","",SUMIFS('Shipments'!$K$8:$K$207,'Shipments'!$D$8:$D$207,A56,'Shipments'!$C$8:$C$207,"Inbound"))</x:f>
      </x:c>
      <x:c r="K56" s="11" t="str">
        <x:f>IF(A56="","",MAX(0,I56-J56))</x:f>
      </x:c>
      <x:c r="L56" s="9" t="str">
        <x:f>IF(A56="","",IF(COUNTIFS('Orders'!$A$8:$A$207,A56)&lt;&gt;1,"Duplicate order line",IF(OR(B56="",C56=""),"Set PO and supplier",IF(COUNTIFS('Definitions'!$A$8:$A$207,D56)&lt;&gt;1,"Unknown / duplicate part",IF(VLOOKUP(D56,'Definitions'!$A$8:$J$207,3,FALSE)&lt;&gt;"Part","Order purchasable parts only",IF(OR(NOT(ISNUMBER(E56)),E56&lt;=0,MOD(E56,1)&lt;&gt;0,NOT(ISNUMBER(F56)),F56&lt;0,MOD(F56,1)&lt;&gt;0),"Invalid ordered / cancelled qty",IF(H56+F56&gt;E56,"Receipts exceed net order",IF(J56&gt;I56,"Transit exceeds outstanding qty","OK"))))))))</x:f>
      </x:c>
    </x:row>
    <x:row r="57" ht="22" customHeight="1">
      <x:c r="A57" s="10"/>
      <x:c r="B57" s="10"/>
      <x:c r="C57" s="10"/>
      <x:c r="D57" s="10"/>
      <x:c r="E57" s="12"/>
      <x:c r="F57" s="12"/>
      <x:c r="G57" s="13"/>
      <x:c r="H57" s="11" t="str">
        <x:f>IF(A57="","",SUMIFS('Shipments'!$I$8:$I$207,'Shipments'!$D$8:$D$207,A57,'Shipments'!$C$8:$C$207,"Inbound"))</x:f>
      </x:c>
      <x:c r="I57" s="11" t="str">
        <x:f>IF(A57="","",MAX(0,E57-F57-H57))</x:f>
      </x:c>
      <x:c r="J57" s="11" t="str">
        <x:f>IF(A57="","",SUMIFS('Shipments'!$K$8:$K$207,'Shipments'!$D$8:$D$207,A57,'Shipments'!$C$8:$C$207,"Inbound"))</x:f>
      </x:c>
      <x:c r="K57" s="11" t="str">
        <x:f>IF(A57="","",MAX(0,I57-J57))</x:f>
      </x:c>
      <x:c r="L57" s="9" t="str">
        <x:f>IF(A57="","",IF(COUNTIFS('Orders'!$A$8:$A$207,A57)&lt;&gt;1,"Duplicate order line",IF(OR(B57="",C57=""),"Set PO and supplier",IF(COUNTIFS('Definitions'!$A$8:$A$207,D57)&lt;&gt;1,"Unknown / duplicate part",IF(VLOOKUP(D57,'Definitions'!$A$8:$J$207,3,FALSE)&lt;&gt;"Part","Order purchasable parts only",IF(OR(NOT(ISNUMBER(E57)),E57&lt;=0,MOD(E57,1)&lt;&gt;0,NOT(ISNUMBER(F57)),F57&lt;0,MOD(F57,1)&lt;&gt;0),"Invalid ordered / cancelled qty",IF(H57+F57&gt;E57,"Receipts exceed net order",IF(J57&gt;I57,"Transit exceeds outstanding qty","OK"))))))))</x:f>
      </x:c>
    </x:row>
    <x:row r="58" ht="22" customHeight="1">
      <x:c r="A58" s="10"/>
      <x:c r="B58" s="10"/>
      <x:c r="C58" s="10"/>
      <x:c r="D58" s="10"/>
      <x:c r="E58" s="12"/>
      <x:c r="F58" s="12"/>
      <x:c r="G58" s="13"/>
      <x:c r="H58" s="11" t="str">
        <x:f>IF(A58="","",SUMIFS('Shipments'!$I$8:$I$207,'Shipments'!$D$8:$D$207,A58,'Shipments'!$C$8:$C$207,"Inbound"))</x:f>
      </x:c>
      <x:c r="I58" s="11" t="str">
        <x:f>IF(A58="","",MAX(0,E58-F58-H58))</x:f>
      </x:c>
      <x:c r="J58" s="11" t="str">
        <x:f>IF(A58="","",SUMIFS('Shipments'!$K$8:$K$207,'Shipments'!$D$8:$D$207,A58,'Shipments'!$C$8:$C$207,"Inbound"))</x:f>
      </x:c>
      <x:c r="K58" s="11" t="str">
        <x:f>IF(A58="","",MAX(0,I58-J58))</x:f>
      </x:c>
      <x:c r="L58" s="9" t="str">
        <x:f>IF(A58="","",IF(COUNTIFS('Orders'!$A$8:$A$207,A58)&lt;&gt;1,"Duplicate order line",IF(OR(B58="",C58=""),"Set PO and supplier",IF(COUNTIFS('Definitions'!$A$8:$A$207,D58)&lt;&gt;1,"Unknown / duplicate part",IF(VLOOKUP(D58,'Definitions'!$A$8:$J$207,3,FALSE)&lt;&gt;"Part","Order purchasable parts only",IF(OR(NOT(ISNUMBER(E58)),E58&lt;=0,MOD(E58,1)&lt;&gt;0,NOT(ISNUMBER(F58)),F58&lt;0,MOD(F58,1)&lt;&gt;0),"Invalid ordered / cancelled qty",IF(H58+F58&gt;E58,"Receipts exceed net order",IF(J58&gt;I58,"Transit exceeds outstanding qty","OK"))))))))</x:f>
      </x:c>
    </x:row>
    <x:row r="59" ht="22" customHeight="1">
      <x:c r="A59" s="10"/>
      <x:c r="B59" s="10"/>
      <x:c r="C59" s="10"/>
      <x:c r="D59" s="10"/>
      <x:c r="E59" s="12"/>
      <x:c r="F59" s="12"/>
      <x:c r="G59" s="13"/>
      <x:c r="H59" s="11" t="str">
        <x:f>IF(A59="","",SUMIFS('Shipments'!$I$8:$I$207,'Shipments'!$D$8:$D$207,A59,'Shipments'!$C$8:$C$207,"Inbound"))</x:f>
      </x:c>
      <x:c r="I59" s="11" t="str">
        <x:f>IF(A59="","",MAX(0,E59-F59-H59))</x:f>
      </x:c>
      <x:c r="J59" s="11" t="str">
        <x:f>IF(A59="","",SUMIFS('Shipments'!$K$8:$K$207,'Shipments'!$D$8:$D$207,A59,'Shipments'!$C$8:$C$207,"Inbound"))</x:f>
      </x:c>
      <x:c r="K59" s="11" t="str">
        <x:f>IF(A59="","",MAX(0,I59-J59))</x:f>
      </x:c>
      <x:c r="L59" s="9" t="str">
        <x:f>IF(A59="","",IF(COUNTIFS('Orders'!$A$8:$A$207,A59)&lt;&gt;1,"Duplicate order line",IF(OR(B59="",C59=""),"Set PO and supplier",IF(COUNTIFS('Definitions'!$A$8:$A$207,D59)&lt;&gt;1,"Unknown / duplicate part",IF(VLOOKUP(D59,'Definitions'!$A$8:$J$207,3,FALSE)&lt;&gt;"Part","Order purchasable parts only",IF(OR(NOT(ISNUMBER(E59)),E59&lt;=0,MOD(E59,1)&lt;&gt;0,NOT(ISNUMBER(F59)),F59&lt;0,MOD(F59,1)&lt;&gt;0),"Invalid ordered / cancelled qty",IF(H59+F59&gt;E59,"Receipts exceed net order",IF(J59&gt;I59,"Transit exceeds outstanding qty","OK"))))))))</x:f>
      </x:c>
    </x:row>
    <x:row r="60" ht="22" customHeight="1">
      <x:c r="A60" s="10"/>
      <x:c r="B60" s="10"/>
      <x:c r="C60" s="10"/>
      <x:c r="D60" s="10"/>
      <x:c r="E60" s="12"/>
      <x:c r="F60" s="12"/>
      <x:c r="G60" s="13"/>
      <x:c r="H60" s="11" t="str">
        <x:f>IF(A60="","",SUMIFS('Shipments'!$I$8:$I$207,'Shipments'!$D$8:$D$207,A60,'Shipments'!$C$8:$C$207,"Inbound"))</x:f>
      </x:c>
      <x:c r="I60" s="11" t="str">
        <x:f>IF(A60="","",MAX(0,E60-F60-H60))</x:f>
      </x:c>
      <x:c r="J60" s="11" t="str">
        <x:f>IF(A60="","",SUMIFS('Shipments'!$K$8:$K$207,'Shipments'!$D$8:$D$207,A60,'Shipments'!$C$8:$C$207,"Inbound"))</x:f>
      </x:c>
      <x:c r="K60" s="11" t="str">
        <x:f>IF(A60="","",MAX(0,I60-J60))</x:f>
      </x:c>
      <x:c r="L60" s="9" t="str">
        <x:f>IF(A60="","",IF(COUNTIFS('Orders'!$A$8:$A$207,A60)&lt;&gt;1,"Duplicate order line",IF(OR(B60="",C60=""),"Set PO and supplier",IF(COUNTIFS('Definitions'!$A$8:$A$207,D60)&lt;&gt;1,"Unknown / duplicate part",IF(VLOOKUP(D60,'Definitions'!$A$8:$J$207,3,FALSE)&lt;&gt;"Part","Order purchasable parts only",IF(OR(NOT(ISNUMBER(E60)),E60&lt;=0,MOD(E60,1)&lt;&gt;0,NOT(ISNUMBER(F60)),F60&lt;0,MOD(F60,1)&lt;&gt;0),"Invalid ordered / cancelled qty",IF(H60+F60&gt;E60,"Receipts exceed net order",IF(J60&gt;I60,"Transit exceeds outstanding qty","OK"))))))))</x:f>
      </x:c>
    </x:row>
    <x:row r="61" ht="22" customHeight="1">
      <x:c r="A61" s="10"/>
      <x:c r="B61" s="10"/>
      <x:c r="C61" s="10"/>
      <x:c r="D61" s="10"/>
      <x:c r="E61" s="12"/>
      <x:c r="F61" s="12"/>
      <x:c r="G61" s="13"/>
      <x:c r="H61" s="11" t="str">
        <x:f>IF(A61="","",SUMIFS('Shipments'!$I$8:$I$207,'Shipments'!$D$8:$D$207,A61,'Shipments'!$C$8:$C$207,"Inbound"))</x:f>
      </x:c>
      <x:c r="I61" s="11" t="str">
        <x:f>IF(A61="","",MAX(0,E61-F61-H61))</x:f>
      </x:c>
      <x:c r="J61" s="11" t="str">
        <x:f>IF(A61="","",SUMIFS('Shipments'!$K$8:$K$207,'Shipments'!$D$8:$D$207,A61,'Shipments'!$C$8:$C$207,"Inbound"))</x:f>
      </x:c>
      <x:c r="K61" s="11" t="str">
        <x:f>IF(A61="","",MAX(0,I61-J61))</x:f>
      </x:c>
      <x:c r="L61" s="9" t="str">
        <x:f>IF(A61="","",IF(COUNTIFS('Orders'!$A$8:$A$207,A61)&lt;&gt;1,"Duplicate order line",IF(OR(B61="",C61=""),"Set PO and supplier",IF(COUNTIFS('Definitions'!$A$8:$A$207,D61)&lt;&gt;1,"Unknown / duplicate part",IF(VLOOKUP(D61,'Definitions'!$A$8:$J$207,3,FALSE)&lt;&gt;"Part","Order purchasable parts only",IF(OR(NOT(ISNUMBER(E61)),E61&lt;=0,MOD(E61,1)&lt;&gt;0,NOT(ISNUMBER(F61)),F61&lt;0,MOD(F61,1)&lt;&gt;0),"Invalid ordered / cancelled qty",IF(H61+F61&gt;E61,"Receipts exceed net order",IF(J61&gt;I61,"Transit exceeds outstanding qty","OK"))))))))</x:f>
      </x:c>
    </x:row>
    <x:row r="62" ht="22" customHeight="1">
      <x:c r="A62" s="10"/>
      <x:c r="B62" s="10"/>
      <x:c r="C62" s="10"/>
      <x:c r="D62" s="10"/>
      <x:c r="E62" s="12"/>
      <x:c r="F62" s="12"/>
      <x:c r="G62" s="13"/>
      <x:c r="H62" s="11" t="str">
        <x:f>IF(A62="","",SUMIFS('Shipments'!$I$8:$I$207,'Shipments'!$D$8:$D$207,A62,'Shipments'!$C$8:$C$207,"Inbound"))</x:f>
      </x:c>
      <x:c r="I62" s="11" t="str">
        <x:f>IF(A62="","",MAX(0,E62-F62-H62))</x:f>
      </x:c>
      <x:c r="J62" s="11" t="str">
        <x:f>IF(A62="","",SUMIFS('Shipments'!$K$8:$K$207,'Shipments'!$D$8:$D$207,A62,'Shipments'!$C$8:$C$207,"Inbound"))</x:f>
      </x:c>
      <x:c r="K62" s="11" t="str">
        <x:f>IF(A62="","",MAX(0,I62-J62))</x:f>
      </x:c>
      <x:c r="L62" s="9" t="str">
        <x:f>IF(A62="","",IF(COUNTIFS('Orders'!$A$8:$A$207,A62)&lt;&gt;1,"Duplicate order line",IF(OR(B62="",C62=""),"Set PO and supplier",IF(COUNTIFS('Definitions'!$A$8:$A$207,D62)&lt;&gt;1,"Unknown / duplicate part",IF(VLOOKUP(D62,'Definitions'!$A$8:$J$207,3,FALSE)&lt;&gt;"Part","Order purchasable parts only",IF(OR(NOT(ISNUMBER(E62)),E62&lt;=0,MOD(E62,1)&lt;&gt;0,NOT(ISNUMBER(F62)),F62&lt;0,MOD(F62,1)&lt;&gt;0),"Invalid ordered / cancelled qty",IF(H62+F62&gt;E62,"Receipts exceed net order",IF(J62&gt;I62,"Transit exceeds outstanding qty","OK"))))))))</x:f>
      </x:c>
    </x:row>
    <x:row r="63" ht="22" customHeight="1">
      <x:c r="A63" s="10"/>
      <x:c r="B63" s="10"/>
      <x:c r="C63" s="10"/>
      <x:c r="D63" s="10"/>
      <x:c r="E63" s="12"/>
      <x:c r="F63" s="12"/>
      <x:c r="G63" s="13"/>
      <x:c r="H63" s="11" t="str">
        <x:f>IF(A63="","",SUMIFS('Shipments'!$I$8:$I$207,'Shipments'!$D$8:$D$207,A63,'Shipments'!$C$8:$C$207,"Inbound"))</x:f>
      </x:c>
      <x:c r="I63" s="11" t="str">
        <x:f>IF(A63="","",MAX(0,E63-F63-H63))</x:f>
      </x:c>
      <x:c r="J63" s="11" t="str">
        <x:f>IF(A63="","",SUMIFS('Shipments'!$K$8:$K$207,'Shipments'!$D$8:$D$207,A63,'Shipments'!$C$8:$C$207,"Inbound"))</x:f>
      </x:c>
      <x:c r="K63" s="11" t="str">
        <x:f>IF(A63="","",MAX(0,I63-J63))</x:f>
      </x:c>
      <x:c r="L63" s="9" t="str">
        <x:f>IF(A63="","",IF(COUNTIFS('Orders'!$A$8:$A$207,A63)&lt;&gt;1,"Duplicate order line",IF(OR(B63="",C63=""),"Set PO and supplier",IF(COUNTIFS('Definitions'!$A$8:$A$207,D63)&lt;&gt;1,"Unknown / duplicate part",IF(VLOOKUP(D63,'Definitions'!$A$8:$J$207,3,FALSE)&lt;&gt;"Part","Order purchasable parts only",IF(OR(NOT(ISNUMBER(E63)),E63&lt;=0,MOD(E63,1)&lt;&gt;0,NOT(ISNUMBER(F63)),F63&lt;0,MOD(F63,1)&lt;&gt;0),"Invalid ordered / cancelled qty",IF(H63+F63&gt;E63,"Receipts exceed net order",IF(J63&gt;I63,"Transit exceeds outstanding qty","OK"))))))))</x:f>
      </x:c>
    </x:row>
    <x:row r="64" ht="22" customHeight="1">
      <x:c r="A64" s="10"/>
      <x:c r="B64" s="10"/>
      <x:c r="C64" s="10"/>
      <x:c r="D64" s="10"/>
      <x:c r="E64" s="12"/>
      <x:c r="F64" s="12"/>
      <x:c r="G64" s="13"/>
      <x:c r="H64" s="11" t="str">
        <x:f>IF(A64="","",SUMIFS('Shipments'!$I$8:$I$207,'Shipments'!$D$8:$D$207,A64,'Shipments'!$C$8:$C$207,"Inbound"))</x:f>
      </x:c>
      <x:c r="I64" s="11" t="str">
        <x:f>IF(A64="","",MAX(0,E64-F64-H64))</x:f>
      </x:c>
      <x:c r="J64" s="11" t="str">
        <x:f>IF(A64="","",SUMIFS('Shipments'!$K$8:$K$207,'Shipments'!$D$8:$D$207,A64,'Shipments'!$C$8:$C$207,"Inbound"))</x:f>
      </x:c>
      <x:c r="K64" s="11" t="str">
        <x:f>IF(A64="","",MAX(0,I64-J64))</x:f>
      </x:c>
      <x:c r="L64" s="9" t="str">
        <x:f>IF(A64="","",IF(COUNTIFS('Orders'!$A$8:$A$207,A64)&lt;&gt;1,"Duplicate order line",IF(OR(B64="",C64=""),"Set PO and supplier",IF(COUNTIFS('Definitions'!$A$8:$A$207,D64)&lt;&gt;1,"Unknown / duplicate part",IF(VLOOKUP(D64,'Definitions'!$A$8:$J$207,3,FALSE)&lt;&gt;"Part","Order purchasable parts only",IF(OR(NOT(ISNUMBER(E64)),E64&lt;=0,MOD(E64,1)&lt;&gt;0,NOT(ISNUMBER(F64)),F64&lt;0,MOD(F64,1)&lt;&gt;0),"Invalid ordered / cancelled qty",IF(H64+F64&gt;E64,"Receipts exceed net order",IF(J64&gt;I64,"Transit exceeds outstanding qty","OK"))))))))</x:f>
      </x:c>
    </x:row>
    <x:row r="65" ht="22" customHeight="1">
      <x:c r="A65" s="10"/>
      <x:c r="B65" s="10"/>
      <x:c r="C65" s="10"/>
      <x:c r="D65" s="10"/>
      <x:c r="E65" s="12"/>
      <x:c r="F65" s="12"/>
      <x:c r="G65" s="13"/>
      <x:c r="H65" s="11" t="str">
        <x:f>IF(A65="","",SUMIFS('Shipments'!$I$8:$I$207,'Shipments'!$D$8:$D$207,A65,'Shipments'!$C$8:$C$207,"Inbound"))</x:f>
      </x:c>
      <x:c r="I65" s="11" t="str">
        <x:f>IF(A65="","",MAX(0,E65-F65-H65))</x:f>
      </x:c>
      <x:c r="J65" s="11" t="str">
        <x:f>IF(A65="","",SUMIFS('Shipments'!$K$8:$K$207,'Shipments'!$D$8:$D$207,A65,'Shipments'!$C$8:$C$207,"Inbound"))</x:f>
      </x:c>
      <x:c r="K65" s="11" t="str">
        <x:f>IF(A65="","",MAX(0,I65-J65))</x:f>
      </x:c>
      <x:c r="L65" s="9" t="str">
        <x:f>IF(A65="","",IF(COUNTIFS('Orders'!$A$8:$A$207,A65)&lt;&gt;1,"Duplicate order line",IF(OR(B65="",C65=""),"Set PO and supplier",IF(COUNTIFS('Definitions'!$A$8:$A$207,D65)&lt;&gt;1,"Unknown / duplicate part",IF(VLOOKUP(D65,'Definitions'!$A$8:$J$207,3,FALSE)&lt;&gt;"Part","Order purchasable parts only",IF(OR(NOT(ISNUMBER(E65)),E65&lt;=0,MOD(E65,1)&lt;&gt;0,NOT(ISNUMBER(F65)),F65&lt;0,MOD(F65,1)&lt;&gt;0),"Invalid ordered / cancelled qty",IF(H65+F65&gt;E65,"Receipts exceed net order",IF(J65&gt;I65,"Transit exceeds outstanding qty","OK"))))))))</x:f>
      </x:c>
    </x:row>
    <x:row r="66" ht="22" customHeight="1">
      <x:c r="A66" s="10"/>
      <x:c r="B66" s="10"/>
      <x:c r="C66" s="10"/>
      <x:c r="D66" s="10"/>
      <x:c r="E66" s="12"/>
      <x:c r="F66" s="12"/>
      <x:c r="G66" s="13"/>
      <x:c r="H66" s="11" t="str">
        <x:f>IF(A66="","",SUMIFS('Shipments'!$I$8:$I$207,'Shipments'!$D$8:$D$207,A66,'Shipments'!$C$8:$C$207,"Inbound"))</x:f>
      </x:c>
      <x:c r="I66" s="11" t="str">
        <x:f>IF(A66="","",MAX(0,E66-F66-H66))</x:f>
      </x:c>
      <x:c r="J66" s="11" t="str">
        <x:f>IF(A66="","",SUMIFS('Shipments'!$K$8:$K$207,'Shipments'!$D$8:$D$207,A66,'Shipments'!$C$8:$C$207,"Inbound"))</x:f>
      </x:c>
      <x:c r="K66" s="11" t="str">
        <x:f>IF(A66="","",MAX(0,I66-J66))</x:f>
      </x:c>
      <x:c r="L66" s="9" t="str">
        <x:f>IF(A66="","",IF(COUNTIFS('Orders'!$A$8:$A$207,A66)&lt;&gt;1,"Duplicate order line",IF(OR(B66="",C66=""),"Set PO and supplier",IF(COUNTIFS('Definitions'!$A$8:$A$207,D66)&lt;&gt;1,"Unknown / duplicate part",IF(VLOOKUP(D66,'Definitions'!$A$8:$J$207,3,FALSE)&lt;&gt;"Part","Order purchasable parts only",IF(OR(NOT(ISNUMBER(E66)),E66&lt;=0,MOD(E66,1)&lt;&gt;0,NOT(ISNUMBER(F66)),F66&lt;0,MOD(F66,1)&lt;&gt;0),"Invalid ordered / cancelled qty",IF(H66+F66&gt;E66,"Receipts exceed net order",IF(J66&gt;I66,"Transit exceeds outstanding qty","OK"))))))))</x:f>
      </x:c>
    </x:row>
    <x:row r="67" ht="22" customHeight="1">
      <x:c r="A67" s="10"/>
      <x:c r="B67" s="10"/>
      <x:c r="C67" s="10"/>
      <x:c r="D67" s="10"/>
      <x:c r="E67" s="12"/>
      <x:c r="F67" s="12"/>
      <x:c r="G67" s="13"/>
      <x:c r="H67" s="11" t="str">
        <x:f>IF(A67="","",SUMIFS('Shipments'!$I$8:$I$207,'Shipments'!$D$8:$D$207,A67,'Shipments'!$C$8:$C$207,"Inbound"))</x:f>
      </x:c>
      <x:c r="I67" s="11" t="str">
        <x:f>IF(A67="","",MAX(0,E67-F67-H67))</x:f>
      </x:c>
      <x:c r="J67" s="11" t="str">
        <x:f>IF(A67="","",SUMIFS('Shipments'!$K$8:$K$207,'Shipments'!$D$8:$D$207,A67,'Shipments'!$C$8:$C$207,"Inbound"))</x:f>
      </x:c>
      <x:c r="K67" s="11" t="str">
        <x:f>IF(A67="","",MAX(0,I67-J67))</x:f>
      </x:c>
      <x:c r="L67" s="9" t="str">
        <x:f>IF(A67="","",IF(COUNTIFS('Orders'!$A$8:$A$207,A67)&lt;&gt;1,"Duplicate order line",IF(OR(B67="",C67=""),"Set PO and supplier",IF(COUNTIFS('Definitions'!$A$8:$A$207,D67)&lt;&gt;1,"Unknown / duplicate part",IF(VLOOKUP(D67,'Definitions'!$A$8:$J$207,3,FALSE)&lt;&gt;"Part","Order purchasable parts only",IF(OR(NOT(ISNUMBER(E67)),E67&lt;=0,MOD(E67,1)&lt;&gt;0,NOT(ISNUMBER(F67)),F67&lt;0,MOD(F67,1)&lt;&gt;0),"Invalid ordered / cancelled qty",IF(H67+F67&gt;E67,"Receipts exceed net order",IF(J67&gt;I67,"Transit exceeds outstanding qty","OK"))))))))</x:f>
      </x:c>
    </x:row>
    <x:row r="68" ht="22" customHeight="1">
      <x:c r="A68" s="10"/>
      <x:c r="B68" s="10"/>
      <x:c r="C68" s="10"/>
      <x:c r="D68" s="10"/>
      <x:c r="E68" s="12"/>
      <x:c r="F68" s="12"/>
      <x:c r="G68" s="13"/>
      <x:c r="H68" s="11" t="str">
        <x:f>IF(A68="","",SUMIFS('Shipments'!$I$8:$I$207,'Shipments'!$D$8:$D$207,A68,'Shipments'!$C$8:$C$207,"Inbound"))</x:f>
      </x:c>
      <x:c r="I68" s="11" t="str">
        <x:f>IF(A68="","",MAX(0,E68-F68-H68))</x:f>
      </x:c>
      <x:c r="J68" s="11" t="str">
        <x:f>IF(A68="","",SUMIFS('Shipments'!$K$8:$K$207,'Shipments'!$D$8:$D$207,A68,'Shipments'!$C$8:$C$207,"Inbound"))</x:f>
      </x:c>
      <x:c r="K68" s="11" t="str">
        <x:f>IF(A68="","",MAX(0,I68-J68))</x:f>
      </x:c>
      <x:c r="L68" s="9" t="str">
        <x:f>IF(A68="","",IF(COUNTIFS('Orders'!$A$8:$A$207,A68)&lt;&gt;1,"Duplicate order line",IF(OR(B68="",C68=""),"Set PO and supplier",IF(COUNTIFS('Definitions'!$A$8:$A$207,D68)&lt;&gt;1,"Unknown / duplicate part",IF(VLOOKUP(D68,'Definitions'!$A$8:$J$207,3,FALSE)&lt;&gt;"Part","Order purchasable parts only",IF(OR(NOT(ISNUMBER(E68)),E68&lt;=0,MOD(E68,1)&lt;&gt;0,NOT(ISNUMBER(F68)),F68&lt;0,MOD(F68,1)&lt;&gt;0),"Invalid ordered / cancelled qty",IF(H68+F68&gt;E68,"Receipts exceed net order",IF(J68&gt;I68,"Transit exceeds outstanding qty","OK"))))))))</x:f>
      </x:c>
    </x:row>
    <x:row r="69" ht="22" customHeight="1">
      <x:c r="A69" s="10"/>
      <x:c r="B69" s="10"/>
      <x:c r="C69" s="10"/>
      <x:c r="D69" s="10"/>
      <x:c r="E69" s="12"/>
      <x:c r="F69" s="12"/>
      <x:c r="G69" s="13"/>
      <x:c r="H69" s="11" t="str">
        <x:f>IF(A69="","",SUMIFS('Shipments'!$I$8:$I$207,'Shipments'!$D$8:$D$207,A69,'Shipments'!$C$8:$C$207,"Inbound"))</x:f>
      </x:c>
      <x:c r="I69" s="11" t="str">
        <x:f>IF(A69="","",MAX(0,E69-F69-H69))</x:f>
      </x:c>
      <x:c r="J69" s="11" t="str">
        <x:f>IF(A69="","",SUMIFS('Shipments'!$K$8:$K$207,'Shipments'!$D$8:$D$207,A69,'Shipments'!$C$8:$C$207,"Inbound"))</x:f>
      </x:c>
      <x:c r="K69" s="11" t="str">
        <x:f>IF(A69="","",MAX(0,I69-J69))</x:f>
      </x:c>
      <x:c r="L69" s="9" t="str">
        <x:f>IF(A69="","",IF(COUNTIFS('Orders'!$A$8:$A$207,A69)&lt;&gt;1,"Duplicate order line",IF(OR(B69="",C69=""),"Set PO and supplier",IF(COUNTIFS('Definitions'!$A$8:$A$207,D69)&lt;&gt;1,"Unknown / duplicate part",IF(VLOOKUP(D69,'Definitions'!$A$8:$J$207,3,FALSE)&lt;&gt;"Part","Order purchasable parts only",IF(OR(NOT(ISNUMBER(E69)),E69&lt;=0,MOD(E69,1)&lt;&gt;0,NOT(ISNUMBER(F69)),F69&lt;0,MOD(F69,1)&lt;&gt;0),"Invalid ordered / cancelled qty",IF(H69+F69&gt;E69,"Receipts exceed net order",IF(J69&gt;I69,"Transit exceeds outstanding qty","OK"))))))))</x:f>
      </x:c>
    </x:row>
    <x:row r="70" ht="22" customHeight="1">
      <x:c r="A70" s="10"/>
      <x:c r="B70" s="10"/>
      <x:c r="C70" s="10"/>
      <x:c r="D70" s="10"/>
      <x:c r="E70" s="12"/>
      <x:c r="F70" s="12"/>
      <x:c r="G70" s="13"/>
      <x:c r="H70" s="11" t="str">
        <x:f>IF(A70="","",SUMIFS('Shipments'!$I$8:$I$207,'Shipments'!$D$8:$D$207,A70,'Shipments'!$C$8:$C$207,"Inbound"))</x:f>
      </x:c>
      <x:c r="I70" s="11" t="str">
        <x:f>IF(A70="","",MAX(0,E70-F70-H70))</x:f>
      </x:c>
      <x:c r="J70" s="11" t="str">
        <x:f>IF(A70="","",SUMIFS('Shipments'!$K$8:$K$207,'Shipments'!$D$8:$D$207,A70,'Shipments'!$C$8:$C$207,"Inbound"))</x:f>
      </x:c>
      <x:c r="K70" s="11" t="str">
        <x:f>IF(A70="","",MAX(0,I70-J70))</x:f>
      </x:c>
      <x:c r="L70" s="9" t="str">
        <x:f>IF(A70="","",IF(COUNTIFS('Orders'!$A$8:$A$207,A70)&lt;&gt;1,"Duplicate order line",IF(OR(B70="",C70=""),"Set PO and supplier",IF(COUNTIFS('Definitions'!$A$8:$A$207,D70)&lt;&gt;1,"Unknown / duplicate part",IF(VLOOKUP(D70,'Definitions'!$A$8:$J$207,3,FALSE)&lt;&gt;"Part","Order purchasable parts only",IF(OR(NOT(ISNUMBER(E70)),E70&lt;=0,MOD(E70,1)&lt;&gt;0,NOT(ISNUMBER(F70)),F70&lt;0,MOD(F70,1)&lt;&gt;0),"Invalid ordered / cancelled qty",IF(H70+F70&gt;E70,"Receipts exceed net order",IF(J70&gt;I70,"Transit exceeds outstanding qty","OK"))))))))</x:f>
      </x:c>
    </x:row>
    <x:row r="71" ht="22" customHeight="1">
      <x:c r="A71" s="10"/>
      <x:c r="B71" s="10"/>
      <x:c r="C71" s="10"/>
      <x:c r="D71" s="10"/>
      <x:c r="E71" s="12"/>
      <x:c r="F71" s="12"/>
      <x:c r="G71" s="13"/>
      <x:c r="H71" s="11" t="str">
        <x:f>IF(A71="","",SUMIFS('Shipments'!$I$8:$I$207,'Shipments'!$D$8:$D$207,A71,'Shipments'!$C$8:$C$207,"Inbound"))</x:f>
      </x:c>
      <x:c r="I71" s="11" t="str">
        <x:f>IF(A71="","",MAX(0,E71-F71-H71))</x:f>
      </x:c>
      <x:c r="J71" s="11" t="str">
        <x:f>IF(A71="","",SUMIFS('Shipments'!$K$8:$K$207,'Shipments'!$D$8:$D$207,A71,'Shipments'!$C$8:$C$207,"Inbound"))</x:f>
      </x:c>
      <x:c r="K71" s="11" t="str">
        <x:f>IF(A71="","",MAX(0,I71-J71))</x:f>
      </x:c>
      <x:c r="L71" s="9" t="str">
        <x:f>IF(A71="","",IF(COUNTIFS('Orders'!$A$8:$A$207,A71)&lt;&gt;1,"Duplicate order line",IF(OR(B71="",C71=""),"Set PO and supplier",IF(COUNTIFS('Definitions'!$A$8:$A$207,D71)&lt;&gt;1,"Unknown / duplicate part",IF(VLOOKUP(D71,'Definitions'!$A$8:$J$207,3,FALSE)&lt;&gt;"Part","Order purchasable parts only",IF(OR(NOT(ISNUMBER(E71)),E71&lt;=0,MOD(E71,1)&lt;&gt;0,NOT(ISNUMBER(F71)),F71&lt;0,MOD(F71,1)&lt;&gt;0),"Invalid ordered / cancelled qty",IF(H71+F71&gt;E71,"Receipts exceed net order",IF(J71&gt;I71,"Transit exceeds outstanding qty","OK"))))))))</x:f>
      </x:c>
    </x:row>
    <x:row r="72" ht="22" customHeight="1">
      <x:c r="A72" s="10"/>
      <x:c r="B72" s="10"/>
      <x:c r="C72" s="10"/>
      <x:c r="D72" s="10"/>
      <x:c r="E72" s="12"/>
      <x:c r="F72" s="12"/>
      <x:c r="G72" s="13"/>
      <x:c r="H72" s="11" t="str">
        <x:f>IF(A72="","",SUMIFS('Shipments'!$I$8:$I$207,'Shipments'!$D$8:$D$207,A72,'Shipments'!$C$8:$C$207,"Inbound"))</x:f>
      </x:c>
      <x:c r="I72" s="11" t="str">
        <x:f>IF(A72="","",MAX(0,E72-F72-H72))</x:f>
      </x:c>
      <x:c r="J72" s="11" t="str">
        <x:f>IF(A72="","",SUMIFS('Shipments'!$K$8:$K$207,'Shipments'!$D$8:$D$207,A72,'Shipments'!$C$8:$C$207,"Inbound"))</x:f>
      </x:c>
      <x:c r="K72" s="11" t="str">
        <x:f>IF(A72="","",MAX(0,I72-J72))</x:f>
      </x:c>
      <x:c r="L72" s="9" t="str">
        <x:f>IF(A72="","",IF(COUNTIFS('Orders'!$A$8:$A$207,A72)&lt;&gt;1,"Duplicate order line",IF(OR(B72="",C72=""),"Set PO and supplier",IF(COUNTIFS('Definitions'!$A$8:$A$207,D72)&lt;&gt;1,"Unknown / duplicate part",IF(VLOOKUP(D72,'Definitions'!$A$8:$J$207,3,FALSE)&lt;&gt;"Part","Order purchasable parts only",IF(OR(NOT(ISNUMBER(E72)),E72&lt;=0,MOD(E72,1)&lt;&gt;0,NOT(ISNUMBER(F72)),F72&lt;0,MOD(F72,1)&lt;&gt;0),"Invalid ordered / cancelled qty",IF(H72+F72&gt;E72,"Receipts exceed net order",IF(J72&gt;I72,"Transit exceeds outstanding qty","OK"))))))))</x:f>
      </x:c>
    </x:row>
    <x:row r="73" ht="22" customHeight="1">
      <x:c r="A73" s="10"/>
      <x:c r="B73" s="10"/>
      <x:c r="C73" s="10"/>
      <x:c r="D73" s="10"/>
      <x:c r="E73" s="12"/>
      <x:c r="F73" s="12"/>
      <x:c r="G73" s="13"/>
      <x:c r="H73" s="11" t="str">
        <x:f>IF(A73="","",SUMIFS('Shipments'!$I$8:$I$207,'Shipments'!$D$8:$D$207,A73,'Shipments'!$C$8:$C$207,"Inbound"))</x:f>
      </x:c>
      <x:c r="I73" s="11" t="str">
        <x:f>IF(A73="","",MAX(0,E73-F73-H73))</x:f>
      </x:c>
      <x:c r="J73" s="11" t="str">
        <x:f>IF(A73="","",SUMIFS('Shipments'!$K$8:$K$207,'Shipments'!$D$8:$D$207,A73,'Shipments'!$C$8:$C$207,"Inbound"))</x:f>
      </x:c>
      <x:c r="K73" s="11" t="str">
        <x:f>IF(A73="","",MAX(0,I73-J73))</x:f>
      </x:c>
      <x:c r="L73" s="9" t="str">
        <x:f>IF(A73="","",IF(COUNTIFS('Orders'!$A$8:$A$207,A73)&lt;&gt;1,"Duplicate order line",IF(OR(B73="",C73=""),"Set PO and supplier",IF(COUNTIFS('Definitions'!$A$8:$A$207,D73)&lt;&gt;1,"Unknown / duplicate part",IF(VLOOKUP(D73,'Definitions'!$A$8:$J$207,3,FALSE)&lt;&gt;"Part","Order purchasable parts only",IF(OR(NOT(ISNUMBER(E73)),E73&lt;=0,MOD(E73,1)&lt;&gt;0,NOT(ISNUMBER(F73)),F73&lt;0,MOD(F73,1)&lt;&gt;0),"Invalid ordered / cancelled qty",IF(H73+F73&gt;E73,"Receipts exceed net order",IF(J73&gt;I73,"Transit exceeds outstanding qty","OK"))))))))</x:f>
      </x:c>
    </x:row>
    <x:row r="74" ht="22" customHeight="1">
      <x:c r="A74" s="10"/>
      <x:c r="B74" s="10"/>
      <x:c r="C74" s="10"/>
      <x:c r="D74" s="10"/>
      <x:c r="E74" s="12"/>
      <x:c r="F74" s="12"/>
      <x:c r="G74" s="13"/>
      <x:c r="H74" s="11" t="str">
        <x:f>IF(A74="","",SUMIFS('Shipments'!$I$8:$I$207,'Shipments'!$D$8:$D$207,A74,'Shipments'!$C$8:$C$207,"Inbound"))</x:f>
      </x:c>
      <x:c r="I74" s="11" t="str">
        <x:f>IF(A74="","",MAX(0,E74-F74-H74))</x:f>
      </x:c>
      <x:c r="J74" s="11" t="str">
        <x:f>IF(A74="","",SUMIFS('Shipments'!$K$8:$K$207,'Shipments'!$D$8:$D$207,A74,'Shipments'!$C$8:$C$207,"Inbound"))</x:f>
      </x:c>
      <x:c r="K74" s="11" t="str">
        <x:f>IF(A74="","",MAX(0,I74-J74))</x:f>
      </x:c>
      <x:c r="L74" s="9" t="str">
        <x:f>IF(A74="","",IF(COUNTIFS('Orders'!$A$8:$A$207,A74)&lt;&gt;1,"Duplicate order line",IF(OR(B74="",C74=""),"Set PO and supplier",IF(COUNTIFS('Definitions'!$A$8:$A$207,D74)&lt;&gt;1,"Unknown / duplicate part",IF(VLOOKUP(D74,'Definitions'!$A$8:$J$207,3,FALSE)&lt;&gt;"Part","Order purchasable parts only",IF(OR(NOT(ISNUMBER(E74)),E74&lt;=0,MOD(E74,1)&lt;&gt;0,NOT(ISNUMBER(F74)),F74&lt;0,MOD(F74,1)&lt;&gt;0),"Invalid ordered / cancelled qty",IF(H74+F74&gt;E74,"Receipts exceed net order",IF(J74&gt;I74,"Transit exceeds outstanding qty","OK"))))))))</x:f>
      </x:c>
    </x:row>
    <x:row r="75" ht="22" customHeight="1">
      <x:c r="A75" s="10"/>
      <x:c r="B75" s="10"/>
      <x:c r="C75" s="10"/>
      <x:c r="D75" s="10"/>
      <x:c r="E75" s="12"/>
      <x:c r="F75" s="12"/>
      <x:c r="G75" s="13"/>
      <x:c r="H75" s="11" t="str">
        <x:f>IF(A75="","",SUMIFS('Shipments'!$I$8:$I$207,'Shipments'!$D$8:$D$207,A75,'Shipments'!$C$8:$C$207,"Inbound"))</x:f>
      </x:c>
      <x:c r="I75" s="11" t="str">
        <x:f>IF(A75="","",MAX(0,E75-F75-H75))</x:f>
      </x:c>
      <x:c r="J75" s="11" t="str">
        <x:f>IF(A75="","",SUMIFS('Shipments'!$K$8:$K$207,'Shipments'!$D$8:$D$207,A75,'Shipments'!$C$8:$C$207,"Inbound"))</x:f>
      </x:c>
      <x:c r="K75" s="11" t="str">
        <x:f>IF(A75="","",MAX(0,I75-J75))</x:f>
      </x:c>
      <x:c r="L75" s="9" t="str">
        <x:f>IF(A75="","",IF(COUNTIFS('Orders'!$A$8:$A$207,A75)&lt;&gt;1,"Duplicate order line",IF(OR(B75="",C75=""),"Set PO and supplier",IF(COUNTIFS('Definitions'!$A$8:$A$207,D75)&lt;&gt;1,"Unknown / duplicate part",IF(VLOOKUP(D75,'Definitions'!$A$8:$J$207,3,FALSE)&lt;&gt;"Part","Order purchasable parts only",IF(OR(NOT(ISNUMBER(E75)),E75&lt;=0,MOD(E75,1)&lt;&gt;0,NOT(ISNUMBER(F75)),F75&lt;0,MOD(F75,1)&lt;&gt;0),"Invalid ordered / cancelled qty",IF(H75+F75&gt;E75,"Receipts exceed net order",IF(J75&gt;I75,"Transit exceeds outstanding qty","OK"))))))))</x:f>
      </x:c>
    </x:row>
    <x:row r="76" ht="22" customHeight="1">
      <x:c r="A76" s="10"/>
      <x:c r="B76" s="10"/>
      <x:c r="C76" s="10"/>
      <x:c r="D76" s="10"/>
      <x:c r="E76" s="12"/>
      <x:c r="F76" s="12"/>
      <x:c r="G76" s="13"/>
      <x:c r="H76" s="11" t="str">
        <x:f>IF(A76="","",SUMIFS('Shipments'!$I$8:$I$207,'Shipments'!$D$8:$D$207,A76,'Shipments'!$C$8:$C$207,"Inbound"))</x:f>
      </x:c>
      <x:c r="I76" s="11" t="str">
        <x:f>IF(A76="","",MAX(0,E76-F76-H76))</x:f>
      </x:c>
      <x:c r="J76" s="11" t="str">
        <x:f>IF(A76="","",SUMIFS('Shipments'!$K$8:$K$207,'Shipments'!$D$8:$D$207,A76,'Shipments'!$C$8:$C$207,"Inbound"))</x:f>
      </x:c>
      <x:c r="K76" s="11" t="str">
        <x:f>IF(A76="","",MAX(0,I76-J76))</x:f>
      </x:c>
      <x:c r="L76" s="9" t="str">
        <x:f>IF(A76="","",IF(COUNTIFS('Orders'!$A$8:$A$207,A76)&lt;&gt;1,"Duplicate order line",IF(OR(B76="",C76=""),"Set PO and supplier",IF(COUNTIFS('Definitions'!$A$8:$A$207,D76)&lt;&gt;1,"Unknown / duplicate part",IF(VLOOKUP(D76,'Definitions'!$A$8:$J$207,3,FALSE)&lt;&gt;"Part","Order purchasable parts only",IF(OR(NOT(ISNUMBER(E76)),E76&lt;=0,MOD(E76,1)&lt;&gt;0,NOT(ISNUMBER(F76)),F76&lt;0,MOD(F76,1)&lt;&gt;0),"Invalid ordered / cancelled qty",IF(H76+F76&gt;E76,"Receipts exceed net order",IF(J76&gt;I76,"Transit exceeds outstanding qty","OK"))))))))</x:f>
      </x:c>
    </x:row>
    <x:row r="77" ht="22" customHeight="1">
      <x:c r="A77" s="10"/>
      <x:c r="B77" s="10"/>
      <x:c r="C77" s="10"/>
      <x:c r="D77" s="10"/>
      <x:c r="E77" s="12"/>
      <x:c r="F77" s="12"/>
      <x:c r="G77" s="13"/>
      <x:c r="H77" s="11" t="str">
        <x:f>IF(A77="","",SUMIFS('Shipments'!$I$8:$I$207,'Shipments'!$D$8:$D$207,A77,'Shipments'!$C$8:$C$207,"Inbound"))</x:f>
      </x:c>
      <x:c r="I77" s="11" t="str">
        <x:f>IF(A77="","",MAX(0,E77-F77-H77))</x:f>
      </x:c>
      <x:c r="J77" s="11" t="str">
        <x:f>IF(A77="","",SUMIFS('Shipments'!$K$8:$K$207,'Shipments'!$D$8:$D$207,A77,'Shipments'!$C$8:$C$207,"Inbound"))</x:f>
      </x:c>
      <x:c r="K77" s="11" t="str">
        <x:f>IF(A77="","",MAX(0,I77-J77))</x:f>
      </x:c>
      <x:c r="L77" s="9" t="str">
        <x:f>IF(A77="","",IF(COUNTIFS('Orders'!$A$8:$A$207,A77)&lt;&gt;1,"Duplicate order line",IF(OR(B77="",C77=""),"Set PO and supplier",IF(COUNTIFS('Definitions'!$A$8:$A$207,D77)&lt;&gt;1,"Unknown / duplicate part",IF(VLOOKUP(D77,'Definitions'!$A$8:$J$207,3,FALSE)&lt;&gt;"Part","Order purchasable parts only",IF(OR(NOT(ISNUMBER(E77)),E77&lt;=0,MOD(E77,1)&lt;&gt;0,NOT(ISNUMBER(F77)),F77&lt;0,MOD(F77,1)&lt;&gt;0),"Invalid ordered / cancelled qty",IF(H77+F77&gt;E77,"Receipts exceed net order",IF(J77&gt;I77,"Transit exceeds outstanding qty","OK"))))))))</x:f>
      </x:c>
    </x:row>
    <x:row r="78" ht="22" customHeight="1">
      <x:c r="A78" s="10"/>
      <x:c r="B78" s="10"/>
      <x:c r="C78" s="10"/>
      <x:c r="D78" s="10"/>
      <x:c r="E78" s="12"/>
      <x:c r="F78" s="12"/>
      <x:c r="G78" s="13"/>
      <x:c r="H78" s="11" t="str">
        <x:f>IF(A78="","",SUMIFS('Shipments'!$I$8:$I$207,'Shipments'!$D$8:$D$207,A78,'Shipments'!$C$8:$C$207,"Inbound"))</x:f>
      </x:c>
      <x:c r="I78" s="11" t="str">
        <x:f>IF(A78="","",MAX(0,E78-F78-H78))</x:f>
      </x:c>
      <x:c r="J78" s="11" t="str">
        <x:f>IF(A78="","",SUMIFS('Shipments'!$K$8:$K$207,'Shipments'!$D$8:$D$207,A78,'Shipments'!$C$8:$C$207,"Inbound"))</x:f>
      </x:c>
      <x:c r="K78" s="11" t="str">
        <x:f>IF(A78="","",MAX(0,I78-J78))</x:f>
      </x:c>
      <x:c r="L78" s="9" t="str">
        <x:f>IF(A78="","",IF(COUNTIFS('Orders'!$A$8:$A$207,A78)&lt;&gt;1,"Duplicate order line",IF(OR(B78="",C78=""),"Set PO and supplier",IF(COUNTIFS('Definitions'!$A$8:$A$207,D78)&lt;&gt;1,"Unknown / duplicate part",IF(VLOOKUP(D78,'Definitions'!$A$8:$J$207,3,FALSE)&lt;&gt;"Part","Order purchasable parts only",IF(OR(NOT(ISNUMBER(E78)),E78&lt;=0,MOD(E78,1)&lt;&gt;0,NOT(ISNUMBER(F78)),F78&lt;0,MOD(F78,1)&lt;&gt;0),"Invalid ordered / cancelled qty",IF(H78+F78&gt;E78,"Receipts exceed net order",IF(J78&gt;I78,"Transit exceeds outstanding qty","OK"))))))))</x:f>
      </x:c>
    </x:row>
    <x:row r="79" ht="22" customHeight="1">
      <x:c r="A79" s="10"/>
      <x:c r="B79" s="10"/>
      <x:c r="C79" s="10"/>
      <x:c r="D79" s="10"/>
      <x:c r="E79" s="12"/>
      <x:c r="F79" s="12"/>
      <x:c r="G79" s="13"/>
      <x:c r="H79" s="11" t="str">
        <x:f>IF(A79="","",SUMIFS('Shipments'!$I$8:$I$207,'Shipments'!$D$8:$D$207,A79,'Shipments'!$C$8:$C$207,"Inbound"))</x:f>
      </x:c>
      <x:c r="I79" s="11" t="str">
        <x:f>IF(A79="","",MAX(0,E79-F79-H79))</x:f>
      </x:c>
      <x:c r="J79" s="11" t="str">
        <x:f>IF(A79="","",SUMIFS('Shipments'!$K$8:$K$207,'Shipments'!$D$8:$D$207,A79,'Shipments'!$C$8:$C$207,"Inbound"))</x:f>
      </x:c>
      <x:c r="K79" s="11" t="str">
        <x:f>IF(A79="","",MAX(0,I79-J79))</x:f>
      </x:c>
      <x:c r="L79" s="9" t="str">
        <x:f>IF(A79="","",IF(COUNTIFS('Orders'!$A$8:$A$207,A79)&lt;&gt;1,"Duplicate order line",IF(OR(B79="",C79=""),"Set PO and supplier",IF(COUNTIFS('Definitions'!$A$8:$A$207,D79)&lt;&gt;1,"Unknown / duplicate part",IF(VLOOKUP(D79,'Definitions'!$A$8:$J$207,3,FALSE)&lt;&gt;"Part","Order purchasable parts only",IF(OR(NOT(ISNUMBER(E79)),E79&lt;=0,MOD(E79,1)&lt;&gt;0,NOT(ISNUMBER(F79)),F79&lt;0,MOD(F79,1)&lt;&gt;0),"Invalid ordered / cancelled qty",IF(H79+F79&gt;E79,"Receipts exceed net order",IF(J79&gt;I79,"Transit exceeds outstanding qty","OK"))))))))</x:f>
      </x:c>
    </x:row>
    <x:row r="80" ht="22" customHeight="1">
      <x:c r="A80" s="10"/>
      <x:c r="B80" s="10"/>
      <x:c r="C80" s="10"/>
      <x:c r="D80" s="10"/>
      <x:c r="E80" s="12"/>
      <x:c r="F80" s="12"/>
      <x:c r="G80" s="13"/>
      <x:c r="H80" s="11" t="str">
        <x:f>IF(A80="","",SUMIFS('Shipments'!$I$8:$I$207,'Shipments'!$D$8:$D$207,A80,'Shipments'!$C$8:$C$207,"Inbound"))</x:f>
      </x:c>
      <x:c r="I80" s="11" t="str">
        <x:f>IF(A80="","",MAX(0,E80-F80-H80))</x:f>
      </x:c>
      <x:c r="J80" s="11" t="str">
        <x:f>IF(A80="","",SUMIFS('Shipments'!$K$8:$K$207,'Shipments'!$D$8:$D$207,A80,'Shipments'!$C$8:$C$207,"Inbound"))</x:f>
      </x:c>
      <x:c r="K80" s="11" t="str">
        <x:f>IF(A80="","",MAX(0,I80-J80))</x:f>
      </x:c>
      <x:c r="L80" s="9" t="str">
        <x:f>IF(A80="","",IF(COUNTIFS('Orders'!$A$8:$A$207,A80)&lt;&gt;1,"Duplicate order line",IF(OR(B80="",C80=""),"Set PO and supplier",IF(COUNTIFS('Definitions'!$A$8:$A$207,D80)&lt;&gt;1,"Unknown / duplicate part",IF(VLOOKUP(D80,'Definitions'!$A$8:$J$207,3,FALSE)&lt;&gt;"Part","Order purchasable parts only",IF(OR(NOT(ISNUMBER(E80)),E80&lt;=0,MOD(E80,1)&lt;&gt;0,NOT(ISNUMBER(F80)),F80&lt;0,MOD(F80,1)&lt;&gt;0),"Invalid ordered / cancelled qty",IF(H80+F80&gt;E80,"Receipts exceed net order",IF(J80&gt;I80,"Transit exceeds outstanding qty","OK"))))))))</x:f>
      </x:c>
    </x:row>
    <x:row r="81" ht="22" customHeight="1">
      <x:c r="A81" s="10"/>
      <x:c r="B81" s="10"/>
      <x:c r="C81" s="10"/>
      <x:c r="D81" s="10"/>
      <x:c r="E81" s="12"/>
      <x:c r="F81" s="12"/>
      <x:c r="G81" s="13"/>
      <x:c r="H81" s="11" t="str">
        <x:f>IF(A81="","",SUMIFS('Shipments'!$I$8:$I$207,'Shipments'!$D$8:$D$207,A81,'Shipments'!$C$8:$C$207,"Inbound"))</x:f>
      </x:c>
      <x:c r="I81" s="11" t="str">
        <x:f>IF(A81="","",MAX(0,E81-F81-H81))</x:f>
      </x:c>
      <x:c r="J81" s="11" t="str">
        <x:f>IF(A81="","",SUMIFS('Shipments'!$K$8:$K$207,'Shipments'!$D$8:$D$207,A81,'Shipments'!$C$8:$C$207,"Inbound"))</x:f>
      </x:c>
      <x:c r="K81" s="11" t="str">
        <x:f>IF(A81="","",MAX(0,I81-J81))</x:f>
      </x:c>
      <x:c r="L81" s="9" t="str">
        <x:f>IF(A81="","",IF(COUNTIFS('Orders'!$A$8:$A$207,A81)&lt;&gt;1,"Duplicate order line",IF(OR(B81="",C81=""),"Set PO and supplier",IF(COUNTIFS('Definitions'!$A$8:$A$207,D81)&lt;&gt;1,"Unknown / duplicate part",IF(VLOOKUP(D81,'Definitions'!$A$8:$J$207,3,FALSE)&lt;&gt;"Part","Order purchasable parts only",IF(OR(NOT(ISNUMBER(E81)),E81&lt;=0,MOD(E81,1)&lt;&gt;0,NOT(ISNUMBER(F81)),F81&lt;0,MOD(F81,1)&lt;&gt;0),"Invalid ordered / cancelled qty",IF(H81+F81&gt;E81,"Receipts exceed net order",IF(J81&gt;I81,"Transit exceeds outstanding qty","OK"))))))))</x:f>
      </x:c>
    </x:row>
    <x:row r="82" ht="22" customHeight="1">
      <x:c r="A82" s="10"/>
      <x:c r="B82" s="10"/>
      <x:c r="C82" s="10"/>
      <x:c r="D82" s="10"/>
      <x:c r="E82" s="12"/>
      <x:c r="F82" s="12"/>
      <x:c r="G82" s="13"/>
      <x:c r="H82" s="11" t="str">
        <x:f>IF(A82="","",SUMIFS('Shipments'!$I$8:$I$207,'Shipments'!$D$8:$D$207,A82,'Shipments'!$C$8:$C$207,"Inbound"))</x:f>
      </x:c>
      <x:c r="I82" s="11" t="str">
        <x:f>IF(A82="","",MAX(0,E82-F82-H82))</x:f>
      </x:c>
      <x:c r="J82" s="11" t="str">
        <x:f>IF(A82="","",SUMIFS('Shipments'!$K$8:$K$207,'Shipments'!$D$8:$D$207,A82,'Shipments'!$C$8:$C$207,"Inbound"))</x:f>
      </x:c>
      <x:c r="K82" s="11" t="str">
        <x:f>IF(A82="","",MAX(0,I82-J82))</x:f>
      </x:c>
      <x:c r="L82" s="9" t="str">
        <x:f>IF(A82="","",IF(COUNTIFS('Orders'!$A$8:$A$207,A82)&lt;&gt;1,"Duplicate order line",IF(OR(B82="",C82=""),"Set PO and supplier",IF(COUNTIFS('Definitions'!$A$8:$A$207,D82)&lt;&gt;1,"Unknown / duplicate part",IF(VLOOKUP(D82,'Definitions'!$A$8:$J$207,3,FALSE)&lt;&gt;"Part","Order purchasable parts only",IF(OR(NOT(ISNUMBER(E82)),E82&lt;=0,MOD(E82,1)&lt;&gt;0,NOT(ISNUMBER(F82)),F82&lt;0,MOD(F82,1)&lt;&gt;0),"Invalid ordered / cancelled qty",IF(H82+F82&gt;E82,"Receipts exceed net order",IF(J82&gt;I82,"Transit exceeds outstanding qty","OK"))))))))</x:f>
      </x:c>
    </x:row>
    <x:row r="83" ht="22" customHeight="1">
      <x:c r="A83" s="10"/>
      <x:c r="B83" s="10"/>
      <x:c r="C83" s="10"/>
      <x:c r="D83" s="10"/>
      <x:c r="E83" s="12"/>
      <x:c r="F83" s="12"/>
      <x:c r="G83" s="13"/>
      <x:c r="H83" s="11" t="str">
        <x:f>IF(A83="","",SUMIFS('Shipments'!$I$8:$I$207,'Shipments'!$D$8:$D$207,A83,'Shipments'!$C$8:$C$207,"Inbound"))</x:f>
      </x:c>
      <x:c r="I83" s="11" t="str">
        <x:f>IF(A83="","",MAX(0,E83-F83-H83))</x:f>
      </x:c>
      <x:c r="J83" s="11" t="str">
        <x:f>IF(A83="","",SUMIFS('Shipments'!$K$8:$K$207,'Shipments'!$D$8:$D$207,A83,'Shipments'!$C$8:$C$207,"Inbound"))</x:f>
      </x:c>
      <x:c r="K83" s="11" t="str">
        <x:f>IF(A83="","",MAX(0,I83-J83))</x:f>
      </x:c>
      <x:c r="L83" s="9" t="str">
        <x:f>IF(A83="","",IF(COUNTIFS('Orders'!$A$8:$A$207,A83)&lt;&gt;1,"Duplicate order line",IF(OR(B83="",C83=""),"Set PO and supplier",IF(COUNTIFS('Definitions'!$A$8:$A$207,D83)&lt;&gt;1,"Unknown / duplicate part",IF(VLOOKUP(D83,'Definitions'!$A$8:$J$207,3,FALSE)&lt;&gt;"Part","Order purchasable parts only",IF(OR(NOT(ISNUMBER(E83)),E83&lt;=0,MOD(E83,1)&lt;&gt;0,NOT(ISNUMBER(F83)),F83&lt;0,MOD(F83,1)&lt;&gt;0),"Invalid ordered / cancelled qty",IF(H83+F83&gt;E83,"Receipts exceed net order",IF(J83&gt;I83,"Transit exceeds outstanding qty","OK"))))))))</x:f>
      </x:c>
    </x:row>
    <x:row r="84" ht="22" customHeight="1">
      <x:c r="A84" s="10"/>
      <x:c r="B84" s="10"/>
      <x:c r="C84" s="10"/>
      <x:c r="D84" s="10"/>
      <x:c r="E84" s="12"/>
      <x:c r="F84" s="12"/>
      <x:c r="G84" s="13"/>
      <x:c r="H84" s="11" t="str">
        <x:f>IF(A84="","",SUMIFS('Shipments'!$I$8:$I$207,'Shipments'!$D$8:$D$207,A84,'Shipments'!$C$8:$C$207,"Inbound"))</x:f>
      </x:c>
      <x:c r="I84" s="11" t="str">
        <x:f>IF(A84="","",MAX(0,E84-F84-H84))</x:f>
      </x:c>
      <x:c r="J84" s="11" t="str">
        <x:f>IF(A84="","",SUMIFS('Shipments'!$K$8:$K$207,'Shipments'!$D$8:$D$207,A84,'Shipments'!$C$8:$C$207,"Inbound"))</x:f>
      </x:c>
      <x:c r="K84" s="11" t="str">
        <x:f>IF(A84="","",MAX(0,I84-J84))</x:f>
      </x:c>
      <x:c r="L84" s="9" t="str">
        <x:f>IF(A84="","",IF(COUNTIFS('Orders'!$A$8:$A$207,A84)&lt;&gt;1,"Duplicate order line",IF(OR(B84="",C84=""),"Set PO and supplier",IF(COUNTIFS('Definitions'!$A$8:$A$207,D84)&lt;&gt;1,"Unknown / duplicate part",IF(VLOOKUP(D84,'Definitions'!$A$8:$J$207,3,FALSE)&lt;&gt;"Part","Order purchasable parts only",IF(OR(NOT(ISNUMBER(E84)),E84&lt;=0,MOD(E84,1)&lt;&gt;0,NOT(ISNUMBER(F84)),F84&lt;0,MOD(F84,1)&lt;&gt;0),"Invalid ordered / cancelled qty",IF(H84+F84&gt;E84,"Receipts exceed net order",IF(J84&gt;I84,"Transit exceeds outstanding qty","OK"))))))))</x:f>
      </x:c>
    </x:row>
    <x:row r="85" ht="22" customHeight="1">
      <x:c r="A85" s="10"/>
      <x:c r="B85" s="10"/>
      <x:c r="C85" s="10"/>
      <x:c r="D85" s="10"/>
      <x:c r="E85" s="12"/>
      <x:c r="F85" s="12"/>
      <x:c r="G85" s="13"/>
      <x:c r="H85" s="11" t="str">
        <x:f>IF(A85="","",SUMIFS('Shipments'!$I$8:$I$207,'Shipments'!$D$8:$D$207,A85,'Shipments'!$C$8:$C$207,"Inbound"))</x:f>
      </x:c>
      <x:c r="I85" s="11" t="str">
        <x:f>IF(A85="","",MAX(0,E85-F85-H85))</x:f>
      </x:c>
      <x:c r="J85" s="11" t="str">
        <x:f>IF(A85="","",SUMIFS('Shipments'!$K$8:$K$207,'Shipments'!$D$8:$D$207,A85,'Shipments'!$C$8:$C$207,"Inbound"))</x:f>
      </x:c>
      <x:c r="K85" s="11" t="str">
        <x:f>IF(A85="","",MAX(0,I85-J85))</x:f>
      </x:c>
      <x:c r="L85" s="9" t="str">
        <x:f>IF(A85="","",IF(COUNTIFS('Orders'!$A$8:$A$207,A85)&lt;&gt;1,"Duplicate order line",IF(OR(B85="",C85=""),"Set PO and supplier",IF(COUNTIFS('Definitions'!$A$8:$A$207,D85)&lt;&gt;1,"Unknown / duplicate part",IF(VLOOKUP(D85,'Definitions'!$A$8:$J$207,3,FALSE)&lt;&gt;"Part","Order purchasable parts only",IF(OR(NOT(ISNUMBER(E85)),E85&lt;=0,MOD(E85,1)&lt;&gt;0,NOT(ISNUMBER(F85)),F85&lt;0,MOD(F85,1)&lt;&gt;0),"Invalid ordered / cancelled qty",IF(H85+F85&gt;E85,"Receipts exceed net order",IF(J85&gt;I85,"Transit exceeds outstanding qty","OK"))))))))</x:f>
      </x:c>
    </x:row>
    <x:row r="86" ht="22" customHeight="1">
      <x:c r="A86" s="10"/>
      <x:c r="B86" s="10"/>
      <x:c r="C86" s="10"/>
      <x:c r="D86" s="10"/>
      <x:c r="E86" s="12"/>
      <x:c r="F86" s="12"/>
      <x:c r="G86" s="13"/>
      <x:c r="H86" s="11" t="str">
        <x:f>IF(A86="","",SUMIFS('Shipments'!$I$8:$I$207,'Shipments'!$D$8:$D$207,A86,'Shipments'!$C$8:$C$207,"Inbound"))</x:f>
      </x:c>
      <x:c r="I86" s="11" t="str">
        <x:f>IF(A86="","",MAX(0,E86-F86-H86))</x:f>
      </x:c>
      <x:c r="J86" s="11" t="str">
        <x:f>IF(A86="","",SUMIFS('Shipments'!$K$8:$K$207,'Shipments'!$D$8:$D$207,A86,'Shipments'!$C$8:$C$207,"Inbound"))</x:f>
      </x:c>
      <x:c r="K86" s="11" t="str">
        <x:f>IF(A86="","",MAX(0,I86-J86))</x:f>
      </x:c>
      <x:c r="L86" s="9" t="str">
        <x:f>IF(A86="","",IF(COUNTIFS('Orders'!$A$8:$A$207,A86)&lt;&gt;1,"Duplicate order line",IF(OR(B86="",C86=""),"Set PO and supplier",IF(COUNTIFS('Definitions'!$A$8:$A$207,D86)&lt;&gt;1,"Unknown / duplicate part",IF(VLOOKUP(D86,'Definitions'!$A$8:$J$207,3,FALSE)&lt;&gt;"Part","Order purchasable parts only",IF(OR(NOT(ISNUMBER(E86)),E86&lt;=0,MOD(E86,1)&lt;&gt;0,NOT(ISNUMBER(F86)),F86&lt;0,MOD(F86,1)&lt;&gt;0),"Invalid ordered / cancelled qty",IF(H86+F86&gt;E86,"Receipts exceed net order",IF(J86&gt;I86,"Transit exceeds outstanding qty","OK"))))))))</x:f>
      </x:c>
    </x:row>
    <x:row r="87" ht="22" customHeight="1">
      <x:c r="A87" s="10"/>
      <x:c r="B87" s="10"/>
      <x:c r="C87" s="10"/>
      <x:c r="D87" s="10"/>
      <x:c r="E87" s="12"/>
      <x:c r="F87" s="12"/>
      <x:c r="G87" s="13"/>
      <x:c r="H87" s="11" t="str">
        <x:f>IF(A87="","",SUMIFS('Shipments'!$I$8:$I$207,'Shipments'!$D$8:$D$207,A87,'Shipments'!$C$8:$C$207,"Inbound"))</x:f>
      </x:c>
      <x:c r="I87" s="11" t="str">
        <x:f>IF(A87="","",MAX(0,E87-F87-H87))</x:f>
      </x:c>
      <x:c r="J87" s="11" t="str">
        <x:f>IF(A87="","",SUMIFS('Shipments'!$K$8:$K$207,'Shipments'!$D$8:$D$207,A87,'Shipments'!$C$8:$C$207,"Inbound"))</x:f>
      </x:c>
      <x:c r="K87" s="11" t="str">
        <x:f>IF(A87="","",MAX(0,I87-J87))</x:f>
      </x:c>
      <x:c r="L87" s="9" t="str">
        <x:f>IF(A87="","",IF(COUNTIFS('Orders'!$A$8:$A$207,A87)&lt;&gt;1,"Duplicate order line",IF(OR(B87="",C87=""),"Set PO and supplier",IF(COUNTIFS('Definitions'!$A$8:$A$207,D87)&lt;&gt;1,"Unknown / duplicate part",IF(VLOOKUP(D87,'Definitions'!$A$8:$J$207,3,FALSE)&lt;&gt;"Part","Order purchasable parts only",IF(OR(NOT(ISNUMBER(E87)),E87&lt;=0,MOD(E87,1)&lt;&gt;0,NOT(ISNUMBER(F87)),F87&lt;0,MOD(F87,1)&lt;&gt;0),"Invalid ordered / cancelled qty",IF(H87+F87&gt;E87,"Receipts exceed net order",IF(J87&gt;I87,"Transit exceeds outstanding qty","OK"))))))))</x:f>
      </x:c>
    </x:row>
    <x:row r="88" ht="22" customHeight="1">
      <x:c r="A88" s="10"/>
      <x:c r="B88" s="10"/>
      <x:c r="C88" s="10"/>
      <x:c r="D88" s="10"/>
      <x:c r="E88" s="12"/>
      <x:c r="F88" s="12"/>
      <x:c r="G88" s="13"/>
      <x:c r="H88" s="11" t="str">
        <x:f>IF(A88="","",SUMIFS('Shipments'!$I$8:$I$207,'Shipments'!$D$8:$D$207,A88,'Shipments'!$C$8:$C$207,"Inbound"))</x:f>
      </x:c>
      <x:c r="I88" s="11" t="str">
        <x:f>IF(A88="","",MAX(0,E88-F88-H88))</x:f>
      </x:c>
      <x:c r="J88" s="11" t="str">
        <x:f>IF(A88="","",SUMIFS('Shipments'!$K$8:$K$207,'Shipments'!$D$8:$D$207,A88,'Shipments'!$C$8:$C$207,"Inbound"))</x:f>
      </x:c>
      <x:c r="K88" s="11" t="str">
        <x:f>IF(A88="","",MAX(0,I88-J88))</x:f>
      </x:c>
      <x:c r="L88" s="9" t="str">
        <x:f>IF(A88="","",IF(COUNTIFS('Orders'!$A$8:$A$207,A88)&lt;&gt;1,"Duplicate order line",IF(OR(B88="",C88=""),"Set PO and supplier",IF(COUNTIFS('Definitions'!$A$8:$A$207,D88)&lt;&gt;1,"Unknown / duplicate part",IF(VLOOKUP(D88,'Definitions'!$A$8:$J$207,3,FALSE)&lt;&gt;"Part","Order purchasable parts only",IF(OR(NOT(ISNUMBER(E88)),E88&lt;=0,MOD(E88,1)&lt;&gt;0,NOT(ISNUMBER(F88)),F88&lt;0,MOD(F88,1)&lt;&gt;0),"Invalid ordered / cancelled qty",IF(H88+F88&gt;E88,"Receipts exceed net order",IF(J88&gt;I88,"Transit exceeds outstanding qty","OK"))))))))</x:f>
      </x:c>
    </x:row>
    <x:row r="89" ht="22" customHeight="1">
      <x:c r="A89" s="10"/>
      <x:c r="B89" s="10"/>
      <x:c r="C89" s="10"/>
      <x:c r="D89" s="10"/>
      <x:c r="E89" s="12"/>
      <x:c r="F89" s="12"/>
      <x:c r="G89" s="13"/>
      <x:c r="H89" s="11" t="str">
        <x:f>IF(A89="","",SUMIFS('Shipments'!$I$8:$I$207,'Shipments'!$D$8:$D$207,A89,'Shipments'!$C$8:$C$207,"Inbound"))</x:f>
      </x:c>
      <x:c r="I89" s="11" t="str">
        <x:f>IF(A89="","",MAX(0,E89-F89-H89))</x:f>
      </x:c>
      <x:c r="J89" s="11" t="str">
        <x:f>IF(A89="","",SUMIFS('Shipments'!$K$8:$K$207,'Shipments'!$D$8:$D$207,A89,'Shipments'!$C$8:$C$207,"Inbound"))</x:f>
      </x:c>
      <x:c r="K89" s="11" t="str">
        <x:f>IF(A89="","",MAX(0,I89-J89))</x:f>
      </x:c>
      <x:c r="L89" s="9" t="str">
        <x:f>IF(A89="","",IF(COUNTIFS('Orders'!$A$8:$A$207,A89)&lt;&gt;1,"Duplicate order line",IF(OR(B89="",C89=""),"Set PO and supplier",IF(COUNTIFS('Definitions'!$A$8:$A$207,D89)&lt;&gt;1,"Unknown / duplicate part",IF(VLOOKUP(D89,'Definitions'!$A$8:$J$207,3,FALSE)&lt;&gt;"Part","Order purchasable parts only",IF(OR(NOT(ISNUMBER(E89)),E89&lt;=0,MOD(E89,1)&lt;&gt;0,NOT(ISNUMBER(F89)),F89&lt;0,MOD(F89,1)&lt;&gt;0),"Invalid ordered / cancelled qty",IF(H89+F89&gt;E89,"Receipts exceed net order",IF(J89&gt;I89,"Transit exceeds outstanding qty","OK"))))))))</x:f>
      </x:c>
    </x:row>
    <x:row r="90" ht="22" customHeight="1">
      <x:c r="A90" s="10"/>
      <x:c r="B90" s="10"/>
      <x:c r="C90" s="10"/>
      <x:c r="D90" s="10"/>
      <x:c r="E90" s="12"/>
      <x:c r="F90" s="12"/>
      <x:c r="G90" s="13"/>
      <x:c r="H90" s="11" t="str">
        <x:f>IF(A90="","",SUMIFS('Shipments'!$I$8:$I$207,'Shipments'!$D$8:$D$207,A90,'Shipments'!$C$8:$C$207,"Inbound"))</x:f>
      </x:c>
      <x:c r="I90" s="11" t="str">
        <x:f>IF(A90="","",MAX(0,E90-F90-H90))</x:f>
      </x:c>
      <x:c r="J90" s="11" t="str">
        <x:f>IF(A90="","",SUMIFS('Shipments'!$K$8:$K$207,'Shipments'!$D$8:$D$207,A90,'Shipments'!$C$8:$C$207,"Inbound"))</x:f>
      </x:c>
      <x:c r="K90" s="11" t="str">
        <x:f>IF(A90="","",MAX(0,I90-J90))</x:f>
      </x:c>
      <x:c r="L90" s="9" t="str">
        <x:f>IF(A90="","",IF(COUNTIFS('Orders'!$A$8:$A$207,A90)&lt;&gt;1,"Duplicate order line",IF(OR(B90="",C90=""),"Set PO and supplier",IF(COUNTIFS('Definitions'!$A$8:$A$207,D90)&lt;&gt;1,"Unknown / duplicate part",IF(VLOOKUP(D90,'Definitions'!$A$8:$J$207,3,FALSE)&lt;&gt;"Part","Order purchasable parts only",IF(OR(NOT(ISNUMBER(E90)),E90&lt;=0,MOD(E90,1)&lt;&gt;0,NOT(ISNUMBER(F90)),F90&lt;0,MOD(F90,1)&lt;&gt;0),"Invalid ordered / cancelled qty",IF(H90+F90&gt;E90,"Receipts exceed net order",IF(J90&gt;I90,"Transit exceeds outstanding qty","OK"))))))))</x:f>
      </x:c>
    </x:row>
    <x:row r="91" ht="22" customHeight="1">
      <x:c r="A91" s="10"/>
      <x:c r="B91" s="10"/>
      <x:c r="C91" s="10"/>
      <x:c r="D91" s="10"/>
      <x:c r="E91" s="12"/>
      <x:c r="F91" s="12"/>
      <x:c r="G91" s="13"/>
      <x:c r="H91" s="11" t="str">
        <x:f>IF(A91="","",SUMIFS('Shipments'!$I$8:$I$207,'Shipments'!$D$8:$D$207,A91,'Shipments'!$C$8:$C$207,"Inbound"))</x:f>
      </x:c>
      <x:c r="I91" s="11" t="str">
        <x:f>IF(A91="","",MAX(0,E91-F91-H91))</x:f>
      </x:c>
      <x:c r="J91" s="11" t="str">
        <x:f>IF(A91="","",SUMIFS('Shipments'!$K$8:$K$207,'Shipments'!$D$8:$D$207,A91,'Shipments'!$C$8:$C$207,"Inbound"))</x:f>
      </x:c>
      <x:c r="K91" s="11" t="str">
        <x:f>IF(A91="","",MAX(0,I91-J91))</x:f>
      </x:c>
      <x:c r="L91" s="9" t="str">
        <x:f>IF(A91="","",IF(COUNTIFS('Orders'!$A$8:$A$207,A91)&lt;&gt;1,"Duplicate order line",IF(OR(B91="",C91=""),"Set PO and supplier",IF(COUNTIFS('Definitions'!$A$8:$A$207,D91)&lt;&gt;1,"Unknown / duplicate part",IF(VLOOKUP(D91,'Definitions'!$A$8:$J$207,3,FALSE)&lt;&gt;"Part","Order purchasable parts only",IF(OR(NOT(ISNUMBER(E91)),E91&lt;=0,MOD(E91,1)&lt;&gt;0,NOT(ISNUMBER(F91)),F91&lt;0,MOD(F91,1)&lt;&gt;0),"Invalid ordered / cancelled qty",IF(H91+F91&gt;E91,"Receipts exceed net order",IF(J91&gt;I91,"Transit exceeds outstanding qty","OK"))))))))</x:f>
      </x:c>
    </x:row>
    <x:row r="92" ht="22" customHeight="1">
      <x:c r="A92" s="10"/>
      <x:c r="B92" s="10"/>
      <x:c r="C92" s="10"/>
      <x:c r="D92" s="10"/>
      <x:c r="E92" s="12"/>
      <x:c r="F92" s="12"/>
      <x:c r="G92" s="13"/>
      <x:c r="H92" s="11" t="str">
        <x:f>IF(A92="","",SUMIFS('Shipments'!$I$8:$I$207,'Shipments'!$D$8:$D$207,A92,'Shipments'!$C$8:$C$207,"Inbound"))</x:f>
      </x:c>
      <x:c r="I92" s="11" t="str">
        <x:f>IF(A92="","",MAX(0,E92-F92-H92))</x:f>
      </x:c>
      <x:c r="J92" s="11" t="str">
        <x:f>IF(A92="","",SUMIFS('Shipments'!$K$8:$K$207,'Shipments'!$D$8:$D$207,A92,'Shipments'!$C$8:$C$207,"Inbound"))</x:f>
      </x:c>
      <x:c r="K92" s="11" t="str">
        <x:f>IF(A92="","",MAX(0,I92-J92))</x:f>
      </x:c>
      <x:c r="L92" s="9" t="str">
        <x:f>IF(A92="","",IF(COUNTIFS('Orders'!$A$8:$A$207,A92)&lt;&gt;1,"Duplicate order line",IF(OR(B92="",C92=""),"Set PO and supplier",IF(COUNTIFS('Definitions'!$A$8:$A$207,D92)&lt;&gt;1,"Unknown / duplicate part",IF(VLOOKUP(D92,'Definitions'!$A$8:$J$207,3,FALSE)&lt;&gt;"Part","Order purchasable parts only",IF(OR(NOT(ISNUMBER(E92)),E92&lt;=0,MOD(E92,1)&lt;&gt;0,NOT(ISNUMBER(F92)),F92&lt;0,MOD(F92,1)&lt;&gt;0),"Invalid ordered / cancelled qty",IF(H92+F92&gt;E92,"Receipts exceed net order",IF(J92&gt;I92,"Transit exceeds outstanding qty","OK"))))))))</x:f>
      </x:c>
    </x:row>
    <x:row r="93" ht="22" customHeight="1">
      <x:c r="A93" s="10"/>
      <x:c r="B93" s="10"/>
      <x:c r="C93" s="10"/>
      <x:c r="D93" s="10"/>
      <x:c r="E93" s="12"/>
      <x:c r="F93" s="12"/>
      <x:c r="G93" s="13"/>
      <x:c r="H93" s="11" t="str">
        <x:f>IF(A93="","",SUMIFS('Shipments'!$I$8:$I$207,'Shipments'!$D$8:$D$207,A93,'Shipments'!$C$8:$C$207,"Inbound"))</x:f>
      </x:c>
      <x:c r="I93" s="11" t="str">
        <x:f>IF(A93="","",MAX(0,E93-F93-H93))</x:f>
      </x:c>
      <x:c r="J93" s="11" t="str">
        <x:f>IF(A93="","",SUMIFS('Shipments'!$K$8:$K$207,'Shipments'!$D$8:$D$207,A93,'Shipments'!$C$8:$C$207,"Inbound"))</x:f>
      </x:c>
      <x:c r="K93" s="11" t="str">
        <x:f>IF(A93="","",MAX(0,I93-J93))</x:f>
      </x:c>
      <x:c r="L93" s="9" t="str">
        <x:f>IF(A93="","",IF(COUNTIFS('Orders'!$A$8:$A$207,A93)&lt;&gt;1,"Duplicate order line",IF(OR(B93="",C93=""),"Set PO and supplier",IF(COUNTIFS('Definitions'!$A$8:$A$207,D93)&lt;&gt;1,"Unknown / duplicate part",IF(VLOOKUP(D93,'Definitions'!$A$8:$J$207,3,FALSE)&lt;&gt;"Part","Order purchasable parts only",IF(OR(NOT(ISNUMBER(E93)),E93&lt;=0,MOD(E93,1)&lt;&gt;0,NOT(ISNUMBER(F93)),F93&lt;0,MOD(F93,1)&lt;&gt;0),"Invalid ordered / cancelled qty",IF(H93+F93&gt;E93,"Receipts exceed net order",IF(J93&gt;I93,"Transit exceeds outstanding qty","OK"))))))))</x:f>
      </x:c>
    </x:row>
    <x:row r="94" ht="22" customHeight="1">
      <x:c r="A94" s="10"/>
      <x:c r="B94" s="10"/>
      <x:c r="C94" s="10"/>
      <x:c r="D94" s="10"/>
      <x:c r="E94" s="12"/>
      <x:c r="F94" s="12"/>
      <x:c r="G94" s="13"/>
      <x:c r="H94" s="11" t="str">
        <x:f>IF(A94="","",SUMIFS('Shipments'!$I$8:$I$207,'Shipments'!$D$8:$D$207,A94,'Shipments'!$C$8:$C$207,"Inbound"))</x:f>
      </x:c>
      <x:c r="I94" s="11" t="str">
        <x:f>IF(A94="","",MAX(0,E94-F94-H94))</x:f>
      </x:c>
      <x:c r="J94" s="11" t="str">
        <x:f>IF(A94="","",SUMIFS('Shipments'!$K$8:$K$207,'Shipments'!$D$8:$D$207,A94,'Shipments'!$C$8:$C$207,"Inbound"))</x:f>
      </x:c>
      <x:c r="K94" s="11" t="str">
        <x:f>IF(A94="","",MAX(0,I94-J94))</x:f>
      </x:c>
      <x:c r="L94" s="9" t="str">
        <x:f>IF(A94="","",IF(COUNTIFS('Orders'!$A$8:$A$207,A94)&lt;&gt;1,"Duplicate order line",IF(OR(B94="",C94=""),"Set PO and supplier",IF(COUNTIFS('Definitions'!$A$8:$A$207,D94)&lt;&gt;1,"Unknown / duplicate part",IF(VLOOKUP(D94,'Definitions'!$A$8:$J$207,3,FALSE)&lt;&gt;"Part","Order purchasable parts only",IF(OR(NOT(ISNUMBER(E94)),E94&lt;=0,MOD(E94,1)&lt;&gt;0,NOT(ISNUMBER(F94)),F94&lt;0,MOD(F94,1)&lt;&gt;0),"Invalid ordered / cancelled qty",IF(H94+F94&gt;E94,"Receipts exceed net order",IF(J94&gt;I94,"Transit exceeds outstanding qty","OK"))))))))</x:f>
      </x:c>
    </x:row>
    <x:row r="95" ht="22" customHeight="1">
      <x:c r="A95" s="10"/>
      <x:c r="B95" s="10"/>
      <x:c r="C95" s="10"/>
      <x:c r="D95" s="10"/>
      <x:c r="E95" s="12"/>
      <x:c r="F95" s="12"/>
      <x:c r="G95" s="13"/>
      <x:c r="H95" s="11" t="str">
        <x:f>IF(A95="","",SUMIFS('Shipments'!$I$8:$I$207,'Shipments'!$D$8:$D$207,A95,'Shipments'!$C$8:$C$207,"Inbound"))</x:f>
      </x:c>
      <x:c r="I95" s="11" t="str">
        <x:f>IF(A95="","",MAX(0,E95-F95-H95))</x:f>
      </x:c>
      <x:c r="J95" s="11" t="str">
        <x:f>IF(A95="","",SUMIFS('Shipments'!$K$8:$K$207,'Shipments'!$D$8:$D$207,A95,'Shipments'!$C$8:$C$207,"Inbound"))</x:f>
      </x:c>
      <x:c r="K95" s="11" t="str">
        <x:f>IF(A95="","",MAX(0,I95-J95))</x:f>
      </x:c>
      <x:c r="L95" s="9" t="str">
        <x:f>IF(A95="","",IF(COUNTIFS('Orders'!$A$8:$A$207,A95)&lt;&gt;1,"Duplicate order line",IF(OR(B95="",C95=""),"Set PO and supplier",IF(COUNTIFS('Definitions'!$A$8:$A$207,D95)&lt;&gt;1,"Unknown / duplicate part",IF(VLOOKUP(D95,'Definitions'!$A$8:$J$207,3,FALSE)&lt;&gt;"Part","Order purchasable parts only",IF(OR(NOT(ISNUMBER(E95)),E95&lt;=0,MOD(E95,1)&lt;&gt;0,NOT(ISNUMBER(F95)),F95&lt;0,MOD(F95,1)&lt;&gt;0),"Invalid ordered / cancelled qty",IF(H95+F95&gt;E95,"Receipts exceed net order",IF(J95&gt;I95,"Transit exceeds outstanding qty","OK"))))))))</x:f>
      </x:c>
    </x:row>
    <x:row r="96" ht="22" customHeight="1">
      <x:c r="A96" s="10"/>
      <x:c r="B96" s="10"/>
      <x:c r="C96" s="10"/>
      <x:c r="D96" s="10"/>
      <x:c r="E96" s="12"/>
      <x:c r="F96" s="12"/>
      <x:c r="G96" s="13"/>
      <x:c r="H96" s="11" t="str">
        <x:f>IF(A96="","",SUMIFS('Shipments'!$I$8:$I$207,'Shipments'!$D$8:$D$207,A96,'Shipments'!$C$8:$C$207,"Inbound"))</x:f>
      </x:c>
      <x:c r="I96" s="11" t="str">
        <x:f>IF(A96="","",MAX(0,E96-F96-H96))</x:f>
      </x:c>
      <x:c r="J96" s="11" t="str">
        <x:f>IF(A96="","",SUMIFS('Shipments'!$K$8:$K$207,'Shipments'!$D$8:$D$207,A96,'Shipments'!$C$8:$C$207,"Inbound"))</x:f>
      </x:c>
      <x:c r="K96" s="11" t="str">
        <x:f>IF(A96="","",MAX(0,I96-J96))</x:f>
      </x:c>
      <x:c r="L96" s="9" t="str">
        <x:f>IF(A96="","",IF(COUNTIFS('Orders'!$A$8:$A$207,A96)&lt;&gt;1,"Duplicate order line",IF(OR(B96="",C96=""),"Set PO and supplier",IF(COUNTIFS('Definitions'!$A$8:$A$207,D96)&lt;&gt;1,"Unknown / duplicate part",IF(VLOOKUP(D96,'Definitions'!$A$8:$J$207,3,FALSE)&lt;&gt;"Part","Order purchasable parts only",IF(OR(NOT(ISNUMBER(E96)),E96&lt;=0,MOD(E96,1)&lt;&gt;0,NOT(ISNUMBER(F96)),F96&lt;0,MOD(F96,1)&lt;&gt;0),"Invalid ordered / cancelled qty",IF(H96+F96&gt;E96,"Receipts exceed net order",IF(J96&gt;I96,"Transit exceeds outstanding qty","OK"))))))))</x:f>
      </x:c>
    </x:row>
    <x:row r="97" ht="22" customHeight="1">
      <x:c r="A97" s="10"/>
      <x:c r="B97" s="10"/>
      <x:c r="C97" s="10"/>
      <x:c r="D97" s="10"/>
      <x:c r="E97" s="12"/>
      <x:c r="F97" s="12"/>
      <x:c r="G97" s="13"/>
      <x:c r="H97" s="11" t="str">
        <x:f>IF(A97="","",SUMIFS('Shipments'!$I$8:$I$207,'Shipments'!$D$8:$D$207,A97,'Shipments'!$C$8:$C$207,"Inbound"))</x:f>
      </x:c>
      <x:c r="I97" s="11" t="str">
        <x:f>IF(A97="","",MAX(0,E97-F97-H97))</x:f>
      </x:c>
      <x:c r="J97" s="11" t="str">
        <x:f>IF(A97="","",SUMIFS('Shipments'!$K$8:$K$207,'Shipments'!$D$8:$D$207,A97,'Shipments'!$C$8:$C$207,"Inbound"))</x:f>
      </x:c>
      <x:c r="K97" s="11" t="str">
        <x:f>IF(A97="","",MAX(0,I97-J97))</x:f>
      </x:c>
      <x:c r="L97" s="9" t="str">
        <x:f>IF(A97="","",IF(COUNTIFS('Orders'!$A$8:$A$207,A97)&lt;&gt;1,"Duplicate order line",IF(OR(B97="",C97=""),"Set PO and supplier",IF(COUNTIFS('Definitions'!$A$8:$A$207,D97)&lt;&gt;1,"Unknown / duplicate part",IF(VLOOKUP(D97,'Definitions'!$A$8:$J$207,3,FALSE)&lt;&gt;"Part","Order purchasable parts only",IF(OR(NOT(ISNUMBER(E97)),E97&lt;=0,MOD(E97,1)&lt;&gt;0,NOT(ISNUMBER(F97)),F97&lt;0,MOD(F97,1)&lt;&gt;0),"Invalid ordered / cancelled qty",IF(H97+F97&gt;E97,"Receipts exceed net order",IF(J97&gt;I97,"Transit exceeds outstanding qty","OK"))))))))</x:f>
      </x:c>
    </x:row>
    <x:row r="98" ht="22" customHeight="1">
      <x:c r="A98" s="10"/>
      <x:c r="B98" s="10"/>
      <x:c r="C98" s="10"/>
      <x:c r="D98" s="10"/>
      <x:c r="E98" s="12"/>
      <x:c r="F98" s="12"/>
      <x:c r="G98" s="13"/>
      <x:c r="H98" s="11" t="str">
        <x:f>IF(A98="","",SUMIFS('Shipments'!$I$8:$I$207,'Shipments'!$D$8:$D$207,A98,'Shipments'!$C$8:$C$207,"Inbound"))</x:f>
      </x:c>
      <x:c r="I98" s="11" t="str">
        <x:f>IF(A98="","",MAX(0,E98-F98-H98))</x:f>
      </x:c>
      <x:c r="J98" s="11" t="str">
        <x:f>IF(A98="","",SUMIFS('Shipments'!$K$8:$K$207,'Shipments'!$D$8:$D$207,A98,'Shipments'!$C$8:$C$207,"Inbound"))</x:f>
      </x:c>
      <x:c r="K98" s="11" t="str">
        <x:f>IF(A98="","",MAX(0,I98-J98))</x:f>
      </x:c>
      <x:c r="L98" s="9" t="str">
        <x:f>IF(A98="","",IF(COUNTIFS('Orders'!$A$8:$A$207,A98)&lt;&gt;1,"Duplicate order line",IF(OR(B98="",C98=""),"Set PO and supplier",IF(COUNTIFS('Definitions'!$A$8:$A$207,D98)&lt;&gt;1,"Unknown / duplicate part",IF(VLOOKUP(D98,'Definitions'!$A$8:$J$207,3,FALSE)&lt;&gt;"Part","Order purchasable parts only",IF(OR(NOT(ISNUMBER(E98)),E98&lt;=0,MOD(E98,1)&lt;&gt;0,NOT(ISNUMBER(F98)),F98&lt;0,MOD(F98,1)&lt;&gt;0),"Invalid ordered / cancelled qty",IF(H98+F98&gt;E98,"Receipts exceed net order",IF(J98&gt;I98,"Transit exceeds outstanding qty","OK"))))))))</x:f>
      </x:c>
    </x:row>
    <x:row r="99" ht="22" customHeight="1">
      <x:c r="A99" s="10"/>
      <x:c r="B99" s="10"/>
      <x:c r="C99" s="10"/>
      <x:c r="D99" s="10"/>
      <x:c r="E99" s="12"/>
      <x:c r="F99" s="12"/>
      <x:c r="G99" s="13"/>
      <x:c r="H99" s="11" t="str">
        <x:f>IF(A99="","",SUMIFS('Shipments'!$I$8:$I$207,'Shipments'!$D$8:$D$207,A99,'Shipments'!$C$8:$C$207,"Inbound"))</x:f>
      </x:c>
      <x:c r="I99" s="11" t="str">
        <x:f>IF(A99="","",MAX(0,E99-F99-H99))</x:f>
      </x:c>
      <x:c r="J99" s="11" t="str">
        <x:f>IF(A99="","",SUMIFS('Shipments'!$K$8:$K$207,'Shipments'!$D$8:$D$207,A99,'Shipments'!$C$8:$C$207,"Inbound"))</x:f>
      </x:c>
      <x:c r="K99" s="11" t="str">
        <x:f>IF(A99="","",MAX(0,I99-J99))</x:f>
      </x:c>
      <x:c r="L99" s="9" t="str">
        <x:f>IF(A99="","",IF(COUNTIFS('Orders'!$A$8:$A$207,A99)&lt;&gt;1,"Duplicate order line",IF(OR(B99="",C99=""),"Set PO and supplier",IF(COUNTIFS('Definitions'!$A$8:$A$207,D99)&lt;&gt;1,"Unknown / duplicate part",IF(VLOOKUP(D99,'Definitions'!$A$8:$J$207,3,FALSE)&lt;&gt;"Part","Order purchasable parts only",IF(OR(NOT(ISNUMBER(E99)),E99&lt;=0,MOD(E99,1)&lt;&gt;0,NOT(ISNUMBER(F99)),F99&lt;0,MOD(F99,1)&lt;&gt;0),"Invalid ordered / cancelled qty",IF(H99+F99&gt;E99,"Receipts exceed net order",IF(J99&gt;I99,"Transit exceeds outstanding qty","OK"))))))))</x:f>
      </x:c>
    </x:row>
    <x:row r="100" ht="22" customHeight="1">
      <x:c r="A100" s="10"/>
      <x:c r="B100" s="10"/>
      <x:c r="C100" s="10"/>
      <x:c r="D100" s="10"/>
      <x:c r="E100" s="12"/>
      <x:c r="F100" s="12"/>
      <x:c r="G100" s="13"/>
      <x:c r="H100" s="11" t="str">
        <x:f>IF(A100="","",SUMIFS('Shipments'!$I$8:$I$207,'Shipments'!$D$8:$D$207,A100,'Shipments'!$C$8:$C$207,"Inbound"))</x:f>
      </x:c>
      <x:c r="I100" s="11" t="str">
        <x:f>IF(A100="","",MAX(0,E100-F100-H100))</x:f>
      </x:c>
      <x:c r="J100" s="11" t="str">
        <x:f>IF(A100="","",SUMIFS('Shipments'!$K$8:$K$207,'Shipments'!$D$8:$D$207,A100,'Shipments'!$C$8:$C$207,"Inbound"))</x:f>
      </x:c>
      <x:c r="K100" s="11" t="str">
        <x:f>IF(A100="","",MAX(0,I100-J100))</x:f>
      </x:c>
      <x:c r="L100" s="9" t="str">
        <x:f>IF(A100="","",IF(COUNTIFS('Orders'!$A$8:$A$207,A100)&lt;&gt;1,"Duplicate order line",IF(OR(B100="",C100=""),"Set PO and supplier",IF(COUNTIFS('Definitions'!$A$8:$A$207,D100)&lt;&gt;1,"Unknown / duplicate part",IF(VLOOKUP(D100,'Definitions'!$A$8:$J$207,3,FALSE)&lt;&gt;"Part","Order purchasable parts only",IF(OR(NOT(ISNUMBER(E100)),E100&lt;=0,MOD(E100,1)&lt;&gt;0,NOT(ISNUMBER(F100)),F100&lt;0,MOD(F100,1)&lt;&gt;0),"Invalid ordered / cancelled qty",IF(H100+F100&gt;E100,"Receipts exceed net order",IF(J100&gt;I100,"Transit exceeds outstanding qty","OK"))))))))</x:f>
      </x:c>
    </x:row>
    <x:row r="101" ht="22" customHeight="1">
      <x:c r="A101" s="10"/>
      <x:c r="B101" s="10"/>
      <x:c r="C101" s="10"/>
      <x:c r="D101" s="10"/>
      <x:c r="E101" s="12"/>
      <x:c r="F101" s="12"/>
      <x:c r="G101" s="13"/>
      <x:c r="H101" s="11" t="str">
        <x:f>IF(A101="","",SUMIFS('Shipments'!$I$8:$I$207,'Shipments'!$D$8:$D$207,A101,'Shipments'!$C$8:$C$207,"Inbound"))</x:f>
      </x:c>
      <x:c r="I101" s="11" t="str">
        <x:f>IF(A101="","",MAX(0,E101-F101-H101))</x:f>
      </x:c>
      <x:c r="J101" s="11" t="str">
        <x:f>IF(A101="","",SUMIFS('Shipments'!$K$8:$K$207,'Shipments'!$D$8:$D$207,A101,'Shipments'!$C$8:$C$207,"Inbound"))</x:f>
      </x:c>
      <x:c r="K101" s="11" t="str">
        <x:f>IF(A101="","",MAX(0,I101-J101))</x:f>
      </x:c>
      <x:c r="L101" s="9" t="str">
        <x:f>IF(A101="","",IF(COUNTIFS('Orders'!$A$8:$A$207,A101)&lt;&gt;1,"Duplicate order line",IF(OR(B101="",C101=""),"Set PO and supplier",IF(COUNTIFS('Definitions'!$A$8:$A$207,D101)&lt;&gt;1,"Unknown / duplicate part",IF(VLOOKUP(D101,'Definitions'!$A$8:$J$207,3,FALSE)&lt;&gt;"Part","Order purchasable parts only",IF(OR(NOT(ISNUMBER(E101)),E101&lt;=0,MOD(E101,1)&lt;&gt;0,NOT(ISNUMBER(F101)),F101&lt;0,MOD(F101,1)&lt;&gt;0),"Invalid ordered / cancelled qty",IF(H101+F101&gt;E101,"Receipts exceed net order",IF(J101&gt;I101,"Transit exceeds outstanding qty","OK"))))))))</x:f>
      </x:c>
    </x:row>
    <x:row r="102" ht="22" customHeight="1">
      <x:c r="A102" s="10"/>
      <x:c r="B102" s="10"/>
      <x:c r="C102" s="10"/>
      <x:c r="D102" s="10"/>
      <x:c r="E102" s="12"/>
      <x:c r="F102" s="12"/>
      <x:c r="G102" s="13"/>
      <x:c r="H102" s="11" t="str">
        <x:f>IF(A102="","",SUMIFS('Shipments'!$I$8:$I$207,'Shipments'!$D$8:$D$207,A102,'Shipments'!$C$8:$C$207,"Inbound"))</x:f>
      </x:c>
      <x:c r="I102" s="11" t="str">
        <x:f>IF(A102="","",MAX(0,E102-F102-H102))</x:f>
      </x:c>
      <x:c r="J102" s="11" t="str">
        <x:f>IF(A102="","",SUMIFS('Shipments'!$K$8:$K$207,'Shipments'!$D$8:$D$207,A102,'Shipments'!$C$8:$C$207,"Inbound"))</x:f>
      </x:c>
      <x:c r="K102" s="11" t="str">
        <x:f>IF(A102="","",MAX(0,I102-J102))</x:f>
      </x:c>
      <x:c r="L102" s="9" t="str">
        <x:f>IF(A102="","",IF(COUNTIFS('Orders'!$A$8:$A$207,A102)&lt;&gt;1,"Duplicate order line",IF(OR(B102="",C102=""),"Set PO and supplier",IF(COUNTIFS('Definitions'!$A$8:$A$207,D102)&lt;&gt;1,"Unknown / duplicate part",IF(VLOOKUP(D102,'Definitions'!$A$8:$J$207,3,FALSE)&lt;&gt;"Part","Order purchasable parts only",IF(OR(NOT(ISNUMBER(E102)),E102&lt;=0,MOD(E102,1)&lt;&gt;0,NOT(ISNUMBER(F102)),F102&lt;0,MOD(F102,1)&lt;&gt;0),"Invalid ordered / cancelled qty",IF(H102+F102&gt;E102,"Receipts exceed net order",IF(J102&gt;I102,"Transit exceeds outstanding qty","OK"))))))))</x:f>
      </x:c>
    </x:row>
    <x:row r="103" ht="22" customHeight="1">
      <x:c r="A103" s="10"/>
      <x:c r="B103" s="10"/>
      <x:c r="C103" s="10"/>
      <x:c r="D103" s="10"/>
      <x:c r="E103" s="12"/>
      <x:c r="F103" s="12"/>
      <x:c r="G103" s="13"/>
      <x:c r="H103" s="11" t="str">
        <x:f>IF(A103="","",SUMIFS('Shipments'!$I$8:$I$207,'Shipments'!$D$8:$D$207,A103,'Shipments'!$C$8:$C$207,"Inbound"))</x:f>
      </x:c>
      <x:c r="I103" s="11" t="str">
        <x:f>IF(A103="","",MAX(0,E103-F103-H103))</x:f>
      </x:c>
      <x:c r="J103" s="11" t="str">
        <x:f>IF(A103="","",SUMIFS('Shipments'!$K$8:$K$207,'Shipments'!$D$8:$D$207,A103,'Shipments'!$C$8:$C$207,"Inbound"))</x:f>
      </x:c>
      <x:c r="K103" s="11" t="str">
        <x:f>IF(A103="","",MAX(0,I103-J103))</x:f>
      </x:c>
      <x:c r="L103" s="9" t="str">
        <x:f>IF(A103="","",IF(COUNTIFS('Orders'!$A$8:$A$207,A103)&lt;&gt;1,"Duplicate order line",IF(OR(B103="",C103=""),"Set PO and supplier",IF(COUNTIFS('Definitions'!$A$8:$A$207,D103)&lt;&gt;1,"Unknown / duplicate part",IF(VLOOKUP(D103,'Definitions'!$A$8:$J$207,3,FALSE)&lt;&gt;"Part","Order purchasable parts only",IF(OR(NOT(ISNUMBER(E103)),E103&lt;=0,MOD(E103,1)&lt;&gt;0,NOT(ISNUMBER(F103)),F103&lt;0,MOD(F103,1)&lt;&gt;0),"Invalid ordered / cancelled qty",IF(H103+F103&gt;E103,"Receipts exceed net order",IF(J103&gt;I103,"Transit exceeds outstanding qty","OK"))))))))</x:f>
      </x:c>
    </x:row>
    <x:row r="104" ht="22" customHeight="1">
      <x:c r="A104" s="10"/>
      <x:c r="B104" s="10"/>
      <x:c r="C104" s="10"/>
      <x:c r="D104" s="10"/>
      <x:c r="E104" s="12"/>
      <x:c r="F104" s="12"/>
      <x:c r="G104" s="13"/>
      <x:c r="H104" s="11" t="str">
        <x:f>IF(A104="","",SUMIFS('Shipments'!$I$8:$I$207,'Shipments'!$D$8:$D$207,A104,'Shipments'!$C$8:$C$207,"Inbound"))</x:f>
      </x:c>
      <x:c r="I104" s="11" t="str">
        <x:f>IF(A104="","",MAX(0,E104-F104-H104))</x:f>
      </x:c>
      <x:c r="J104" s="11" t="str">
        <x:f>IF(A104="","",SUMIFS('Shipments'!$K$8:$K$207,'Shipments'!$D$8:$D$207,A104,'Shipments'!$C$8:$C$207,"Inbound"))</x:f>
      </x:c>
      <x:c r="K104" s="11" t="str">
        <x:f>IF(A104="","",MAX(0,I104-J104))</x:f>
      </x:c>
      <x:c r="L104" s="9" t="str">
        <x:f>IF(A104="","",IF(COUNTIFS('Orders'!$A$8:$A$207,A104)&lt;&gt;1,"Duplicate order line",IF(OR(B104="",C104=""),"Set PO and supplier",IF(COUNTIFS('Definitions'!$A$8:$A$207,D104)&lt;&gt;1,"Unknown / duplicate part",IF(VLOOKUP(D104,'Definitions'!$A$8:$J$207,3,FALSE)&lt;&gt;"Part","Order purchasable parts only",IF(OR(NOT(ISNUMBER(E104)),E104&lt;=0,MOD(E104,1)&lt;&gt;0,NOT(ISNUMBER(F104)),F104&lt;0,MOD(F104,1)&lt;&gt;0),"Invalid ordered / cancelled qty",IF(H104+F104&gt;E104,"Receipts exceed net order",IF(J104&gt;I104,"Transit exceeds outstanding qty","OK"))))))))</x:f>
      </x:c>
    </x:row>
    <x:row r="105" ht="22" customHeight="1">
      <x:c r="A105" s="10"/>
      <x:c r="B105" s="10"/>
      <x:c r="C105" s="10"/>
      <x:c r="D105" s="10"/>
      <x:c r="E105" s="12"/>
      <x:c r="F105" s="12"/>
      <x:c r="G105" s="13"/>
      <x:c r="H105" s="11" t="str">
        <x:f>IF(A105="","",SUMIFS('Shipments'!$I$8:$I$207,'Shipments'!$D$8:$D$207,A105,'Shipments'!$C$8:$C$207,"Inbound"))</x:f>
      </x:c>
      <x:c r="I105" s="11" t="str">
        <x:f>IF(A105="","",MAX(0,E105-F105-H105))</x:f>
      </x:c>
      <x:c r="J105" s="11" t="str">
        <x:f>IF(A105="","",SUMIFS('Shipments'!$K$8:$K$207,'Shipments'!$D$8:$D$207,A105,'Shipments'!$C$8:$C$207,"Inbound"))</x:f>
      </x:c>
      <x:c r="K105" s="11" t="str">
        <x:f>IF(A105="","",MAX(0,I105-J105))</x:f>
      </x:c>
      <x:c r="L105" s="9" t="str">
        <x:f>IF(A105="","",IF(COUNTIFS('Orders'!$A$8:$A$207,A105)&lt;&gt;1,"Duplicate order line",IF(OR(B105="",C105=""),"Set PO and supplier",IF(COUNTIFS('Definitions'!$A$8:$A$207,D105)&lt;&gt;1,"Unknown / duplicate part",IF(VLOOKUP(D105,'Definitions'!$A$8:$J$207,3,FALSE)&lt;&gt;"Part","Order purchasable parts only",IF(OR(NOT(ISNUMBER(E105)),E105&lt;=0,MOD(E105,1)&lt;&gt;0,NOT(ISNUMBER(F105)),F105&lt;0,MOD(F105,1)&lt;&gt;0),"Invalid ordered / cancelled qty",IF(H105+F105&gt;E105,"Receipts exceed net order",IF(J105&gt;I105,"Transit exceeds outstanding qty","OK"))))))))</x:f>
      </x:c>
    </x:row>
    <x:row r="106" ht="22" customHeight="1">
      <x:c r="A106" s="10"/>
      <x:c r="B106" s="10"/>
      <x:c r="C106" s="10"/>
      <x:c r="D106" s="10"/>
      <x:c r="E106" s="12"/>
      <x:c r="F106" s="12"/>
      <x:c r="G106" s="13"/>
      <x:c r="H106" s="11" t="str">
        <x:f>IF(A106="","",SUMIFS('Shipments'!$I$8:$I$207,'Shipments'!$D$8:$D$207,A106,'Shipments'!$C$8:$C$207,"Inbound"))</x:f>
      </x:c>
      <x:c r="I106" s="11" t="str">
        <x:f>IF(A106="","",MAX(0,E106-F106-H106))</x:f>
      </x:c>
      <x:c r="J106" s="11" t="str">
        <x:f>IF(A106="","",SUMIFS('Shipments'!$K$8:$K$207,'Shipments'!$D$8:$D$207,A106,'Shipments'!$C$8:$C$207,"Inbound"))</x:f>
      </x:c>
      <x:c r="K106" s="11" t="str">
        <x:f>IF(A106="","",MAX(0,I106-J106))</x:f>
      </x:c>
      <x:c r="L106" s="9" t="str">
        <x:f>IF(A106="","",IF(COUNTIFS('Orders'!$A$8:$A$207,A106)&lt;&gt;1,"Duplicate order line",IF(OR(B106="",C106=""),"Set PO and supplier",IF(COUNTIFS('Definitions'!$A$8:$A$207,D106)&lt;&gt;1,"Unknown / duplicate part",IF(VLOOKUP(D106,'Definitions'!$A$8:$J$207,3,FALSE)&lt;&gt;"Part","Order purchasable parts only",IF(OR(NOT(ISNUMBER(E106)),E106&lt;=0,MOD(E106,1)&lt;&gt;0,NOT(ISNUMBER(F106)),F106&lt;0,MOD(F106,1)&lt;&gt;0),"Invalid ordered / cancelled qty",IF(H106+F106&gt;E106,"Receipts exceed net order",IF(J106&gt;I106,"Transit exceeds outstanding qty","OK"))))))))</x:f>
      </x:c>
    </x:row>
    <x:row r="107" ht="22" customHeight="1">
      <x:c r="A107" s="10"/>
      <x:c r="B107" s="10"/>
      <x:c r="C107" s="10"/>
      <x:c r="D107" s="10"/>
      <x:c r="E107" s="12"/>
      <x:c r="F107" s="12"/>
      <x:c r="G107" s="13"/>
      <x:c r="H107" s="11" t="str">
        <x:f>IF(A107="","",SUMIFS('Shipments'!$I$8:$I$207,'Shipments'!$D$8:$D$207,A107,'Shipments'!$C$8:$C$207,"Inbound"))</x:f>
      </x:c>
      <x:c r="I107" s="11" t="str">
        <x:f>IF(A107="","",MAX(0,E107-F107-H107))</x:f>
      </x:c>
      <x:c r="J107" s="11" t="str">
        <x:f>IF(A107="","",SUMIFS('Shipments'!$K$8:$K$207,'Shipments'!$D$8:$D$207,A107,'Shipments'!$C$8:$C$207,"Inbound"))</x:f>
      </x:c>
      <x:c r="K107" s="11" t="str">
        <x:f>IF(A107="","",MAX(0,I107-J107))</x:f>
      </x:c>
      <x:c r="L107" s="9" t="str">
        <x:f>IF(A107="","",IF(COUNTIFS('Orders'!$A$8:$A$207,A107)&lt;&gt;1,"Duplicate order line",IF(OR(B107="",C107=""),"Set PO and supplier",IF(COUNTIFS('Definitions'!$A$8:$A$207,D107)&lt;&gt;1,"Unknown / duplicate part",IF(VLOOKUP(D107,'Definitions'!$A$8:$J$207,3,FALSE)&lt;&gt;"Part","Order purchasable parts only",IF(OR(NOT(ISNUMBER(E107)),E107&lt;=0,MOD(E107,1)&lt;&gt;0,NOT(ISNUMBER(F107)),F107&lt;0,MOD(F107,1)&lt;&gt;0),"Invalid ordered / cancelled qty",IF(H107+F107&gt;E107,"Receipts exceed net order",IF(J107&gt;I107,"Transit exceeds outstanding qty","OK"))))))))</x:f>
      </x:c>
    </x:row>
    <x:row r="108" ht="22" customHeight="1">
      <x:c r="A108" s="10"/>
      <x:c r="B108" s="10"/>
      <x:c r="C108" s="10"/>
      <x:c r="D108" s="10"/>
      <x:c r="E108" s="12"/>
      <x:c r="F108" s="12"/>
      <x:c r="G108" s="13"/>
      <x:c r="H108" s="11" t="str">
        <x:f>IF(A108="","",SUMIFS('Shipments'!$I$8:$I$207,'Shipments'!$D$8:$D$207,A108,'Shipments'!$C$8:$C$207,"Inbound"))</x:f>
      </x:c>
      <x:c r="I108" s="11" t="str">
        <x:f>IF(A108="","",MAX(0,E108-F108-H108))</x:f>
      </x:c>
      <x:c r="J108" s="11" t="str">
        <x:f>IF(A108="","",SUMIFS('Shipments'!$K$8:$K$207,'Shipments'!$D$8:$D$207,A108,'Shipments'!$C$8:$C$207,"Inbound"))</x:f>
      </x:c>
      <x:c r="K108" s="11" t="str">
        <x:f>IF(A108="","",MAX(0,I108-J108))</x:f>
      </x:c>
      <x:c r="L108" s="9" t="str">
        <x:f>IF(A108="","",IF(COUNTIFS('Orders'!$A$8:$A$207,A108)&lt;&gt;1,"Duplicate order line",IF(OR(B108="",C108=""),"Set PO and supplier",IF(COUNTIFS('Definitions'!$A$8:$A$207,D108)&lt;&gt;1,"Unknown / duplicate part",IF(VLOOKUP(D108,'Definitions'!$A$8:$J$207,3,FALSE)&lt;&gt;"Part","Order purchasable parts only",IF(OR(NOT(ISNUMBER(E108)),E108&lt;=0,MOD(E108,1)&lt;&gt;0,NOT(ISNUMBER(F108)),F108&lt;0,MOD(F108,1)&lt;&gt;0),"Invalid ordered / cancelled qty",IF(H108+F108&gt;E108,"Receipts exceed net order",IF(J108&gt;I108,"Transit exceeds outstanding qty","OK"))))))))</x:f>
      </x:c>
    </x:row>
    <x:row r="109" ht="22" customHeight="1">
      <x:c r="A109" s="10"/>
      <x:c r="B109" s="10"/>
      <x:c r="C109" s="10"/>
      <x:c r="D109" s="10"/>
      <x:c r="E109" s="12"/>
      <x:c r="F109" s="12"/>
      <x:c r="G109" s="13"/>
      <x:c r="H109" s="11" t="str">
        <x:f>IF(A109="","",SUMIFS('Shipments'!$I$8:$I$207,'Shipments'!$D$8:$D$207,A109,'Shipments'!$C$8:$C$207,"Inbound"))</x:f>
      </x:c>
      <x:c r="I109" s="11" t="str">
        <x:f>IF(A109="","",MAX(0,E109-F109-H109))</x:f>
      </x:c>
      <x:c r="J109" s="11" t="str">
        <x:f>IF(A109="","",SUMIFS('Shipments'!$K$8:$K$207,'Shipments'!$D$8:$D$207,A109,'Shipments'!$C$8:$C$207,"Inbound"))</x:f>
      </x:c>
      <x:c r="K109" s="11" t="str">
        <x:f>IF(A109="","",MAX(0,I109-J109))</x:f>
      </x:c>
      <x:c r="L109" s="9" t="str">
        <x:f>IF(A109="","",IF(COUNTIFS('Orders'!$A$8:$A$207,A109)&lt;&gt;1,"Duplicate order line",IF(OR(B109="",C109=""),"Set PO and supplier",IF(COUNTIFS('Definitions'!$A$8:$A$207,D109)&lt;&gt;1,"Unknown / duplicate part",IF(VLOOKUP(D109,'Definitions'!$A$8:$J$207,3,FALSE)&lt;&gt;"Part","Order purchasable parts only",IF(OR(NOT(ISNUMBER(E109)),E109&lt;=0,MOD(E109,1)&lt;&gt;0,NOT(ISNUMBER(F109)),F109&lt;0,MOD(F109,1)&lt;&gt;0),"Invalid ordered / cancelled qty",IF(H109+F109&gt;E109,"Receipts exceed net order",IF(J109&gt;I109,"Transit exceeds outstanding qty","OK"))))))))</x:f>
      </x:c>
    </x:row>
    <x:row r="110" ht="22" customHeight="1">
      <x:c r="A110" s="10"/>
      <x:c r="B110" s="10"/>
      <x:c r="C110" s="10"/>
      <x:c r="D110" s="10"/>
      <x:c r="E110" s="12"/>
      <x:c r="F110" s="12"/>
      <x:c r="G110" s="13"/>
      <x:c r="H110" s="11" t="str">
        <x:f>IF(A110="","",SUMIFS('Shipments'!$I$8:$I$207,'Shipments'!$D$8:$D$207,A110,'Shipments'!$C$8:$C$207,"Inbound"))</x:f>
      </x:c>
      <x:c r="I110" s="11" t="str">
        <x:f>IF(A110="","",MAX(0,E110-F110-H110))</x:f>
      </x:c>
      <x:c r="J110" s="11" t="str">
        <x:f>IF(A110="","",SUMIFS('Shipments'!$K$8:$K$207,'Shipments'!$D$8:$D$207,A110,'Shipments'!$C$8:$C$207,"Inbound"))</x:f>
      </x:c>
      <x:c r="K110" s="11" t="str">
        <x:f>IF(A110="","",MAX(0,I110-J110))</x:f>
      </x:c>
      <x:c r="L110" s="9" t="str">
        <x:f>IF(A110="","",IF(COUNTIFS('Orders'!$A$8:$A$207,A110)&lt;&gt;1,"Duplicate order line",IF(OR(B110="",C110=""),"Set PO and supplier",IF(COUNTIFS('Definitions'!$A$8:$A$207,D110)&lt;&gt;1,"Unknown / duplicate part",IF(VLOOKUP(D110,'Definitions'!$A$8:$J$207,3,FALSE)&lt;&gt;"Part","Order purchasable parts only",IF(OR(NOT(ISNUMBER(E110)),E110&lt;=0,MOD(E110,1)&lt;&gt;0,NOT(ISNUMBER(F110)),F110&lt;0,MOD(F110,1)&lt;&gt;0),"Invalid ordered / cancelled qty",IF(H110+F110&gt;E110,"Receipts exceed net order",IF(J110&gt;I110,"Transit exceeds outstanding qty","OK"))))))))</x:f>
      </x:c>
    </x:row>
    <x:row r="111" ht="22" customHeight="1">
      <x:c r="A111" s="10"/>
      <x:c r="B111" s="10"/>
      <x:c r="C111" s="10"/>
      <x:c r="D111" s="10"/>
      <x:c r="E111" s="12"/>
      <x:c r="F111" s="12"/>
      <x:c r="G111" s="13"/>
      <x:c r="H111" s="11" t="str">
        <x:f>IF(A111="","",SUMIFS('Shipments'!$I$8:$I$207,'Shipments'!$D$8:$D$207,A111,'Shipments'!$C$8:$C$207,"Inbound"))</x:f>
      </x:c>
      <x:c r="I111" s="11" t="str">
        <x:f>IF(A111="","",MAX(0,E111-F111-H111))</x:f>
      </x:c>
      <x:c r="J111" s="11" t="str">
        <x:f>IF(A111="","",SUMIFS('Shipments'!$K$8:$K$207,'Shipments'!$D$8:$D$207,A111,'Shipments'!$C$8:$C$207,"Inbound"))</x:f>
      </x:c>
      <x:c r="K111" s="11" t="str">
        <x:f>IF(A111="","",MAX(0,I111-J111))</x:f>
      </x:c>
      <x:c r="L111" s="9" t="str">
        <x:f>IF(A111="","",IF(COUNTIFS('Orders'!$A$8:$A$207,A111)&lt;&gt;1,"Duplicate order line",IF(OR(B111="",C111=""),"Set PO and supplier",IF(COUNTIFS('Definitions'!$A$8:$A$207,D111)&lt;&gt;1,"Unknown / duplicate part",IF(VLOOKUP(D111,'Definitions'!$A$8:$J$207,3,FALSE)&lt;&gt;"Part","Order purchasable parts only",IF(OR(NOT(ISNUMBER(E111)),E111&lt;=0,MOD(E111,1)&lt;&gt;0,NOT(ISNUMBER(F111)),F111&lt;0,MOD(F111,1)&lt;&gt;0),"Invalid ordered / cancelled qty",IF(H111+F111&gt;E111,"Receipts exceed net order",IF(J111&gt;I111,"Transit exceeds outstanding qty","OK"))))))))</x:f>
      </x:c>
    </x:row>
    <x:row r="112" ht="22" customHeight="1">
      <x:c r="A112" s="10"/>
      <x:c r="B112" s="10"/>
      <x:c r="C112" s="10"/>
      <x:c r="D112" s="10"/>
      <x:c r="E112" s="12"/>
      <x:c r="F112" s="12"/>
      <x:c r="G112" s="13"/>
      <x:c r="H112" s="11" t="str">
        <x:f>IF(A112="","",SUMIFS('Shipments'!$I$8:$I$207,'Shipments'!$D$8:$D$207,A112,'Shipments'!$C$8:$C$207,"Inbound"))</x:f>
      </x:c>
      <x:c r="I112" s="11" t="str">
        <x:f>IF(A112="","",MAX(0,E112-F112-H112))</x:f>
      </x:c>
      <x:c r="J112" s="11" t="str">
        <x:f>IF(A112="","",SUMIFS('Shipments'!$K$8:$K$207,'Shipments'!$D$8:$D$207,A112,'Shipments'!$C$8:$C$207,"Inbound"))</x:f>
      </x:c>
      <x:c r="K112" s="11" t="str">
        <x:f>IF(A112="","",MAX(0,I112-J112))</x:f>
      </x:c>
      <x:c r="L112" s="9" t="str">
        <x:f>IF(A112="","",IF(COUNTIFS('Orders'!$A$8:$A$207,A112)&lt;&gt;1,"Duplicate order line",IF(OR(B112="",C112=""),"Set PO and supplier",IF(COUNTIFS('Definitions'!$A$8:$A$207,D112)&lt;&gt;1,"Unknown / duplicate part",IF(VLOOKUP(D112,'Definitions'!$A$8:$J$207,3,FALSE)&lt;&gt;"Part","Order purchasable parts only",IF(OR(NOT(ISNUMBER(E112)),E112&lt;=0,MOD(E112,1)&lt;&gt;0,NOT(ISNUMBER(F112)),F112&lt;0,MOD(F112,1)&lt;&gt;0),"Invalid ordered / cancelled qty",IF(H112+F112&gt;E112,"Receipts exceed net order",IF(J112&gt;I112,"Transit exceeds outstanding qty","OK"))))))))</x:f>
      </x:c>
    </x:row>
    <x:row r="113" ht="22" customHeight="1">
      <x:c r="A113" s="10"/>
      <x:c r="B113" s="10"/>
      <x:c r="C113" s="10"/>
      <x:c r="D113" s="10"/>
      <x:c r="E113" s="12"/>
      <x:c r="F113" s="12"/>
      <x:c r="G113" s="13"/>
      <x:c r="H113" s="11" t="str">
        <x:f>IF(A113="","",SUMIFS('Shipments'!$I$8:$I$207,'Shipments'!$D$8:$D$207,A113,'Shipments'!$C$8:$C$207,"Inbound"))</x:f>
      </x:c>
      <x:c r="I113" s="11" t="str">
        <x:f>IF(A113="","",MAX(0,E113-F113-H113))</x:f>
      </x:c>
      <x:c r="J113" s="11" t="str">
        <x:f>IF(A113="","",SUMIFS('Shipments'!$K$8:$K$207,'Shipments'!$D$8:$D$207,A113,'Shipments'!$C$8:$C$207,"Inbound"))</x:f>
      </x:c>
      <x:c r="K113" s="11" t="str">
        <x:f>IF(A113="","",MAX(0,I113-J113))</x:f>
      </x:c>
      <x:c r="L113" s="9" t="str">
        <x:f>IF(A113="","",IF(COUNTIFS('Orders'!$A$8:$A$207,A113)&lt;&gt;1,"Duplicate order line",IF(OR(B113="",C113=""),"Set PO and supplier",IF(COUNTIFS('Definitions'!$A$8:$A$207,D113)&lt;&gt;1,"Unknown / duplicate part",IF(VLOOKUP(D113,'Definitions'!$A$8:$J$207,3,FALSE)&lt;&gt;"Part","Order purchasable parts only",IF(OR(NOT(ISNUMBER(E113)),E113&lt;=0,MOD(E113,1)&lt;&gt;0,NOT(ISNUMBER(F113)),F113&lt;0,MOD(F113,1)&lt;&gt;0),"Invalid ordered / cancelled qty",IF(H113+F113&gt;E113,"Receipts exceed net order",IF(J113&gt;I113,"Transit exceeds outstanding qty","OK"))))))))</x:f>
      </x:c>
    </x:row>
    <x:row r="114" ht="22" customHeight="1">
      <x:c r="A114" s="10"/>
      <x:c r="B114" s="10"/>
      <x:c r="C114" s="10"/>
      <x:c r="D114" s="10"/>
      <x:c r="E114" s="12"/>
      <x:c r="F114" s="12"/>
      <x:c r="G114" s="13"/>
      <x:c r="H114" s="11" t="str">
        <x:f>IF(A114="","",SUMIFS('Shipments'!$I$8:$I$207,'Shipments'!$D$8:$D$207,A114,'Shipments'!$C$8:$C$207,"Inbound"))</x:f>
      </x:c>
      <x:c r="I114" s="11" t="str">
        <x:f>IF(A114="","",MAX(0,E114-F114-H114))</x:f>
      </x:c>
      <x:c r="J114" s="11" t="str">
        <x:f>IF(A114="","",SUMIFS('Shipments'!$K$8:$K$207,'Shipments'!$D$8:$D$207,A114,'Shipments'!$C$8:$C$207,"Inbound"))</x:f>
      </x:c>
      <x:c r="K114" s="11" t="str">
        <x:f>IF(A114="","",MAX(0,I114-J114))</x:f>
      </x:c>
      <x:c r="L114" s="9" t="str">
        <x:f>IF(A114="","",IF(COUNTIFS('Orders'!$A$8:$A$207,A114)&lt;&gt;1,"Duplicate order line",IF(OR(B114="",C114=""),"Set PO and supplier",IF(COUNTIFS('Definitions'!$A$8:$A$207,D114)&lt;&gt;1,"Unknown / duplicate part",IF(VLOOKUP(D114,'Definitions'!$A$8:$J$207,3,FALSE)&lt;&gt;"Part","Order purchasable parts only",IF(OR(NOT(ISNUMBER(E114)),E114&lt;=0,MOD(E114,1)&lt;&gt;0,NOT(ISNUMBER(F114)),F114&lt;0,MOD(F114,1)&lt;&gt;0),"Invalid ordered / cancelled qty",IF(H114+F114&gt;E114,"Receipts exceed net order",IF(J114&gt;I114,"Transit exceeds outstanding qty","OK"))))))))</x:f>
      </x:c>
    </x:row>
    <x:row r="115" ht="22" customHeight="1">
      <x:c r="A115" s="10"/>
      <x:c r="B115" s="10"/>
      <x:c r="C115" s="10"/>
      <x:c r="D115" s="10"/>
      <x:c r="E115" s="12"/>
      <x:c r="F115" s="12"/>
      <x:c r="G115" s="13"/>
      <x:c r="H115" s="11" t="str">
        <x:f>IF(A115="","",SUMIFS('Shipments'!$I$8:$I$207,'Shipments'!$D$8:$D$207,A115,'Shipments'!$C$8:$C$207,"Inbound"))</x:f>
      </x:c>
      <x:c r="I115" s="11" t="str">
        <x:f>IF(A115="","",MAX(0,E115-F115-H115))</x:f>
      </x:c>
      <x:c r="J115" s="11" t="str">
        <x:f>IF(A115="","",SUMIFS('Shipments'!$K$8:$K$207,'Shipments'!$D$8:$D$207,A115,'Shipments'!$C$8:$C$207,"Inbound"))</x:f>
      </x:c>
      <x:c r="K115" s="11" t="str">
        <x:f>IF(A115="","",MAX(0,I115-J115))</x:f>
      </x:c>
      <x:c r="L115" s="9" t="str">
        <x:f>IF(A115="","",IF(COUNTIFS('Orders'!$A$8:$A$207,A115)&lt;&gt;1,"Duplicate order line",IF(OR(B115="",C115=""),"Set PO and supplier",IF(COUNTIFS('Definitions'!$A$8:$A$207,D115)&lt;&gt;1,"Unknown / duplicate part",IF(VLOOKUP(D115,'Definitions'!$A$8:$J$207,3,FALSE)&lt;&gt;"Part","Order purchasable parts only",IF(OR(NOT(ISNUMBER(E115)),E115&lt;=0,MOD(E115,1)&lt;&gt;0,NOT(ISNUMBER(F115)),F115&lt;0,MOD(F115,1)&lt;&gt;0),"Invalid ordered / cancelled qty",IF(H115+F115&gt;E115,"Receipts exceed net order",IF(J115&gt;I115,"Transit exceeds outstanding qty","OK"))))))))</x:f>
      </x:c>
    </x:row>
    <x:row r="116" ht="22" customHeight="1">
      <x:c r="A116" s="10"/>
      <x:c r="B116" s="10"/>
      <x:c r="C116" s="10"/>
      <x:c r="D116" s="10"/>
      <x:c r="E116" s="12"/>
      <x:c r="F116" s="12"/>
      <x:c r="G116" s="13"/>
      <x:c r="H116" s="11" t="str">
        <x:f>IF(A116="","",SUMIFS('Shipments'!$I$8:$I$207,'Shipments'!$D$8:$D$207,A116,'Shipments'!$C$8:$C$207,"Inbound"))</x:f>
      </x:c>
      <x:c r="I116" s="11" t="str">
        <x:f>IF(A116="","",MAX(0,E116-F116-H116))</x:f>
      </x:c>
      <x:c r="J116" s="11" t="str">
        <x:f>IF(A116="","",SUMIFS('Shipments'!$K$8:$K$207,'Shipments'!$D$8:$D$207,A116,'Shipments'!$C$8:$C$207,"Inbound"))</x:f>
      </x:c>
      <x:c r="K116" s="11" t="str">
        <x:f>IF(A116="","",MAX(0,I116-J116))</x:f>
      </x:c>
      <x:c r="L116" s="9" t="str">
        <x:f>IF(A116="","",IF(COUNTIFS('Orders'!$A$8:$A$207,A116)&lt;&gt;1,"Duplicate order line",IF(OR(B116="",C116=""),"Set PO and supplier",IF(COUNTIFS('Definitions'!$A$8:$A$207,D116)&lt;&gt;1,"Unknown / duplicate part",IF(VLOOKUP(D116,'Definitions'!$A$8:$J$207,3,FALSE)&lt;&gt;"Part","Order purchasable parts only",IF(OR(NOT(ISNUMBER(E116)),E116&lt;=0,MOD(E116,1)&lt;&gt;0,NOT(ISNUMBER(F116)),F116&lt;0,MOD(F116,1)&lt;&gt;0),"Invalid ordered / cancelled qty",IF(H116+F116&gt;E116,"Receipts exceed net order",IF(J116&gt;I116,"Transit exceeds outstanding qty","OK"))))))))</x:f>
      </x:c>
    </x:row>
    <x:row r="117" ht="22" customHeight="1">
      <x:c r="A117" s="10"/>
      <x:c r="B117" s="10"/>
      <x:c r="C117" s="10"/>
      <x:c r="D117" s="10"/>
      <x:c r="E117" s="12"/>
      <x:c r="F117" s="12"/>
      <x:c r="G117" s="13"/>
      <x:c r="H117" s="11" t="str">
        <x:f>IF(A117="","",SUMIFS('Shipments'!$I$8:$I$207,'Shipments'!$D$8:$D$207,A117,'Shipments'!$C$8:$C$207,"Inbound"))</x:f>
      </x:c>
      <x:c r="I117" s="11" t="str">
        <x:f>IF(A117="","",MAX(0,E117-F117-H117))</x:f>
      </x:c>
      <x:c r="J117" s="11" t="str">
        <x:f>IF(A117="","",SUMIFS('Shipments'!$K$8:$K$207,'Shipments'!$D$8:$D$207,A117,'Shipments'!$C$8:$C$207,"Inbound"))</x:f>
      </x:c>
      <x:c r="K117" s="11" t="str">
        <x:f>IF(A117="","",MAX(0,I117-J117))</x:f>
      </x:c>
      <x:c r="L117" s="9" t="str">
        <x:f>IF(A117="","",IF(COUNTIFS('Orders'!$A$8:$A$207,A117)&lt;&gt;1,"Duplicate order line",IF(OR(B117="",C117=""),"Set PO and supplier",IF(COUNTIFS('Definitions'!$A$8:$A$207,D117)&lt;&gt;1,"Unknown / duplicate part",IF(VLOOKUP(D117,'Definitions'!$A$8:$J$207,3,FALSE)&lt;&gt;"Part","Order purchasable parts only",IF(OR(NOT(ISNUMBER(E117)),E117&lt;=0,MOD(E117,1)&lt;&gt;0,NOT(ISNUMBER(F117)),F117&lt;0,MOD(F117,1)&lt;&gt;0),"Invalid ordered / cancelled qty",IF(H117+F117&gt;E117,"Receipts exceed net order",IF(J117&gt;I117,"Transit exceeds outstanding qty","OK"))))))))</x:f>
      </x:c>
    </x:row>
    <x:row r="118" ht="22" customHeight="1">
      <x:c r="A118" s="10"/>
      <x:c r="B118" s="10"/>
      <x:c r="C118" s="10"/>
      <x:c r="D118" s="10"/>
      <x:c r="E118" s="12"/>
      <x:c r="F118" s="12"/>
      <x:c r="G118" s="13"/>
      <x:c r="H118" s="11" t="str">
        <x:f>IF(A118="","",SUMIFS('Shipments'!$I$8:$I$207,'Shipments'!$D$8:$D$207,A118,'Shipments'!$C$8:$C$207,"Inbound"))</x:f>
      </x:c>
      <x:c r="I118" s="11" t="str">
        <x:f>IF(A118="","",MAX(0,E118-F118-H118))</x:f>
      </x:c>
      <x:c r="J118" s="11" t="str">
        <x:f>IF(A118="","",SUMIFS('Shipments'!$K$8:$K$207,'Shipments'!$D$8:$D$207,A118,'Shipments'!$C$8:$C$207,"Inbound"))</x:f>
      </x:c>
      <x:c r="K118" s="11" t="str">
        <x:f>IF(A118="","",MAX(0,I118-J118))</x:f>
      </x:c>
      <x:c r="L118" s="9" t="str">
        <x:f>IF(A118="","",IF(COUNTIFS('Orders'!$A$8:$A$207,A118)&lt;&gt;1,"Duplicate order line",IF(OR(B118="",C118=""),"Set PO and supplier",IF(COUNTIFS('Definitions'!$A$8:$A$207,D118)&lt;&gt;1,"Unknown / duplicate part",IF(VLOOKUP(D118,'Definitions'!$A$8:$J$207,3,FALSE)&lt;&gt;"Part","Order purchasable parts only",IF(OR(NOT(ISNUMBER(E118)),E118&lt;=0,MOD(E118,1)&lt;&gt;0,NOT(ISNUMBER(F118)),F118&lt;0,MOD(F118,1)&lt;&gt;0),"Invalid ordered / cancelled qty",IF(H118+F118&gt;E118,"Receipts exceed net order",IF(J118&gt;I118,"Transit exceeds outstanding qty","OK"))))))))</x:f>
      </x:c>
    </x:row>
    <x:row r="119" ht="22" customHeight="1">
      <x:c r="A119" s="10"/>
      <x:c r="B119" s="10"/>
      <x:c r="C119" s="10"/>
      <x:c r="D119" s="10"/>
      <x:c r="E119" s="12"/>
      <x:c r="F119" s="12"/>
      <x:c r="G119" s="13"/>
      <x:c r="H119" s="11" t="str">
        <x:f>IF(A119="","",SUMIFS('Shipments'!$I$8:$I$207,'Shipments'!$D$8:$D$207,A119,'Shipments'!$C$8:$C$207,"Inbound"))</x:f>
      </x:c>
      <x:c r="I119" s="11" t="str">
        <x:f>IF(A119="","",MAX(0,E119-F119-H119))</x:f>
      </x:c>
      <x:c r="J119" s="11" t="str">
        <x:f>IF(A119="","",SUMIFS('Shipments'!$K$8:$K$207,'Shipments'!$D$8:$D$207,A119,'Shipments'!$C$8:$C$207,"Inbound"))</x:f>
      </x:c>
      <x:c r="K119" s="11" t="str">
        <x:f>IF(A119="","",MAX(0,I119-J119))</x:f>
      </x:c>
      <x:c r="L119" s="9" t="str">
        <x:f>IF(A119="","",IF(COUNTIFS('Orders'!$A$8:$A$207,A119)&lt;&gt;1,"Duplicate order line",IF(OR(B119="",C119=""),"Set PO and supplier",IF(COUNTIFS('Definitions'!$A$8:$A$207,D119)&lt;&gt;1,"Unknown / duplicate part",IF(VLOOKUP(D119,'Definitions'!$A$8:$J$207,3,FALSE)&lt;&gt;"Part","Order purchasable parts only",IF(OR(NOT(ISNUMBER(E119)),E119&lt;=0,MOD(E119,1)&lt;&gt;0,NOT(ISNUMBER(F119)),F119&lt;0,MOD(F119,1)&lt;&gt;0),"Invalid ordered / cancelled qty",IF(H119+F119&gt;E119,"Receipts exceed net order",IF(J119&gt;I119,"Transit exceeds outstanding qty","OK"))))))))</x:f>
      </x:c>
    </x:row>
    <x:row r="120" ht="22" customHeight="1">
      <x:c r="A120" s="10"/>
      <x:c r="B120" s="10"/>
      <x:c r="C120" s="10"/>
      <x:c r="D120" s="10"/>
      <x:c r="E120" s="12"/>
      <x:c r="F120" s="12"/>
      <x:c r="G120" s="13"/>
      <x:c r="H120" s="11" t="str">
        <x:f>IF(A120="","",SUMIFS('Shipments'!$I$8:$I$207,'Shipments'!$D$8:$D$207,A120,'Shipments'!$C$8:$C$207,"Inbound"))</x:f>
      </x:c>
      <x:c r="I120" s="11" t="str">
        <x:f>IF(A120="","",MAX(0,E120-F120-H120))</x:f>
      </x:c>
      <x:c r="J120" s="11" t="str">
        <x:f>IF(A120="","",SUMIFS('Shipments'!$K$8:$K$207,'Shipments'!$D$8:$D$207,A120,'Shipments'!$C$8:$C$207,"Inbound"))</x:f>
      </x:c>
      <x:c r="K120" s="11" t="str">
        <x:f>IF(A120="","",MAX(0,I120-J120))</x:f>
      </x:c>
      <x:c r="L120" s="9" t="str">
        <x:f>IF(A120="","",IF(COUNTIFS('Orders'!$A$8:$A$207,A120)&lt;&gt;1,"Duplicate order line",IF(OR(B120="",C120=""),"Set PO and supplier",IF(COUNTIFS('Definitions'!$A$8:$A$207,D120)&lt;&gt;1,"Unknown / duplicate part",IF(VLOOKUP(D120,'Definitions'!$A$8:$J$207,3,FALSE)&lt;&gt;"Part","Order purchasable parts only",IF(OR(NOT(ISNUMBER(E120)),E120&lt;=0,MOD(E120,1)&lt;&gt;0,NOT(ISNUMBER(F120)),F120&lt;0,MOD(F120,1)&lt;&gt;0),"Invalid ordered / cancelled qty",IF(H120+F120&gt;E120,"Receipts exceed net order",IF(J120&gt;I120,"Transit exceeds outstanding qty","OK"))))))))</x:f>
      </x:c>
    </x:row>
    <x:row r="121" ht="22" customHeight="1">
      <x:c r="A121" s="10"/>
      <x:c r="B121" s="10"/>
      <x:c r="C121" s="10"/>
      <x:c r="D121" s="10"/>
      <x:c r="E121" s="12"/>
      <x:c r="F121" s="12"/>
      <x:c r="G121" s="13"/>
      <x:c r="H121" s="11" t="str">
        <x:f>IF(A121="","",SUMIFS('Shipments'!$I$8:$I$207,'Shipments'!$D$8:$D$207,A121,'Shipments'!$C$8:$C$207,"Inbound"))</x:f>
      </x:c>
      <x:c r="I121" s="11" t="str">
        <x:f>IF(A121="","",MAX(0,E121-F121-H121))</x:f>
      </x:c>
      <x:c r="J121" s="11" t="str">
        <x:f>IF(A121="","",SUMIFS('Shipments'!$K$8:$K$207,'Shipments'!$D$8:$D$207,A121,'Shipments'!$C$8:$C$207,"Inbound"))</x:f>
      </x:c>
      <x:c r="K121" s="11" t="str">
        <x:f>IF(A121="","",MAX(0,I121-J121))</x:f>
      </x:c>
      <x:c r="L121" s="9" t="str">
        <x:f>IF(A121="","",IF(COUNTIFS('Orders'!$A$8:$A$207,A121)&lt;&gt;1,"Duplicate order line",IF(OR(B121="",C121=""),"Set PO and supplier",IF(COUNTIFS('Definitions'!$A$8:$A$207,D121)&lt;&gt;1,"Unknown / duplicate part",IF(VLOOKUP(D121,'Definitions'!$A$8:$J$207,3,FALSE)&lt;&gt;"Part","Order purchasable parts only",IF(OR(NOT(ISNUMBER(E121)),E121&lt;=0,MOD(E121,1)&lt;&gt;0,NOT(ISNUMBER(F121)),F121&lt;0,MOD(F121,1)&lt;&gt;0),"Invalid ordered / cancelled qty",IF(H121+F121&gt;E121,"Receipts exceed net order",IF(J121&gt;I121,"Transit exceeds outstanding qty","OK"))))))))</x:f>
      </x:c>
    </x:row>
    <x:row r="122" ht="22" customHeight="1">
      <x:c r="A122" s="10"/>
      <x:c r="B122" s="10"/>
      <x:c r="C122" s="10"/>
      <x:c r="D122" s="10"/>
      <x:c r="E122" s="12"/>
      <x:c r="F122" s="12"/>
      <x:c r="G122" s="13"/>
      <x:c r="H122" s="11" t="str">
        <x:f>IF(A122="","",SUMIFS('Shipments'!$I$8:$I$207,'Shipments'!$D$8:$D$207,A122,'Shipments'!$C$8:$C$207,"Inbound"))</x:f>
      </x:c>
      <x:c r="I122" s="11" t="str">
        <x:f>IF(A122="","",MAX(0,E122-F122-H122))</x:f>
      </x:c>
      <x:c r="J122" s="11" t="str">
        <x:f>IF(A122="","",SUMIFS('Shipments'!$K$8:$K$207,'Shipments'!$D$8:$D$207,A122,'Shipments'!$C$8:$C$207,"Inbound"))</x:f>
      </x:c>
      <x:c r="K122" s="11" t="str">
        <x:f>IF(A122="","",MAX(0,I122-J122))</x:f>
      </x:c>
      <x:c r="L122" s="9" t="str">
        <x:f>IF(A122="","",IF(COUNTIFS('Orders'!$A$8:$A$207,A122)&lt;&gt;1,"Duplicate order line",IF(OR(B122="",C122=""),"Set PO and supplier",IF(COUNTIFS('Definitions'!$A$8:$A$207,D122)&lt;&gt;1,"Unknown / duplicate part",IF(VLOOKUP(D122,'Definitions'!$A$8:$J$207,3,FALSE)&lt;&gt;"Part","Order purchasable parts only",IF(OR(NOT(ISNUMBER(E122)),E122&lt;=0,MOD(E122,1)&lt;&gt;0,NOT(ISNUMBER(F122)),F122&lt;0,MOD(F122,1)&lt;&gt;0),"Invalid ordered / cancelled qty",IF(H122+F122&gt;E122,"Receipts exceed net order",IF(J122&gt;I122,"Transit exceeds outstanding qty","OK"))))))))</x:f>
      </x:c>
    </x:row>
    <x:row r="123" ht="22" customHeight="1">
      <x:c r="A123" s="10"/>
      <x:c r="B123" s="10"/>
      <x:c r="C123" s="10"/>
      <x:c r="D123" s="10"/>
      <x:c r="E123" s="12"/>
      <x:c r="F123" s="12"/>
      <x:c r="G123" s="13"/>
      <x:c r="H123" s="11" t="str">
        <x:f>IF(A123="","",SUMIFS('Shipments'!$I$8:$I$207,'Shipments'!$D$8:$D$207,A123,'Shipments'!$C$8:$C$207,"Inbound"))</x:f>
      </x:c>
      <x:c r="I123" s="11" t="str">
        <x:f>IF(A123="","",MAX(0,E123-F123-H123))</x:f>
      </x:c>
      <x:c r="J123" s="11" t="str">
        <x:f>IF(A123="","",SUMIFS('Shipments'!$K$8:$K$207,'Shipments'!$D$8:$D$207,A123,'Shipments'!$C$8:$C$207,"Inbound"))</x:f>
      </x:c>
      <x:c r="K123" s="11" t="str">
        <x:f>IF(A123="","",MAX(0,I123-J123))</x:f>
      </x:c>
      <x:c r="L123" s="9" t="str">
        <x:f>IF(A123="","",IF(COUNTIFS('Orders'!$A$8:$A$207,A123)&lt;&gt;1,"Duplicate order line",IF(OR(B123="",C123=""),"Set PO and supplier",IF(COUNTIFS('Definitions'!$A$8:$A$207,D123)&lt;&gt;1,"Unknown / duplicate part",IF(VLOOKUP(D123,'Definitions'!$A$8:$J$207,3,FALSE)&lt;&gt;"Part","Order purchasable parts only",IF(OR(NOT(ISNUMBER(E123)),E123&lt;=0,MOD(E123,1)&lt;&gt;0,NOT(ISNUMBER(F123)),F123&lt;0,MOD(F123,1)&lt;&gt;0),"Invalid ordered / cancelled qty",IF(H123+F123&gt;E123,"Receipts exceed net order",IF(J123&gt;I123,"Transit exceeds outstanding qty","OK"))))))))</x:f>
      </x:c>
    </x:row>
    <x:row r="124" ht="22" customHeight="1">
      <x:c r="A124" s="10"/>
      <x:c r="B124" s="10"/>
      <x:c r="C124" s="10"/>
      <x:c r="D124" s="10"/>
      <x:c r="E124" s="12"/>
      <x:c r="F124" s="12"/>
      <x:c r="G124" s="13"/>
      <x:c r="H124" s="11" t="str">
        <x:f>IF(A124="","",SUMIFS('Shipments'!$I$8:$I$207,'Shipments'!$D$8:$D$207,A124,'Shipments'!$C$8:$C$207,"Inbound"))</x:f>
      </x:c>
      <x:c r="I124" s="11" t="str">
        <x:f>IF(A124="","",MAX(0,E124-F124-H124))</x:f>
      </x:c>
      <x:c r="J124" s="11" t="str">
        <x:f>IF(A124="","",SUMIFS('Shipments'!$K$8:$K$207,'Shipments'!$D$8:$D$207,A124,'Shipments'!$C$8:$C$207,"Inbound"))</x:f>
      </x:c>
      <x:c r="K124" s="11" t="str">
        <x:f>IF(A124="","",MAX(0,I124-J124))</x:f>
      </x:c>
      <x:c r="L124" s="9" t="str">
        <x:f>IF(A124="","",IF(COUNTIFS('Orders'!$A$8:$A$207,A124)&lt;&gt;1,"Duplicate order line",IF(OR(B124="",C124=""),"Set PO and supplier",IF(COUNTIFS('Definitions'!$A$8:$A$207,D124)&lt;&gt;1,"Unknown / duplicate part",IF(VLOOKUP(D124,'Definitions'!$A$8:$J$207,3,FALSE)&lt;&gt;"Part","Order purchasable parts only",IF(OR(NOT(ISNUMBER(E124)),E124&lt;=0,MOD(E124,1)&lt;&gt;0,NOT(ISNUMBER(F124)),F124&lt;0,MOD(F124,1)&lt;&gt;0),"Invalid ordered / cancelled qty",IF(H124+F124&gt;E124,"Receipts exceed net order",IF(J124&gt;I124,"Transit exceeds outstanding qty","OK"))))))))</x:f>
      </x:c>
    </x:row>
    <x:row r="125" ht="22" customHeight="1">
      <x:c r="A125" s="10"/>
      <x:c r="B125" s="10"/>
      <x:c r="C125" s="10"/>
      <x:c r="D125" s="10"/>
      <x:c r="E125" s="12"/>
      <x:c r="F125" s="12"/>
      <x:c r="G125" s="13"/>
      <x:c r="H125" s="11" t="str">
        <x:f>IF(A125="","",SUMIFS('Shipments'!$I$8:$I$207,'Shipments'!$D$8:$D$207,A125,'Shipments'!$C$8:$C$207,"Inbound"))</x:f>
      </x:c>
      <x:c r="I125" s="11" t="str">
        <x:f>IF(A125="","",MAX(0,E125-F125-H125))</x:f>
      </x:c>
      <x:c r="J125" s="11" t="str">
        <x:f>IF(A125="","",SUMIFS('Shipments'!$K$8:$K$207,'Shipments'!$D$8:$D$207,A125,'Shipments'!$C$8:$C$207,"Inbound"))</x:f>
      </x:c>
      <x:c r="K125" s="11" t="str">
        <x:f>IF(A125="","",MAX(0,I125-J125))</x:f>
      </x:c>
      <x:c r="L125" s="9" t="str">
        <x:f>IF(A125="","",IF(COUNTIFS('Orders'!$A$8:$A$207,A125)&lt;&gt;1,"Duplicate order line",IF(OR(B125="",C125=""),"Set PO and supplier",IF(COUNTIFS('Definitions'!$A$8:$A$207,D125)&lt;&gt;1,"Unknown / duplicate part",IF(VLOOKUP(D125,'Definitions'!$A$8:$J$207,3,FALSE)&lt;&gt;"Part","Order purchasable parts only",IF(OR(NOT(ISNUMBER(E125)),E125&lt;=0,MOD(E125,1)&lt;&gt;0,NOT(ISNUMBER(F125)),F125&lt;0,MOD(F125,1)&lt;&gt;0),"Invalid ordered / cancelled qty",IF(H125+F125&gt;E125,"Receipts exceed net order",IF(J125&gt;I125,"Transit exceeds outstanding qty","OK"))))))))</x:f>
      </x:c>
    </x:row>
    <x:row r="126" ht="22" customHeight="1">
      <x:c r="A126" s="10"/>
      <x:c r="B126" s="10"/>
      <x:c r="C126" s="10"/>
      <x:c r="D126" s="10"/>
      <x:c r="E126" s="12"/>
      <x:c r="F126" s="12"/>
      <x:c r="G126" s="13"/>
      <x:c r="H126" s="11" t="str">
        <x:f>IF(A126="","",SUMIFS('Shipments'!$I$8:$I$207,'Shipments'!$D$8:$D$207,A126,'Shipments'!$C$8:$C$207,"Inbound"))</x:f>
      </x:c>
      <x:c r="I126" s="11" t="str">
        <x:f>IF(A126="","",MAX(0,E126-F126-H126))</x:f>
      </x:c>
      <x:c r="J126" s="11" t="str">
        <x:f>IF(A126="","",SUMIFS('Shipments'!$K$8:$K$207,'Shipments'!$D$8:$D$207,A126,'Shipments'!$C$8:$C$207,"Inbound"))</x:f>
      </x:c>
      <x:c r="K126" s="11" t="str">
        <x:f>IF(A126="","",MAX(0,I126-J126))</x:f>
      </x:c>
      <x:c r="L126" s="9" t="str">
        <x:f>IF(A126="","",IF(COUNTIFS('Orders'!$A$8:$A$207,A126)&lt;&gt;1,"Duplicate order line",IF(OR(B126="",C126=""),"Set PO and supplier",IF(COUNTIFS('Definitions'!$A$8:$A$207,D126)&lt;&gt;1,"Unknown / duplicate part",IF(VLOOKUP(D126,'Definitions'!$A$8:$J$207,3,FALSE)&lt;&gt;"Part","Order purchasable parts only",IF(OR(NOT(ISNUMBER(E126)),E126&lt;=0,MOD(E126,1)&lt;&gt;0,NOT(ISNUMBER(F126)),F126&lt;0,MOD(F126,1)&lt;&gt;0),"Invalid ordered / cancelled qty",IF(H126+F126&gt;E126,"Receipts exceed net order",IF(J126&gt;I126,"Transit exceeds outstanding qty","OK"))))))))</x:f>
      </x:c>
    </x:row>
    <x:row r="127" ht="22" customHeight="1">
      <x:c r="A127" s="10"/>
      <x:c r="B127" s="10"/>
      <x:c r="C127" s="10"/>
      <x:c r="D127" s="10"/>
      <x:c r="E127" s="12"/>
      <x:c r="F127" s="12"/>
      <x:c r="G127" s="13"/>
      <x:c r="H127" s="11" t="str">
        <x:f>IF(A127="","",SUMIFS('Shipments'!$I$8:$I$207,'Shipments'!$D$8:$D$207,A127,'Shipments'!$C$8:$C$207,"Inbound"))</x:f>
      </x:c>
      <x:c r="I127" s="11" t="str">
        <x:f>IF(A127="","",MAX(0,E127-F127-H127))</x:f>
      </x:c>
      <x:c r="J127" s="11" t="str">
        <x:f>IF(A127="","",SUMIFS('Shipments'!$K$8:$K$207,'Shipments'!$D$8:$D$207,A127,'Shipments'!$C$8:$C$207,"Inbound"))</x:f>
      </x:c>
      <x:c r="K127" s="11" t="str">
        <x:f>IF(A127="","",MAX(0,I127-J127))</x:f>
      </x:c>
      <x:c r="L127" s="9" t="str">
        <x:f>IF(A127="","",IF(COUNTIFS('Orders'!$A$8:$A$207,A127)&lt;&gt;1,"Duplicate order line",IF(OR(B127="",C127=""),"Set PO and supplier",IF(COUNTIFS('Definitions'!$A$8:$A$207,D127)&lt;&gt;1,"Unknown / duplicate part",IF(VLOOKUP(D127,'Definitions'!$A$8:$J$207,3,FALSE)&lt;&gt;"Part","Order purchasable parts only",IF(OR(NOT(ISNUMBER(E127)),E127&lt;=0,MOD(E127,1)&lt;&gt;0,NOT(ISNUMBER(F127)),F127&lt;0,MOD(F127,1)&lt;&gt;0),"Invalid ordered / cancelled qty",IF(H127+F127&gt;E127,"Receipts exceed net order",IF(J127&gt;I127,"Transit exceeds outstanding qty","OK"))))))))</x:f>
      </x:c>
    </x:row>
    <x:row r="128" ht="22" customHeight="1">
      <x:c r="A128" s="10"/>
      <x:c r="B128" s="10"/>
      <x:c r="C128" s="10"/>
      <x:c r="D128" s="10"/>
      <x:c r="E128" s="12"/>
      <x:c r="F128" s="12"/>
      <x:c r="G128" s="13"/>
      <x:c r="H128" s="11" t="str">
        <x:f>IF(A128="","",SUMIFS('Shipments'!$I$8:$I$207,'Shipments'!$D$8:$D$207,A128,'Shipments'!$C$8:$C$207,"Inbound"))</x:f>
      </x:c>
      <x:c r="I128" s="11" t="str">
        <x:f>IF(A128="","",MAX(0,E128-F128-H128))</x:f>
      </x:c>
      <x:c r="J128" s="11" t="str">
        <x:f>IF(A128="","",SUMIFS('Shipments'!$K$8:$K$207,'Shipments'!$D$8:$D$207,A128,'Shipments'!$C$8:$C$207,"Inbound"))</x:f>
      </x:c>
      <x:c r="K128" s="11" t="str">
        <x:f>IF(A128="","",MAX(0,I128-J128))</x:f>
      </x:c>
      <x:c r="L128" s="9" t="str">
        <x:f>IF(A128="","",IF(COUNTIFS('Orders'!$A$8:$A$207,A128)&lt;&gt;1,"Duplicate order line",IF(OR(B128="",C128=""),"Set PO and supplier",IF(COUNTIFS('Definitions'!$A$8:$A$207,D128)&lt;&gt;1,"Unknown / duplicate part",IF(VLOOKUP(D128,'Definitions'!$A$8:$J$207,3,FALSE)&lt;&gt;"Part","Order purchasable parts only",IF(OR(NOT(ISNUMBER(E128)),E128&lt;=0,MOD(E128,1)&lt;&gt;0,NOT(ISNUMBER(F128)),F128&lt;0,MOD(F128,1)&lt;&gt;0),"Invalid ordered / cancelled qty",IF(H128+F128&gt;E128,"Receipts exceed net order",IF(J128&gt;I128,"Transit exceeds outstanding qty","OK"))))))))</x:f>
      </x:c>
    </x:row>
    <x:row r="129" ht="22" customHeight="1">
      <x:c r="A129" s="10"/>
      <x:c r="B129" s="10"/>
      <x:c r="C129" s="10"/>
      <x:c r="D129" s="10"/>
      <x:c r="E129" s="12"/>
      <x:c r="F129" s="12"/>
      <x:c r="G129" s="13"/>
      <x:c r="H129" s="11" t="str">
        <x:f>IF(A129="","",SUMIFS('Shipments'!$I$8:$I$207,'Shipments'!$D$8:$D$207,A129,'Shipments'!$C$8:$C$207,"Inbound"))</x:f>
      </x:c>
      <x:c r="I129" s="11" t="str">
        <x:f>IF(A129="","",MAX(0,E129-F129-H129))</x:f>
      </x:c>
      <x:c r="J129" s="11" t="str">
        <x:f>IF(A129="","",SUMIFS('Shipments'!$K$8:$K$207,'Shipments'!$D$8:$D$207,A129,'Shipments'!$C$8:$C$207,"Inbound"))</x:f>
      </x:c>
      <x:c r="K129" s="11" t="str">
        <x:f>IF(A129="","",MAX(0,I129-J129))</x:f>
      </x:c>
      <x:c r="L129" s="9" t="str">
        <x:f>IF(A129="","",IF(COUNTIFS('Orders'!$A$8:$A$207,A129)&lt;&gt;1,"Duplicate order line",IF(OR(B129="",C129=""),"Set PO and supplier",IF(COUNTIFS('Definitions'!$A$8:$A$207,D129)&lt;&gt;1,"Unknown / duplicate part",IF(VLOOKUP(D129,'Definitions'!$A$8:$J$207,3,FALSE)&lt;&gt;"Part","Order purchasable parts only",IF(OR(NOT(ISNUMBER(E129)),E129&lt;=0,MOD(E129,1)&lt;&gt;0,NOT(ISNUMBER(F129)),F129&lt;0,MOD(F129,1)&lt;&gt;0),"Invalid ordered / cancelled qty",IF(H129+F129&gt;E129,"Receipts exceed net order",IF(J129&gt;I129,"Transit exceeds outstanding qty","OK"))))))))</x:f>
      </x:c>
    </x:row>
    <x:row r="130" ht="22" customHeight="1">
      <x:c r="A130" s="10"/>
      <x:c r="B130" s="10"/>
      <x:c r="C130" s="10"/>
      <x:c r="D130" s="10"/>
      <x:c r="E130" s="12"/>
      <x:c r="F130" s="12"/>
      <x:c r="G130" s="13"/>
      <x:c r="H130" s="11" t="str">
        <x:f>IF(A130="","",SUMIFS('Shipments'!$I$8:$I$207,'Shipments'!$D$8:$D$207,A130,'Shipments'!$C$8:$C$207,"Inbound"))</x:f>
      </x:c>
      <x:c r="I130" s="11" t="str">
        <x:f>IF(A130="","",MAX(0,E130-F130-H130))</x:f>
      </x:c>
      <x:c r="J130" s="11" t="str">
        <x:f>IF(A130="","",SUMIFS('Shipments'!$K$8:$K$207,'Shipments'!$D$8:$D$207,A130,'Shipments'!$C$8:$C$207,"Inbound"))</x:f>
      </x:c>
      <x:c r="K130" s="11" t="str">
        <x:f>IF(A130="","",MAX(0,I130-J130))</x:f>
      </x:c>
      <x:c r="L130" s="9" t="str">
        <x:f>IF(A130="","",IF(COUNTIFS('Orders'!$A$8:$A$207,A130)&lt;&gt;1,"Duplicate order line",IF(OR(B130="",C130=""),"Set PO and supplier",IF(COUNTIFS('Definitions'!$A$8:$A$207,D130)&lt;&gt;1,"Unknown / duplicate part",IF(VLOOKUP(D130,'Definitions'!$A$8:$J$207,3,FALSE)&lt;&gt;"Part","Order purchasable parts only",IF(OR(NOT(ISNUMBER(E130)),E130&lt;=0,MOD(E130,1)&lt;&gt;0,NOT(ISNUMBER(F130)),F130&lt;0,MOD(F130,1)&lt;&gt;0),"Invalid ordered / cancelled qty",IF(H130+F130&gt;E130,"Receipts exceed net order",IF(J130&gt;I130,"Transit exceeds outstanding qty","OK"))))))))</x:f>
      </x:c>
    </x:row>
    <x:row r="131" ht="22" customHeight="1">
      <x:c r="A131" s="10"/>
      <x:c r="B131" s="10"/>
      <x:c r="C131" s="10"/>
      <x:c r="D131" s="10"/>
      <x:c r="E131" s="12"/>
      <x:c r="F131" s="12"/>
      <x:c r="G131" s="13"/>
      <x:c r="H131" s="11" t="str">
        <x:f>IF(A131="","",SUMIFS('Shipments'!$I$8:$I$207,'Shipments'!$D$8:$D$207,A131,'Shipments'!$C$8:$C$207,"Inbound"))</x:f>
      </x:c>
      <x:c r="I131" s="11" t="str">
        <x:f>IF(A131="","",MAX(0,E131-F131-H131))</x:f>
      </x:c>
      <x:c r="J131" s="11" t="str">
        <x:f>IF(A131="","",SUMIFS('Shipments'!$K$8:$K$207,'Shipments'!$D$8:$D$207,A131,'Shipments'!$C$8:$C$207,"Inbound"))</x:f>
      </x:c>
      <x:c r="K131" s="11" t="str">
        <x:f>IF(A131="","",MAX(0,I131-J131))</x:f>
      </x:c>
      <x:c r="L131" s="9" t="str">
        <x:f>IF(A131="","",IF(COUNTIFS('Orders'!$A$8:$A$207,A131)&lt;&gt;1,"Duplicate order line",IF(OR(B131="",C131=""),"Set PO and supplier",IF(COUNTIFS('Definitions'!$A$8:$A$207,D131)&lt;&gt;1,"Unknown / duplicate part",IF(VLOOKUP(D131,'Definitions'!$A$8:$J$207,3,FALSE)&lt;&gt;"Part","Order purchasable parts only",IF(OR(NOT(ISNUMBER(E131)),E131&lt;=0,MOD(E131,1)&lt;&gt;0,NOT(ISNUMBER(F131)),F131&lt;0,MOD(F131,1)&lt;&gt;0),"Invalid ordered / cancelled qty",IF(H131+F131&gt;E131,"Receipts exceed net order",IF(J131&gt;I131,"Transit exceeds outstanding qty","OK"))))))))</x:f>
      </x:c>
    </x:row>
    <x:row r="132" ht="22" customHeight="1">
      <x:c r="A132" s="10"/>
      <x:c r="B132" s="10"/>
      <x:c r="C132" s="10"/>
      <x:c r="D132" s="10"/>
      <x:c r="E132" s="12"/>
      <x:c r="F132" s="12"/>
      <x:c r="G132" s="13"/>
      <x:c r="H132" s="11" t="str">
        <x:f>IF(A132="","",SUMIFS('Shipments'!$I$8:$I$207,'Shipments'!$D$8:$D$207,A132,'Shipments'!$C$8:$C$207,"Inbound"))</x:f>
      </x:c>
      <x:c r="I132" s="11" t="str">
        <x:f>IF(A132="","",MAX(0,E132-F132-H132))</x:f>
      </x:c>
      <x:c r="J132" s="11" t="str">
        <x:f>IF(A132="","",SUMIFS('Shipments'!$K$8:$K$207,'Shipments'!$D$8:$D$207,A132,'Shipments'!$C$8:$C$207,"Inbound"))</x:f>
      </x:c>
      <x:c r="K132" s="11" t="str">
        <x:f>IF(A132="","",MAX(0,I132-J132))</x:f>
      </x:c>
      <x:c r="L132" s="9" t="str">
        <x:f>IF(A132="","",IF(COUNTIFS('Orders'!$A$8:$A$207,A132)&lt;&gt;1,"Duplicate order line",IF(OR(B132="",C132=""),"Set PO and supplier",IF(COUNTIFS('Definitions'!$A$8:$A$207,D132)&lt;&gt;1,"Unknown / duplicate part",IF(VLOOKUP(D132,'Definitions'!$A$8:$J$207,3,FALSE)&lt;&gt;"Part","Order purchasable parts only",IF(OR(NOT(ISNUMBER(E132)),E132&lt;=0,MOD(E132,1)&lt;&gt;0,NOT(ISNUMBER(F132)),F132&lt;0,MOD(F132,1)&lt;&gt;0),"Invalid ordered / cancelled qty",IF(H132+F132&gt;E132,"Receipts exceed net order",IF(J132&gt;I132,"Transit exceeds outstanding qty","OK"))))))))</x:f>
      </x:c>
    </x:row>
    <x:row r="133" ht="22" customHeight="1">
      <x:c r="A133" s="10"/>
      <x:c r="B133" s="10"/>
      <x:c r="C133" s="10"/>
      <x:c r="D133" s="10"/>
      <x:c r="E133" s="12"/>
      <x:c r="F133" s="12"/>
      <x:c r="G133" s="13"/>
      <x:c r="H133" s="11" t="str">
        <x:f>IF(A133="","",SUMIFS('Shipments'!$I$8:$I$207,'Shipments'!$D$8:$D$207,A133,'Shipments'!$C$8:$C$207,"Inbound"))</x:f>
      </x:c>
      <x:c r="I133" s="11" t="str">
        <x:f>IF(A133="","",MAX(0,E133-F133-H133))</x:f>
      </x:c>
      <x:c r="J133" s="11" t="str">
        <x:f>IF(A133="","",SUMIFS('Shipments'!$K$8:$K$207,'Shipments'!$D$8:$D$207,A133,'Shipments'!$C$8:$C$207,"Inbound"))</x:f>
      </x:c>
      <x:c r="K133" s="11" t="str">
        <x:f>IF(A133="","",MAX(0,I133-J133))</x:f>
      </x:c>
      <x:c r="L133" s="9" t="str">
        <x:f>IF(A133="","",IF(COUNTIFS('Orders'!$A$8:$A$207,A133)&lt;&gt;1,"Duplicate order line",IF(OR(B133="",C133=""),"Set PO and supplier",IF(COUNTIFS('Definitions'!$A$8:$A$207,D133)&lt;&gt;1,"Unknown / duplicate part",IF(VLOOKUP(D133,'Definitions'!$A$8:$J$207,3,FALSE)&lt;&gt;"Part","Order purchasable parts only",IF(OR(NOT(ISNUMBER(E133)),E133&lt;=0,MOD(E133,1)&lt;&gt;0,NOT(ISNUMBER(F133)),F133&lt;0,MOD(F133,1)&lt;&gt;0),"Invalid ordered / cancelled qty",IF(H133+F133&gt;E133,"Receipts exceed net order",IF(J133&gt;I133,"Transit exceeds outstanding qty","OK"))))))))</x:f>
      </x:c>
    </x:row>
    <x:row r="134" ht="22" customHeight="1">
      <x:c r="A134" s="10"/>
      <x:c r="B134" s="10"/>
      <x:c r="C134" s="10"/>
      <x:c r="D134" s="10"/>
      <x:c r="E134" s="12"/>
      <x:c r="F134" s="12"/>
      <x:c r="G134" s="13"/>
      <x:c r="H134" s="11" t="str">
        <x:f>IF(A134="","",SUMIFS('Shipments'!$I$8:$I$207,'Shipments'!$D$8:$D$207,A134,'Shipments'!$C$8:$C$207,"Inbound"))</x:f>
      </x:c>
      <x:c r="I134" s="11" t="str">
        <x:f>IF(A134="","",MAX(0,E134-F134-H134))</x:f>
      </x:c>
      <x:c r="J134" s="11" t="str">
        <x:f>IF(A134="","",SUMIFS('Shipments'!$K$8:$K$207,'Shipments'!$D$8:$D$207,A134,'Shipments'!$C$8:$C$207,"Inbound"))</x:f>
      </x:c>
      <x:c r="K134" s="11" t="str">
        <x:f>IF(A134="","",MAX(0,I134-J134))</x:f>
      </x:c>
      <x:c r="L134" s="9" t="str">
        <x:f>IF(A134="","",IF(COUNTIFS('Orders'!$A$8:$A$207,A134)&lt;&gt;1,"Duplicate order line",IF(OR(B134="",C134=""),"Set PO and supplier",IF(COUNTIFS('Definitions'!$A$8:$A$207,D134)&lt;&gt;1,"Unknown / duplicate part",IF(VLOOKUP(D134,'Definitions'!$A$8:$J$207,3,FALSE)&lt;&gt;"Part","Order purchasable parts only",IF(OR(NOT(ISNUMBER(E134)),E134&lt;=0,MOD(E134,1)&lt;&gt;0,NOT(ISNUMBER(F134)),F134&lt;0,MOD(F134,1)&lt;&gt;0),"Invalid ordered / cancelled qty",IF(H134+F134&gt;E134,"Receipts exceed net order",IF(J134&gt;I134,"Transit exceeds outstanding qty","OK"))))))))</x:f>
      </x:c>
    </x:row>
    <x:row r="135" ht="22" customHeight="1">
      <x:c r="A135" s="10"/>
      <x:c r="B135" s="10"/>
      <x:c r="C135" s="10"/>
      <x:c r="D135" s="10"/>
      <x:c r="E135" s="12"/>
      <x:c r="F135" s="12"/>
      <x:c r="G135" s="13"/>
      <x:c r="H135" s="11" t="str">
        <x:f>IF(A135="","",SUMIFS('Shipments'!$I$8:$I$207,'Shipments'!$D$8:$D$207,A135,'Shipments'!$C$8:$C$207,"Inbound"))</x:f>
      </x:c>
      <x:c r="I135" s="11" t="str">
        <x:f>IF(A135="","",MAX(0,E135-F135-H135))</x:f>
      </x:c>
      <x:c r="J135" s="11" t="str">
        <x:f>IF(A135="","",SUMIFS('Shipments'!$K$8:$K$207,'Shipments'!$D$8:$D$207,A135,'Shipments'!$C$8:$C$207,"Inbound"))</x:f>
      </x:c>
      <x:c r="K135" s="11" t="str">
        <x:f>IF(A135="","",MAX(0,I135-J135))</x:f>
      </x:c>
      <x:c r="L135" s="9" t="str">
        <x:f>IF(A135="","",IF(COUNTIFS('Orders'!$A$8:$A$207,A135)&lt;&gt;1,"Duplicate order line",IF(OR(B135="",C135=""),"Set PO and supplier",IF(COUNTIFS('Definitions'!$A$8:$A$207,D135)&lt;&gt;1,"Unknown / duplicate part",IF(VLOOKUP(D135,'Definitions'!$A$8:$J$207,3,FALSE)&lt;&gt;"Part","Order purchasable parts only",IF(OR(NOT(ISNUMBER(E135)),E135&lt;=0,MOD(E135,1)&lt;&gt;0,NOT(ISNUMBER(F135)),F135&lt;0,MOD(F135,1)&lt;&gt;0),"Invalid ordered / cancelled qty",IF(H135+F135&gt;E135,"Receipts exceed net order",IF(J135&gt;I135,"Transit exceeds outstanding qty","OK"))))))))</x:f>
      </x:c>
    </x:row>
    <x:row r="136" ht="22" customHeight="1">
      <x:c r="A136" s="10"/>
      <x:c r="B136" s="10"/>
      <x:c r="C136" s="10"/>
      <x:c r="D136" s="10"/>
      <x:c r="E136" s="12"/>
      <x:c r="F136" s="12"/>
      <x:c r="G136" s="13"/>
      <x:c r="H136" s="11" t="str">
        <x:f>IF(A136="","",SUMIFS('Shipments'!$I$8:$I$207,'Shipments'!$D$8:$D$207,A136,'Shipments'!$C$8:$C$207,"Inbound"))</x:f>
      </x:c>
      <x:c r="I136" s="11" t="str">
        <x:f>IF(A136="","",MAX(0,E136-F136-H136))</x:f>
      </x:c>
      <x:c r="J136" s="11" t="str">
        <x:f>IF(A136="","",SUMIFS('Shipments'!$K$8:$K$207,'Shipments'!$D$8:$D$207,A136,'Shipments'!$C$8:$C$207,"Inbound"))</x:f>
      </x:c>
      <x:c r="K136" s="11" t="str">
        <x:f>IF(A136="","",MAX(0,I136-J136))</x:f>
      </x:c>
      <x:c r="L136" s="9" t="str">
        <x:f>IF(A136="","",IF(COUNTIFS('Orders'!$A$8:$A$207,A136)&lt;&gt;1,"Duplicate order line",IF(OR(B136="",C136=""),"Set PO and supplier",IF(COUNTIFS('Definitions'!$A$8:$A$207,D136)&lt;&gt;1,"Unknown / duplicate part",IF(VLOOKUP(D136,'Definitions'!$A$8:$J$207,3,FALSE)&lt;&gt;"Part","Order purchasable parts only",IF(OR(NOT(ISNUMBER(E136)),E136&lt;=0,MOD(E136,1)&lt;&gt;0,NOT(ISNUMBER(F136)),F136&lt;0,MOD(F136,1)&lt;&gt;0),"Invalid ordered / cancelled qty",IF(H136+F136&gt;E136,"Receipts exceed net order",IF(J136&gt;I136,"Transit exceeds outstanding qty","OK"))))))))</x:f>
      </x:c>
    </x:row>
    <x:row r="137" ht="22" customHeight="1">
      <x:c r="A137" s="10"/>
      <x:c r="B137" s="10"/>
      <x:c r="C137" s="10"/>
      <x:c r="D137" s="10"/>
      <x:c r="E137" s="12"/>
      <x:c r="F137" s="12"/>
      <x:c r="G137" s="13"/>
      <x:c r="H137" s="11" t="str">
        <x:f>IF(A137="","",SUMIFS('Shipments'!$I$8:$I$207,'Shipments'!$D$8:$D$207,A137,'Shipments'!$C$8:$C$207,"Inbound"))</x:f>
      </x:c>
      <x:c r="I137" s="11" t="str">
        <x:f>IF(A137="","",MAX(0,E137-F137-H137))</x:f>
      </x:c>
      <x:c r="J137" s="11" t="str">
        <x:f>IF(A137="","",SUMIFS('Shipments'!$K$8:$K$207,'Shipments'!$D$8:$D$207,A137,'Shipments'!$C$8:$C$207,"Inbound"))</x:f>
      </x:c>
      <x:c r="K137" s="11" t="str">
        <x:f>IF(A137="","",MAX(0,I137-J137))</x:f>
      </x:c>
      <x:c r="L137" s="9" t="str">
        <x:f>IF(A137="","",IF(COUNTIFS('Orders'!$A$8:$A$207,A137)&lt;&gt;1,"Duplicate order line",IF(OR(B137="",C137=""),"Set PO and supplier",IF(COUNTIFS('Definitions'!$A$8:$A$207,D137)&lt;&gt;1,"Unknown / duplicate part",IF(VLOOKUP(D137,'Definitions'!$A$8:$J$207,3,FALSE)&lt;&gt;"Part","Order purchasable parts only",IF(OR(NOT(ISNUMBER(E137)),E137&lt;=0,MOD(E137,1)&lt;&gt;0,NOT(ISNUMBER(F137)),F137&lt;0,MOD(F137,1)&lt;&gt;0),"Invalid ordered / cancelled qty",IF(H137+F137&gt;E137,"Receipts exceed net order",IF(J137&gt;I137,"Transit exceeds outstanding qty","OK"))))))))</x:f>
      </x:c>
    </x:row>
    <x:row r="138" ht="22" customHeight="1">
      <x:c r="A138" s="10"/>
      <x:c r="B138" s="10"/>
      <x:c r="C138" s="10"/>
      <x:c r="D138" s="10"/>
      <x:c r="E138" s="12"/>
      <x:c r="F138" s="12"/>
      <x:c r="G138" s="13"/>
      <x:c r="H138" s="11" t="str">
        <x:f>IF(A138="","",SUMIFS('Shipments'!$I$8:$I$207,'Shipments'!$D$8:$D$207,A138,'Shipments'!$C$8:$C$207,"Inbound"))</x:f>
      </x:c>
      <x:c r="I138" s="11" t="str">
        <x:f>IF(A138="","",MAX(0,E138-F138-H138))</x:f>
      </x:c>
      <x:c r="J138" s="11" t="str">
        <x:f>IF(A138="","",SUMIFS('Shipments'!$K$8:$K$207,'Shipments'!$D$8:$D$207,A138,'Shipments'!$C$8:$C$207,"Inbound"))</x:f>
      </x:c>
      <x:c r="K138" s="11" t="str">
        <x:f>IF(A138="","",MAX(0,I138-J138))</x:f>
      </x:c>
      <x:c r="L138" s="9" t="str">
        <x:f>IF(A138="","",IF(COUNTIFS('Orders'!$A$8:$A$207,A138)&lt;&gt;1,"Duplicate order line",IF(OR(B138="",C138=""),"Set PO and supplier",IF(COUNTIFS('Definitions'!$A$8:$A$207,D138)&lt;&gt;1,"Unknown / duplicate part",IF(VLOOKUP(D138,'Definitions'!$A$8:$J$207,3,FALSE)&lt;&gt;"Part","Order purchasable parts only",IF(OR(NOT(ISNUMBER(E138)),E138&lt;=0,MOD(E138,1)&lt;&gt;0,NOT(ISNUMBER(F138)),F138&lt;0,MOD(F138,1)&lt;&gt;0),"Invalid ordered / cancelled qty",IF(H138+F138&gt;E138,"Receipts exceed net order",IF(J138&gt;I138,"Transit exceeds outstanding qty","OK"))))))))</x:f>
      </x:c>
    </x:row>
    <x:row r="139" ht="22" customHeight="1">
      <x:c r="A139" s="10"/>
      <x:c r="B139" s="10"/>
      <x:c r="C139" s="10"/>
      <x:c r="D139" s="10"/>
      <x:c r="E139" s="12"/>
      <x:c r="F139" s="12"/>
      <x:c r="G139" s="13"/>
      <x:c r="H139" s="11" t="str">
        <x:f>IF(A139="","",SUMIFS('Shipments'!$I$8:$I$207,'Shipments'!$D$8:$D$207,A139,'Shipments'!$C$8:$C$207,"Inbound"))</x:f>
      </x:c>
      <x:c r="I139" s="11" t="str">
        <x:f>IF(A139="","",MAX(0,E139-F139-H139))</x:f>
      </x:c>
      <x:c r="J139" s="11" t="str">
        <x:f>IF(A139="","",SUMIFS('Shipments'!$K$8:$K$207,'Shipments'!$D$8:$D$207,A139,'Shipments'!$C$8:$C$207,"Inbound"))</x:f>
      </x:c>
      <x:c r="K139" s="11" t="str">
        <x:f>IF(A139="","",MAX(0,I139-J139))</x:f>
      </x:c>
      <x:c r="L139" s="9" t="str">
        <x:f>IF(A139="","",IF(COUNTIFS('Orders'!$A$8:$A$207,A139)&lt;&gt;1,"Duplicate order line",IF(OR(B139="",C139=""),"Set PO and supplier",IF(COUNTIFS('Definitions'!$A$8:$A$207,D139)&lt;&gt;1,"Unknown / duplicate part",IF(VLOOKUP(D139,'Definitions'!$A$8:$J$207,3,FALSE)&lt;&gt;"Part","Order purchasable parts only",IF(OR(NOT(ISNUMBER(E139)),E139&lt;=0,MOD(E139,1)&lt;&gt;0,NOT(ISNUMBER(F139)),F139&lt;0,MOD(F139,1)&lt;&gt;0),"Invalid ordered / cancelled qty",IF(H139+F139&gt;E139,"Receipts exceed net order",IF(J139&gt;I139,"Transit exceeds outstanding qty","OK"))))))))</x:f>
      </x:c>
    </x:row>
    <x:row r="140" ht="22" customHeight="1">
      <x:c r="A140" s="10"/>
      <x:c r="B140" s="10"/>
      <x:c r="C140" s="10"/>
      <x:c r="D140" s="10"/>
      <x:c r="E140" s="12"/>
      <x:c r="F140" s="12"/>
      <x:c r="G140" s="13"/>
      <x:c r="H140" s="11" t="str">
        <x:f>IF(A140="","",SUMIFS('Shipments'!$I$8:$I$207,'Shipments'!$D$8:$D$207,A140,'Shipments'!$C$8:$C$207,"Inbound"))</x:f>
      </x:c>
      <x:c r="I140" s="11" t="str">
        <x:f>IF(A140="","",MAX(0,E140-F140-H140))</x:f>
      </x:c>
      <x:c r="J140" s="11" t="str">
        <x:f>IF(A140="","",SUMIFS('Shipments'!$K$8:$K$207,'Shipments'!$D$8:$D$207,A140,'Shipments'!$C$8:$C$207,"Inbound"))</x:f>
      </x:c>
      <x:c r="K140" s="11" t="str">
        <x:f>IF(A140="","",MAX(0,I140-J140))</x:f>
      </x:c>
      <x:c r="L140" s="9" t="str">
        <x:f>IF(A140="","",IF(COUNTIFS('Orders'!$A$8:$A$207,A140)&lt;&gt;1,"Duplicate order line",IF(OR(B140="",C140=""),"Set PO and supplier",IF(COUNTIFS('Definitions'!$A$8:$A$207,D140)&lt;&gt;1,"Unknown / duplicate part",IF(VLOOKUP(D140,'Definitions'!$A$8:$J$207,3,FALSE)&lt;&gt;"Part","Order purchasable parts only",IF(OR(NOT(ISNUMBER(E140)),E140&lt;=0,MOD(E140,1)&lt;&gt;0,NOT(ISNUMBER(F140)),F140&lt;0,MOD(F140,1)&lt;&gt;0),"Invalid ordered / cancelled qty",IF(H140+F140&gt;E140,"Receipts exceed net order",IF(J140&gt;I140,"Transit exceeds outstanding qty","OK"))))))))</x:f>
      </x:c>
    </x:row>
    <x:row r="141" ht="22" customHeight="1">
      <x:c r="A141" s="10"/>
      <x:c r="B141" s="10"/>
      <x:c r="C141" s="10"/>
      <x:c r="D141" s="10"/>
      <x:c r="E141" s="12"/>
      <x:c r="F141" s="12"/>
      <x:c r="G141" s="13"/>
      <x:c r="H141" s="11" t="str">
        <x:f>IF(A141="","",SUMIFS('Shipments'!$I$8:$I$207,'Shipments'!$D$8:$D$207,A141,'Shipments'!$C$8:$C$207,"Inbound"))</x:f>
      </x:c>
      <x:c r="I141" s="11" t="str">
        <x:f>IF(A141="","",MAX(0,E141-F141-H141))</x:f>
      </x:c>
      <x:c r="J141" s="11" t="str">
        <x:f>IF(A141="","",SUMIFS('Shipments'!$K$8:$K$207,'Shipments'!$D$8:$D$207,A141,'Shipments'!$C$8:$C$207,"Inbound"))</x:f>
      </x:c>
      <x:c r="K141" s="11" t="str">
        <x:f>IF(A141="","",MAX(0,I141-J141))</x:f>
      </x:c>
      <x:c r="L141" s="9" t="str">
        <x:f>IF(A141="","",IF(COUNTIFS('Orders'!$A$8:$A$207,A141)&lt;&gt;1,"Duplicate order line",IF(OR(B141="",C141=""),"Set PO and supplier",IF(COUNTIFS('Definitions'!$A$8:$A$207,D141)&lt;&gt;1,"Unknown / duplicate part",IF(VLOOKUP(D141,'Definitions'!$A$8:$J$207,3,FALSE)&lt;&gt;"Part","Order purchasable parts only",IF(OR(NOT(ISNUMBER(E141)),E141&lt;=0,MOD(E141,1)&lt;&gt;0,NOT(ISNUMBER(F141)),F141&lt;0,MOD(F141,1)&lt;&gt;0),"Invalid ordered / cancelled qty",IF(H141+F141&gt;E141,"Receipts exceed net order",IF(J141&gt;I141,"Transit exceeds outstanding qty","OK"))))))))</x:f>
      </x:c>
    </x:row>
    <x:row r="142" ht="22" customHeight="1">
      <x:c r="A142" s="10"/>
      <x:c r="B142" s="10"/>
      <x:c r="C142" s="10"/>
      <x:c r="D142" s="10"/>
      <x:c r="E142" s="12"/>
      <x:c r="F142" s="12"/>
      <x:c r="G142" s="13"/>
      <x:c r="H142" s="11" t="str">
        <x:f>IF(A142="","",SUMIFS('Shipments'!$I$8:$I$207,'Shipments'!$D$8:$D$207,A142,'Shipments'!$C$8:$C$207,"Inbound"))</x:f>
      </x:c>
      <x:c r="I142" s="11" t="str">
        <x:f>IF(A142="","",MAX(0,E142-F142-H142))</x:f>
      </x:c>
      <x:c r="J142" s="11" t="str">
        <x:f>IF(A142="","",SUMIFS('Shipments'!$K$8:$K$207,'Shipments'!$D$8:$D$207,A142,'Shipments'!$C$8:$C$207,"Inbound"))</x:f>
      </x:c>
      <x:c r="K142" s="11" t="str">
        <x:f>IF(A142="","",MAX(0,I142-J142))</x:f>
      </x:c>
      <x:c r="L142" s="9" t="str">
        <x:f>IF(A142="","",IF(COUNTIFS('Orders'!$A$8:$A$207,A142)&lt;&gt;1,"Duplicate order line",IF(OR(B142="",C142=""),"Set PO and supplier",IF(COUNTIFS('Definitions'!$A$8:$A$207,D142)&lt;&gt;1,"Unknown / duplicate part",IF(VLOOKUP(D142,'Definitions'!$A$8:$J$207,3,FALSE)&lt;&gt;"Part","Order purchasable parts only",IF(OR(NOT(ISNUMBER(E142)),E142&lt;=0,MOD(E142,1)&lt;&gt;0,NOT(ISNUMBER(F142)),F142&lt;0,MOD(F142,1)&lt;&gt;0),"Invalid ordered / cancelled qty",IF(H142+F142&gt;E142,"Receipts exceed net order",IF(J142&gt;I142,"Transit exceeds outstanding qty","OK"))))))))</x:f>
      </x:c>
    </x:row>
    <x:row r="143" ht="22" customHeight="1">
      <x:c r="A143" s="10"/>
      <x:c r="B143" s="10"/>
      <x:c r="C143" s="10"/>
      <x:c r="D143" s="10"/>
      <x:c r="E143" s="12"/>
      <x:c r="F143" s="12"/>
      <x:c r="G143" s="13"/>
      <x:c r="H143" s="11" t="str">
        <x:f>IF(A143="","",SUMIFS('Shipments'!$I$8:$I$207,'Shipments'!$D$8:$D$207,A143,'Shipments'!$C$8:$C$207,"Inbound"))</x:f>
      </x:c>
      <x:c r="I143" s="11" t="str">
        <x:f>IF(A143="","",MAX(0,E143-F143-H143))</x:f>
      </x:c>
      <x:c r="J143" s="11" t="str">
        <x:f>IF(A143="","",SUMIFS('Shipments'!$K$8:$K$207,'Shipments'!$D$8:$D$207,A143,'Shipments'!$C$8:$C$207,"Inbound"))</x:f>
      </x:c>
      <x:c r="K143" s="11" t="str">
        <x:f>IF(A143="","",MAX(0,I143-J143))</x:f>
      </x:c>
      <x:c r="L143" s="9" t="str">
        <x:f>IF(A143="","",IF(COUNTIFS('Orders'!$A$8:$A$207,A143)&lt;&gt;1,"Duplicate order line",IF(OR(B143="",C143=""),"Set PO and supplier",IF(COUNTIFS('Definitions'!$A$8:$A$207,D143)&lt;&gt;1,"Unknown / duplicate part",IF(VLOOKUP(D143,'Definitions'!$A$8:$J$207,3,FALSE)&lt;&gt;"Part","Order purchasable parts only",IF(OR(NOT(ISNUMBER(E143)),E143&lt;=0,MOD(E143,1)&lt;&gt;0,NOT(ISNUMBER(F143)),F143&lt;0,MOD(F143,1)&lt;&gt;0),"Invalid ordered / cancelled qty",IF(H143+F143&gt;E143,"Receipts exceed net order",IF(J143&gt;I143,"Transit exceeds outstanding qty","OK"))))))))</x:f>
      </x:c>
    </x:row>
    <x:row r="144" ht="22" customHeight="1">
      <x:c r="A144" s="10"/>
      <x:c r="B144" s="10"/>
      <x:c r="C144" s="10"/>
      <x:c r="D144" s="10"/>
      <x:c r="E144" s="12"/>
      <x:c r="F144" s="12"/>
      <x:c r="G144" s="13"/>
      <x:c r="H144" s="11" t="str">
        <x:f>IF(A144="","",SUMIFS('Shipments'!$I$8:$I$207,'Shipments'!$D$8:$D$207,A144,'Shipments'!$C$8:$C$207,"Inbound"))</x:f>
      </x:c>
      <x:c r="I144" s="11" t="str">
        <x:f>IF(A144="","",MAX(0,E144-F144-H144))</x:f>
      </x:c>
      <x:c r="J144" s="11" t="str">
        <x:f>IF(A144="","",SUMIFS('Shipments'!$K$8:$K$207,'Shipments'!$D$8:$D$207,A144,'Shipments'!$C$8:$C$207,"Inbound"))</x:f>
      </x:c>
      <x:c r="K144" s="11" t="str">
        <x:f>IF(A144="","",MAX(0,I144-J144))</x:f>
      </x:c>
      <x:c r="L144" s="9" t="str">
        <x:f>IF(A144="","",IF(COUNTIFS('Orders'!$A$8:$A$207,A144)&lt;&gt;1,"Duplicate order line",IF(OR(B144="",C144=""),"Set PO and supplier",IF(COUNTIFS('Definitions'!$A$8:$A$207,D144)&lt;&gt;1,"Unknown / duplicate part",IF(VLOOKUP(D144,'Definitions'!$A$8:$J$207,3,FALSE)&lt;&gt;"Part","Order purchasable parts only",IF(OR(NOT(ISNUMBER(E144)),E144&lt;=0,MOD(E144,1)&lt;&gt;0,NOT(ISNUMBER(F144)),F144&lt;0,MOD(F144,1)&lt;&gt;0),"Invalid ordered / cancelled qty",IF(H144+F144&gt;E144,"Receipts exceed net order",IF(J144&gt;I144,"Transit exceeds outstanding qty","OK"))))))))</x:f>
      </x:c>
    </x:row>
    <x:row r="145" ht="22" customHeight="1">
      <x:c r="A145" s="10"/>
      <x:c r="B145" s="10"/>
      <x:c r="C145" s="10"/>
      <x:c r="D145" s="10"/>
      <x:c r="E145" s="12"/>
      <x:c r="F145" s="12"/>
      <x:c r="G145" s="13"/>
      <x:c r="H145" s="11" t="str">
        <x:f>IF(A145="","",SUMIFS('Shipments'!$I$8:$I$207,'Shipments'!$D$8:$D$207,A145,'Shipments'!$C$8:$C$207,"Inbound"))</x:f>
      </x:c>
      <x:c r="I145" s="11" t="str">
        <x:f>IF(A145="","",MAX(0,E145-F145-H145))</x:f>
      </x:c>
      <x:c r="J145" s="11" t="str">
        <x:f>IF(A145="","",SUMIFS('Shipments'!$K$8:$K$207,'Shipments'!$D$8:$D$207,A145,'Shipments'!$C$8:$C$207,"Inbound"))</x:f>
      </x:c>
      <x:c r="K145" s="11" t="str">
        <x:f>IF(A145="","",MAX(0,I145-J145))</x:f>
      </x:c>
      <x:c r="L145" s="9" t="str">
        <x:f>IF(A145="","",IF(COUNTIFS('Orders'!$A$8:$A$207,A145)&lt;&gt;1,"Duplicate order line",IF(OR(B145="",C145=""),"Set PO and supplier",IF(COUNTIFS('Definitions'!$A$8:$A$207,D145)&lt;&gt;1,"Unknown / duplicate part",IF(VLOOKUP(D145,'Definitions'!$A$8:$J$207,3,FALSE)&lt;&gt;"Part","Order purchasable parts only",IF(OR(NOT(ISNUMBER(E145)),E145&lt;=0,MOD(E145,1)&lt;&gt;0,NOT(ISNUMBER(F145)),F145&lt;0,MOD(F145,1)&lt;&gt;0),"Invalid ordered / cancelled qty",IF(H145+F145&gt;E145,"Receipts exceed net order",IF(J145&gt;I145,"Transit exceeds outstanding qty","OK"))))))))</x:f>
      </x:c>
    </x:row>
    <x:row r="146" ht="22" customHeight="1">
      <x:c r="A146" s="10"/>
      <x:c r="B146" s="10"/>
      <x:c r="C146" s="10"/>
      <x:c r="D146" s="10"/>
      <x:c r="E146" s="12"/>
      <x:c r="F146" s="12"/>
      <x:c r="G146" s="13"/>
      <x:c r="H146" s="11" t="str">
        <x:f>IF(A146="","",SUMIFS('Shipments'!$I$8:$I$207,'Shipments'!$D$8:$D$207,A146,'Shipments'!$C$8:$C$207,"Inbound"))</x:f>
      </x:c>
      <x:c r="I146" s="11" t="str">
        <x:f>IF(A146="","",MAX(0,E146-F146-H146))</x:f>
      </x:c>
      <x:c r="J146" s="11" t="str">
        <x:f>IF(A146="","",SUMIFS('Shipments'!$K$8:$K$207,'Shipments'!$D$8:$D$207,A146,'Shipments'!$C$8:$C$207,"Inbound"))</x:f>
      </x:c>
      <x:c r="K146" s="11" t="str">
        <x:f>IF(A146="","",MAX(0,I146-J146))</x:f>
      </x:c>
      <x:c r="L146" s="9" t="str">
        <x:f>IF(A146="","",IF(COUNTIFS('Orders'!$A$8:$A$207,A146)&lt;&gt;1,"Duplicate order line",IF(OR(B146="",C146=""),"Set PO and supplier",IF(COUNTIFS('Definitions'!$A$8:$A$207,D146)&lt;&gt;1,"Unknown / duplicate part",IF(VLOOKUP(D146,'Definitions'!$A$8:$J$207,3,FALSE)&lt;&gt;"Part","Order purchasable parts only",IF(OR(NOT(ISNUMBER(E146)),E146&lt;=0,MOD(E146,1)&lt;&gt;0,NOT(ISNUMBER(F146)),F146&lt;0,MOD(F146,1)&lt;&gt;0),"Invalid ordered / cancelled qty",IF(H146+F146&gt;E146,"Receipts exceed net order",IF(J146&gt;I146,"Transit exceeds outstanding qty","OK"))))))))</x:f>
      </x:c>
    </x:row>
    <x:row r="147" ht="22" customHeight="1">
      <x:c r="A147" s="10"/>
      <x:c r="B147" s="10"/>
      <x:c r="C147" s="10"/>
      <x:c r="D147" s="10"/>
      <x:c r="E147" s="12"/>
      <x:c r="F147" s="12"/>
      <x:c r="G147" s="13"/>
      <x:c r="H147" s="11" t="str">
        <x:f>IF(A147="","",SUMIFS('Shipments'!$I$8:$I$207,'Shipments'!$D$8:$D$207,A147,'Shipments'!$C$8:$C$207,"Inbound"))</x:f>
      </x:c>
      <x:c r="I147" s="11" t="str">
        <x:f>IF(A147="","",MAX(0,E147-F147-H147))</x:f>
      </x:c>
      <x:c r="J147" s="11" t="str">
        <x:f>IF(A147="","",SUMIFS('Shipments'!$K$8:$K$207,'Shipments'!$D$8:$D$207,A147,'Shipments'!$C$8:$C$207,"Inbound"))</x:f>
      </x:c>
      <x:c r="K147" s="11" t="str">
        <x:f>IF(A147="","",MAX(0,I147-J147))</x:f>
      </x:c>
      <x:c r="L147" s="9" t="str">
        <x:f>IF(A147="","",IF(COUNTIFS('Orders'!$A$8:$A$207,A147)&lt;&gt;1,"Duplicate order line",IF(OR(B147="",C147=""),"Set PO and supplier",IF(COUNTIFS('Definitions'!$A$8:$A$207,D147)&lt;&gt;1,"Unknown / duplicate part",IF(VLOOKUP(D147,'Definitions'!$A$8:$J$207,3,FALSE)&lt;&gt;"Part","Order purchasable parts only",IF(OR(NOT(ISNUMBER(E147)),E147&lt;=0,MOD(E147,1)&lt;&gt;0,NOT(ISNUMBER(F147)),F147&lt;0,MOD(F147,1)&lt;&gt;0),"Invalid ordered / cancelled qty",IF(H147+F147&gt;E147,"Receipts exceed net order",IF(J147&gt;I147,"Transit exceeds outstanding qty","OK"))))))))</x:f>
      </x:c>
    </x:row>
    <x:row r="148" ht="22" customHeight="1">
      <x:c r="A148" s="10"/>
      <x:c r="B148" s="10"/>
      <x:c r="C148" s="10"/>
      <x:c r="D148" s="10"/>
      <x:c r="E148" s="12"/>
      <x:c r="F148" s="12"/>
      <x:c r="G148" s="13"/>
      <x:c r="H148" s="11" t="str">
        <x:f>IF(A148="","",SUMIFS('Shipments'!$I$8:$I$207,'Shipments'!$D$8:$D$207,A148,'Shipments'!$C$8:$C$207,"Inbound"))</x:f>
      </x:c>
      <x:c r="I148" s="11" t="str">
        <x:f>IF(A148="","",MAX(0,E148-F148-H148))</x:f>
      </x:c>
      <x:c r="J148" s="11" t="str">
        <x:f>IF(A148="","",SUMIFS('Shipments'!$K$8:$K$207,'Shipments'!$D$8:$D$207,A148,'Shipments'!$C$8:$C$207,"Inbound"))</x:f>
      </x:c>
      <x:c r="K148" s="11" t="str">
        <x:f>IF(A148="","",MAX(0,I148-J148))</x:f>
      </x:c>
      <x:c r="L148" s="9" t="str">
        <x:f>IF(A148="","",IF(COUNTIFS('Orders'!$A$8:$A$207,A148)&lt;&gt;1,"Duplicate order line",IF(OR(B148="",C148=""),"Set PO and supplier",IF(COUNTIFS('Definitions'!$A$8:$A$207,D148)&lt;&gt;1,"Unknown / duplicate part",IF(VLOOKUP(D148,'Definitions'!$A$8:$J$207,3,FALSE)&lt;&gt;"Part","Order purchasable parts only",IF(OR(NOT(ISNUMBER(E148)),E148&lt;=0,MOD(E148,1)&lt;&gt;0,NOT(ISNUMBER(F148)),F148&lt;0,MOD(F148,1)&lt;&gt;0),"Invalid ordered / cancelled qty",IF(H148+F148&gt;E148,"Receipts exceed net order",IF(J148&gt;I148,"Transit exceeds outstanding qty","OK"))))))))</x:f>
      </x:c>
    </x:row>
    <x:row r="149" ht="22" customHeight="1">
      <x:c r="A149" s="10"/>
      <x:c r="B149" s="10"/>
      <x:c r="C149" s="10"/>
      <x:c r="D149" s="10"/>
      <x:c r="E149" s="12"/>
      <x:c r="F149" s="12"/>
      <x:c r="G149" s="13"/>
      <x:c r="H149" s="11" t="str">
        <x:f>IF(A149="","",SUMIFS('Shipments'!$I$8:$I$207,'Shipments'!$D$8:$D$207,A149,'Shipments'!$C$8:$C$207,"Inbound"))</x:f>
      </x:c>
      <x:c r="I149" s="11" t="str">
        <x:f>IF(A149="","",MAX(0,E149-F149-H149))</x:f>
      </x:c>
      <x:c r="J149" s="11" t="str">
        <x:f>IF(A149="","",SUMIFS('Shipments'!$K$8:$K$207,'Shipments'!$D$8:$D$207,A149,'Shipments'!$C$8:$C$207,"Inbound"))</x:f>
      </x:c>
      <x:c r="K149" s="11" t="str">
        <x:f>IF(A149="","",MAX(0,I149-J149))</x:f>
      </x:c>
      <x:c r="L149" s="9" t="str">
        <x:f>IF(A149="","",IF(COUNTIFS('Orders'!$A$8:$A$207,A149)&lt;&gt;1,"Duplicate order line",IF(OR(B149="",C149=""),"Set PO and supplier",IF(COUNTIFS('Definitions'!$A$8:$A$207,D149)&lt;&gt;1,"Unknown / duplicate part",IF(VLOOKUP(D149,'Definitions'!$A$8:$J$207,3,FALSE)&lt;&gt;"Part","Order purchasable parts only",IF(OR(NOT(ISNUMBER(E149)),E149&lt;=0,MOD(E149,1)&lt;&gt;0,NOT(ISNUMBER(F149)),F149&lt;0,MOD(F149,1)&lt;&gt;0),"Invalid ordered / cancelled qty",IF(H149+F149&gt;E149,"Receipts exceed net order",IF(J149&gt;I149,"Transit exceeds outstanding qty","OK"))))))))</x:f>
      </x:c>
    </x:row>
    <x:row r="150" ht="22" customHeight="1">
      <x:c r="A150" s="10"/>
      <x:c r="B150" s="10"/>
      <x:c r="C150" s="10"/>
      <x:c r="D150" s="10"/>
      <x:c r="E150" s="12"/>
      <x:c r="F150" s="12"/>
      <x:c r="G150" s="13"/>
      <x:c r="H150" s="11" t="str">
        <x:f>IF(A150="","",SUMIFS('Shipments'!$I$8:$I$207,'Shipments'!$D$8:$D$207,A150,'Shipments'!$C$8:$C$207,"Inbound"))</x:f>
      </x:c>
      <x:c r="I150" s="11" t="str">
        <x:f>IF(A150="","",MAX(0,E150-F150-H150))</x:f>
      </x:c>
      <x:c r="J150" s="11" t="str">
        <x:f>IF(A150="","",SUMIFS('Shipments'!$K$8:$K$207,'Shipments'!$D$8:$D$207,A150,'Shipments'!$C$8:$C$207,"Inbound"))</x:f>
      </x:c>
      <x:c r="K150" s="11" t="str">
        <x:f>IF(A150="","",MAX(0,I150-J150))</x:f>
      </x:c>
      <x:c r="L150" s="9" t="str">
        <x:f>IF(A150="","",IF(COUNTIFS('Orders'!$A$8:$A$207,A150)&lt;&gt;1,"Duplicate order line",IF(OR(B150="",C150=""),"Set PO and supplier",IF(COUNTIFS('Definitions'!$A$8:$A$207,D150)&lt;&gt;1,"Unknown / duplicate part",IF(VLOOKUP(D150,'Definitions'!$A$8:$J$207,3,FALSE)&lt;&gt;"Part","Order purchasable parts only",IF(OR(NOT(ISNUMBER(E150)),E150&lt;=0,MOD(E150,1)&lt;&gt;0,NOT(ISNUMBER(F150)),F150&lt;0,MOD(F150,1)&lt;&gt;0),"Invalid ordered / cancelled qty",IF(H150+F150&gt;E150,"Receipts exceed net order",IF(J150&gt;I150,"Transit exceeds outstanding qty","OK"))))))))</x:f>
      </x:c>
    </x:row>
    <x:row r="151" ht="22" customHeight="1">
      <x:c r="A151" s="10"/>
      <x:c r="B151" s="10"/>
      <x:c r="C151" s="10"/>
      <x:c r="D151" s="10"/>
      <x:c r="E151" s="12"/>
      <x:c r="F151" s="12"/>
      <x:c r="G151" s="13"/>
      <x:c r="H151" s="11" t="str">
        <x:f>IF(A151="","",SUMIFS('Shipments'!$I$8:$I$207,'Shipments'!$D$8:$D$207,A151,'Shipments'!$C$8:$C$207,"Inbound"))</x:f>
      </x:c>
      <x:c r="I151" s="11" t="str">
        <x:f>IF(A151="","",MAX(0,E151-F151-H151))</x:f>
      </x:c>
      <x:c r="J151" s="11" t="str">
        <x:f>IF(A151="","",SUMIFS('Shipments'!$K$8:$K$207,'Shipments'!$D$8:$D$207,A151,'Shipments'!$C$8:$C$207,"Inbound"))</x:f>
      </x:c>
      <x:c r="K151" s="11" t="str">
        <x:f>IF(A151="","",MAX(0,I151-J151))</x:f>
      </x:c>
      <x:c r="L151" s="9" t="str">
        <x:f>IF(A151="","",IF(COUNTIFS('Orders'!$A$8:$A$207,A151)&lt;&gt;1,"Duplicate order line",IF(OR(B151="",C151=""),"Set PO and supplier",IF(COUNTIFS('Definitions'!$A$8:$A$207,D151)&lt;&gt;1,"Unknown / duplicate part",IF(VLOOKUP(D151,'Definitions'!$A$8:$J$207,3,FALSE)&lt;&gt;"Part","Order purchasable parts only",IF(OR(NOT(ISNUMBER(E151)),E151&lt;=0,MOD(E151,1)&lt;&gt;0,NOT(ISNUMBER(F151)),F151&lt;0,MOD(F151,1)&lt;&gt;0),"Invalid ordered / cancelled qty",IF(H151+F151&gt;E151,"Receipts exceed net order",IF(J151&gt;I151,"Transit exceeds outstanding qty","OK"))))))))</x:f>
      </x:c>
    </x:row>
    <x:row r="152" ht="22" customHeight="1">
      <x:c r="A152" s="10"/>
      <x:c r="B152" s="10"/>
      <x:c r="C152" s="10"/>
      <x:c r="D152" s="10"/>
      <x:c r="E152" s="12"/>
      <x:c r="F152" s="12"/>
      <x:c r="G152" s="13"/>
      <x:c r="H152" s="11" t="str">
        <x:f>IF(A152="","",SUMIFS('Shipments'!$I$8:$I$207,'Shipments'!$D$8:$D$207,A152,'Shipments'!$C$8:$C$207,"Inbound"))</x:f>
      </x:c>
      <x:c r="I152" s="11" t="str">
        <x:f>IF(A152="","",MAX(0,E152-F152-H152))</x:f>
      </x:c>
      <x:c r="J152" s="11" t="str">
        <x:f>IF(A152="","",SUMIFS('Shipments'!$K$8:$K$207,'Shipments'!$D$8:$D$207,A152,'Shipments'!$C$8:$C$207,"Inbound"))</x:f>
      </x:c>
      <x:c r="K152" s="11" t="str">
        <x:f>IF(A152="","",MAX(0,I152-J152))</x:f>
      </x:c>
      <x:c r="L152" s="9" t="str">
        <x:f>IF(A152="","",IF(COUNTIFS('Orders'!$A$8:$A$207,A152)&lt;&gt;1,"Duplicate order line",IF(OR(B152="",C152=""),"Set PO and supplier",IF(COUNTIFS('Definitions'!$A$8:$A$207,D152)&lt;&gt;1,"Unknown / duplicate part",IF(VLOOKUP(D152,'Definitions'!$A$8:$J$207,3,FALSE)&lt;&gt;"Part","Order purchasable parts only",IF(OR(NOT(ISNUMBER(E152)),E152&lt;=0,MOD(E152,1)&lt;&gt;0,NOT(ISNUMBER(F152)),F152&lt;0,MOD(F152,1)&lt;&gt;0),"Invalid ordered / cancelled qty",IF(H152+F152&gt;E152,"Receipts exceed net order",IF(J152&gt;I152,"Transit exceeds outstanding qty","OK"))))))))</x:f>
      </x:c>
    </x:row>
    <x:row r="153" ht="22" customHeight="1">
      <x:c r="A153" s="10"/>
      <x:c r="B153" s="10"/>
      <x:c r="C153" s="10"/>
      <x:c r="D153" s="10"/>
      <x:c r="E153" s="12"/>
      <x:c r="F153" s="12"/>
      <x:c r="G153" s="13"/>
      <x:c r="H153" s="11" t="str">
        <x:f>IF(A153="","",SUMIFS('Shipments'!$I$8:$I$207,'Shipments'!$D$8:$D$207,A153,'Shipments'!$C$8:$C$207,"Inbound"))</x:f>
      </x:c>
      <x:c r="I153" s="11" t="str">
        <x:f>IF(A153="","",MAX(0,E153-F153-H153))</x:f>
      </x:c>
      <x:c r="J153" s="11" t="str">
        <x:f>IF(A153="","",SUMIFS('Shipments'!$K$8:$K$207,'Shipments'!$D$8:$D$207,A153,'Shipments'!$C$8:$C$207,"Inbound"))</x:f>
      </x:c>
      <x:c r="K153" s="11" t="str">
        <x:f>IF(A153="","",MAX(0,I153-J153))</x:f>
      </x:c>
      <x:c r="L153" s="9" t="str">
        <x:f>IF(A153="","",IF(COUNTIFS('Orders'!$A$8:$A$207,A153)&lt;&gt;1,"Duplicate order line",IF(OR(B153="",C153=""),"Set PO and supplier",IF(COUNTIFS('Definitions'!$A$8:$A$207,D153)&lt;&gt;1,"Unknown / duplicate part",IF(VLOOKUP(D153,'Definitions'!$A$8:$J$207,3,FALSE)&lt;&gt;"Part","Order purchasable parts only",IF(OR(NOT(ISNUMBER(E153)),E153&lt;=0,MOD(E153,1)&lt;&gt;0,NOT(ISNUMBER(F153)),F153&lt;0,MOD(F153,1)&lt;&gt;0),"Invalid ordered / cancelled qty",IF(H153+F153&gt;E153,"Receipts exceed net order",IF(J153&gt;I153,"Transit exceeds outstanding qty","OK"))))))))</x:f>
      </x:c>
    </x:row>
    <x:row r="154" ht="22" customHeight="1">
      <x:c r="A154" s="10"/>
      <x:c r="B154" s="10"/>
      <x:c r="C154" s="10"/>
      <x:c r="D154" s="10"/>
      <x:c r="E154" s="12"/>
      <x:c r="F154" s="12"/>
      <x:c r="G154" s="13"/>
      <x:c r="H154" s="11" t="str">
        <x:f>IF(A154="","",SUMIFS('Shipments'!$I$8:$I$207,'Shipments'!$D$8:$D$207,A154,'Shipments'!$C$8:$C$207,"Inbound"))</x:f>
      </x:c>
      <x:c r="I154" s="11" t="str">
        <x:f>IF(A154="","",MAX(0,E154-F154-H154))</x:f>
      </x:c>
      <x:c r="J154" s="11" t="str">
        <x:f>IF(A154="","",SUMIFS('Shipments'!$K$8:$K$207,'Shipments'!$D$8:$D$207,A154,'Shipments'!$C$8:$C$207,"Inbound"))</x:f>
      </x:c>
      <x:c r="K154" s="11" t="str">
        <x:f>IF(A154="","",MAX(0,I154-J154))</x:f>
      </x:c>
      <x:c r="L154" s="9" t="str">
        <x:f>IF(A154="","",IF(COUNTIFS('Orders'!$A$8:$A$207,A154)&lt;&gt;1,"Duplicate order line",IF(OR(B154="",C154=""),"Set PO and supplier",IF(COUNTIFS('Definitions'!$A$8:$A$207,D154)&lt;&gt;1,"Unknown / duplicate part",IF(VLOOKUP(D154,'Definitions'!$A$8:$J$207,3,FALSE)&lt;&gt;"Part","Order purchasable parts only",IF(OR(NOT(ISNUMBER(E154)),E154&lt;=0,MOD(E154,1)&lt;&gt;0,NOT(ISNUMBER(F154)),F154&lt;0,MOD(F154,1)&lt;&gt;0),"Invalid ordered / cancelled qty",IF(H154+F154&gt;E154,"Receipts exceed net order",IF(J154&gt;I154,"Transit exceeds outstanding qty","OK"))))))))</x:f>
      </x:c>
    </x:row>
    <x:row r="155" ht="22" customHeight="1">
      <x:c r="A155" s="10"/>
      <x:c r="B155" s="10"/>
      <x:c r="C155" s="10"/>
      <x:c r="D155" s="10"/>
      <x:c r="E155" s="12"/>
      <x:c r="F155" s="12"/>
      <x:c r="G155" s="13"/>
      <x:c r="H155" s="11" t="str">
        <x:f>IF(A155="","",SUMIFS('Shipments'!$I$8:$I$207,'Shipments'!$D$8:$D$207,A155,'Shipments'!$C$8:$C$207,"Inbound"))</x:f>
      </x:c>
      <x:c r="I155" s="11" t="str">
        <x:f>IF(A155="","",MAX(0,E155-F155-H155))</x:f>
      </x:c>
      <x:c r="J155" s="11" t="str">
        <x:f>IF(A155="","",SUMIFS('Shipments'!$K$8:$K$207,'Shipments'!$D$8:$D$207,A155,'Shipments'!$C$8:$C$207,"Inbound"))</x:f>
      </x:c>
      <x:c r="K155" s="11" t="str">
        <x:f>IF(A155="","",MAX(0,I155-J155))</x:f>
      </x:c>
      <x:c r="L155" s="9" t="str">
        <x:f>IF(A155="","",IF(COUNTIFS('Orders'!$A$8:$A$207,A155)&lt;&gt;1,"Duplicate order line",IF(OR(B155="",C155=""),"Set PO and supplier",IF(COUNTIFS('Definitions'!$A$8:$A$207,D155)&lt;&gt;1,"Unknown / duplicate part",IF(VLOOKUP(D155,'Definitions'!$A$8:$J$207,3,FALSE)&lt;&gt;"Part","Order purchasable parts only",IF(OR(NOT(ISNUMBER(E155)),E155&lt;=0,MOD(E155,1)&lt;&gt;0,NOT(ISNUMBER(F155)),F155&lt;0,MOD(F155,1)&lt;&gt;0),"Invalid ordered / cancelled qty",IF(H155+F155&gt;E155,"Receipts exceed net order",IF(J155&gt;I155,"Transit exceeds outstanding qty","OK"))))))))</x:f>
      </x:c>
    </x:row>
    <x:row r="156" ht="22" customHeight="1">
      <x:c r="A156" s="10"/>
      <x:c r="B156" s="10"/>
      <x:c r="C156" s="10"/>
      <x:c r="D156" s="10"/>
      <x:c r="E156" s="12"/>
      <x:c r="F156" s="12"/>
      <x:c r="G156" s="13"/>
      <x:c r="H156" s="11" t="str">
        <x:f>IF(A156="","",SUMIFS('Shipments'!$I$8:$I$207,'Shipments'!$D$8:$D$207,A156,'Shipments'!$C$8:$C$207,"Inbound"))</x:f>
      </x:c>
      <x:c r="I156" s="11" t="str">
        <x:f>IF(A156="","",MAX(0,E156-F156-H156))</x:f>
      </x:c>
      <x:c r="J156" s="11" t="str">
        <x:f>IF(A156="","",SUMIFS('Shipments'!$K$8:$K$207,'Shipments'!$D$8:$D$207,A156,'Shipments'!$C$8:$C$207,"Inbound"))</x:f>
      </x:c>
      <x:c r="K156" s="11" t="str">
        <x:f>IF(A156="","",MAX(0,I156-J156))</x:f>
      </x:c>
      <x:c r="L156" s="9" t="str">
        <x:f>IF(A156="","",IF(COUNTIFS('Orders'!$A$8:$A$207,A156)&lt;&gt;1,"Duplicate order line",IF(OR(B156="",C156=""),"Set PO and supplier",IF(COUNTIFS('Definitions'!$A$8:$A$207,D156)&lt;&gt;1,"Unknown / duplicate part",IF(VLOOKUP(D156,'Definitions'!$A$8:$J$207,3,FALSE)&lt;&gt;"Part","Order purchasable parts only",IF(OR(NOT(ISNUMBER(E156)),E156&lt;=0,MOD(E156,1)&lt;&gt;0,NOT(ISNUMBER(F156)),F156&lt;0,MOD(F156,1)&lt;&gt;0),"Invalid ordered / cancelled qty",IF(H156+F156&gt;E156,"Receipts exceed net order",IF(J156&gt;I156,"Transit exceeds outstanding qty","OK"))))))))</x:f>
      </x:c>
    </x:row>
    <x:row r="157" ht="22" customHeight="1">
      <x:c r="A157" s="10"/>
      <x:c r="B157" s="10"/>
      <x:c r="C157" s="10"/>
      <x:c r="D157" s="10"/>
      <x:c r="E157" s="12"/>
      <x:c r="F157" s="12"/>
      <x:c r="G157" s="13"/>
      <x:c r="H157" s="11" t="str">
        <x:f>IF(A157="","",SUMIFS('Shipments'!$I$8:$I$207,'Shipments'!$D$8:$D$207,A157,'Shipments'!$C$8:$C$207,"Inbound"))</x:f>
      </x:c>
      <x:c r="I157" s="11" t="str">
        <x:f>IF(A157="","",MAX(0,E157-F157-H157))</x:f>
      </x:c>
      <x:c r="J157" s="11" t="str">
        <x:f>IF(A157="","",SUMIFS('Shipments'!$K$8:$K$207,'Shipments'!$D$8:$D$207,A157,'Shipments'!$C$8:$C$207,"Inbound"))</x:f>
      </x:c>
      <x:c r="K157" s="11" t="str">
        <x:f>IF(A157="","",MAX(0,I157-J157))</x:f>
      </x:c>
      <x:c r="L157" s="9" t="str">
        <x:f>IF(A157="","",IF(COUNTIFS('Orders'!$A$8:$A$207,A157)&lt;&gt;1,"Duplicate order line",IF(OR(B157="",C157=""),"Set PO and supplier",IF(COUNTIFS('Definitions'!$A$8:$A$207,D157)&lt;&gt;1,"Unknown / duplicate part",IF(VLOOKUP(D157,'Definitions'!$A$8:$J$207,3,FALSE)&lt;&gt;"Part","Order purchasable parts only",IF(OR(NOT(ISNUMBER(E157)),E157&lt;=0,MOD(E157,1)&lt;&gt;0,NOT(ISNUMBER(F157)),F157&lt;0,MOD(F157,1)&lt;&gt;0),"Invalid ordered / cancelled qty",IF(H157+F157&gt;E157,"Receipts exceed net order",IF(J157&gt;I157,"Transit exceeds outstanding qty","OK"))))))))</x:f>
      </x:c>
    </x:row>
    <x:row r="158" ht="22" customHeight="1">
      <x:c r="A158" s="10"/>
      <x:c r="B158" s="10"/>
      <x:c r="C158" s="10"/>
      <x:c r="D158" s="10"/>
      <x:c r="E158" s="12"/>
      <x:c r="F158" s="12"/>
      <x:c r="G158" s="13"/>
      <x:c r="H158" s="11" t="str">
        <x:f>IF(A158="","",SUMIFS('Shipments'!$I$8:$I$207,'Shipments'!$D$8:$D$207,A158,'Shipments'!$C$8:$C$207,"Inbound"))</x:f>
      </x:c>
      <x:c r="I158" s="11" t="str">
        <x:f>IF(A158="","",MAX(0,E158-F158-H158))</x:f>
      </x:c>
      <x:c r="J158" s="11" t="str">
        <x:f>IF(A158="","",SUMIFS('Shipments'!$K$8:$K$207,'Shipments'!$D$8:$D$207,A158,'Shipments'!$C$8:$C$207,"Inbound"))</x:f>
      </x:c>
      <x:c r="K158" s="11" t="str">
        <x:f>IF(A158="","",MAX(0,I158-J158))</x:f>
      </x:c>
      <x:c r="L158" s="9" t="str">
        <x:f>IF(A158="","",IF(COUNTIFS('Orders'!$A$8:$A$207,A158)&lt;&gt;1,"Duplicate order line",IF(OR(B158="",C158=""),"Set PO and supplier",IF(COUNTIFS('Definitions'!$A$8:$A$207,D158)&lt;&gt;1,"Unknown / duplicate part",IF(VLOOKUP(D158,'Definitions'!$A$8:$J$207,3,FALSE)&lt;&gt;"Part","Order purchasable parts only",IF(OR(NOT(ISNUMBER(E158)),E158&lt;=0,MOD(E158,1)&lt;&gt;0,NOT(ISNUMBER(F158)),F158&lt;0,MOD(F158,1)&lt;&gt;0),"Invalid ordered / cancelled qty",IF(H158+F158&gt;E158,"Receipts exceed net order",IF(J158&gt;I158,"Transit exceeds outstanding qty","OK"))))))))</x:f>
      </x:c>
    </x:row>
    <x:row r="159" ht="22" customHeight="1">
      <x:c r="A159" s="10"/>
      <x:c r="B159" s="10"/>
      <x:c r="C159" s="10"/>
      <x:c r="D159" s="10"/>
      <x:c r="E159" s="12"/>
      <x:c r="F159" s="12"/>
      <x:c r="G159" s="13"/>
      <x:c r="H159" s="11" t="str">
        <x:f>IF(A159="","",SUMIFS('Shipments'!$I$8:$I$207,'Shipments'!$D$8:$D$207,A159,'Shipments'!$C$8:$C$207,"Inbound"))</x:f>
      </x:c>
      <x:c r="I159" s="11" t="str">
        <x:f>IF(A159="","",MAX(0,E159-F159-H159))</x:f>
      </x:c>
      <x:c r="J159" s="11" t="str">
        <x:f>IF(A159="","",SUMIFS('Shipments'!$K$8:$K$207,'Shipments'!$D$8:$D$207,A159,'Shipments'!$C$8:$C$207,"Inbound"))</x:f>
      </x:c>
      <x:c r="K159" s="11" t="str">
        <x:f>IF(A159="","",MAX(0,I159-J159))</x:f>
      </x:c>
      <x:c r="L159" s="9" t="str">
        <x:f>IF(A159="","",IF(COUNTIFS('Orders'!$A$8:$A$207,A159)&lt;&gt;1,"Duplicate order line",IF(OR(B159="",C159=""),"Set PO and supplier",IF(COUNTIFS('Definitions'!$A$8:$A$207,D159)&lt;&gt;1,"Unknown / duplicate part",IF(VLOOKUP(D159,'Definitions'!$A$8:$J$207,3,FALSE)&lt;&gt;"Part","Order purchasable parts only",IF(OR(NOT(ISNUMBER(E159)),E159&lt;=0,MOD(E159,1)&lt;&gt;0,NOT(ISNUMBER(F159)),F159&lt;0,MOD(F159,1)&lt;&gt;0),"Invalid ordered / cancelled qty",IF(H159+F159&gt;E159,"Receipts exceed net order",IF(J159&gt;I159,"Transit exceeds outstanding qty","OK"))))))))</x:f>
      </x:c>
    </x:row>
    <x:row r="160" ht="22" customHeight="1">
      <x:c r="A160" s="10"/>
      <x:c r="B160" s="10"/>
      <x:c r="C160" s="10"/>
      <x:c r="D160" s="10"/>
      <x:c r="E160" s="12"/>
      <x:c r="F160" s="12"/>
      <x:c r="G160" s="13"/>
      <x:c r="H160" s="11" t="str">
        <x:f>IF(A160="","",SUMIFS('Shipments'!$I$8:$I$207,'Shipments'!$D$8:$D$207,A160,'Shipments'!$C$8:$C$207,"Inbound"))</x:f>
      </x:c>
      <x:c r="I160" s="11" t="str">
        <x:f>IF(A160="","",MAX(0,E160-F160-H160))</x:f>
      </x:c>
      <x:c r="J160" s="11" t="str">
        <x:f>IF(A160="","",SUMIFS('Shipments'!$K$8:$K$207,'Shipments'!$D$8:$D$207,A160,'Shipments'!$C$8:$C$207,"Inbound"))</x:f>
      </x:c>
      <x:c r="K160" s="11" t="str">
        <x:f>IF(A160="","",MAX(0,I160-J160))</x:f>
      </x:c>
      <x:c r="L160" s="9" t="str">
        <x:f>IF(A160="","",IF(COUNTIFS('Orders'!$A$8:$A$207,A160)&lt;&gt;1,"Duplicate order line",IF(OR(B160="",C160=""),"Set PO and supplier",IF(COUNTIFS('Definitions'!$A$8:$A$207,D160)&lt;&gt;1,"Unknown / duplicate part",IF(VLOOKUP(D160,'Definitions'!$A$8:$J$207,3,FALSE)&lt;&gt;"Part","Order purchasable parts only",IF(OR(NOT(ISNUMBER(E160)),E160&lt;=0,MOD(E160,1)&lt;&gt;0,NOT(ISNUMBER(F160)),F160&lt;0,MOD(F160,1)&lt;&gt;0),"Invalid ordered / cancelled qty",IF(H160+F160&gt;E160,"Receipts exceed net order",IF(J160&gt;I160,"Transit exceeds outstanding qty","OK"))))))))</x:f>
      </x:c>
    </x:row>
    <x:row r="161" ht="22" customHeight="1">
      <x:c r="A161" s="10"/>
      <x:c r="B161" s="10"/>
      <x:c r="C161" s="10"/>
      <x:c r="D161" s="10"/>
      <x:c r="E161" s="12"/>
      <x:c r="F161" s="12"/>
      <x:c r="G161" s="13"/>
      <x:c r="H161" s="11" t="str">
        <x:f>IF(A161="","",SUMIFS('Shipments'!$I$8:$I$207,'Shipments'!$D$8:$D$207,A161,'Shipments'!$C$8:$C$207,"Inbound"))</x:f>
      </x:c>
      <x:c r="I161" s="11" t="str">
        <x:f>IF(A161="","",MAX(0,E161-F161-H161))</x:f>
      </x:c>
      <x:c r="J161" s="11" t="str">
        <x:f>IF(A161="","",SUMIFS('Shipments'!$K$8:$K$207,'Shipments'!$D$8:$D$207,A161,'Shipments'!$C$8:$C$207,"Inbound"))</x:f>
      </x:c>
      <x:c r="K161" s="11" t="str">
        <x:f>IF(A161="","",MAX(0,I161-J161))</x:f>
      </x:c>
      <x:c r="L161" s="9" t="str">
        <x:f>IF(A161="","",IF(COUNTIFS('Orders'!$A$8:$A$207,A161)&lt;&gt;1,"Duplicate order line",IF(OR(B161="",C161=""),"Set PO and supplier",IF(COUNTIFS('Definitions'!$A$8:$A$207,D161)&lt;&gt;1,"Unknown / duplicate part",IF(VLOOKUP(D161,'Definitions'!$A$8:$J$207,3,FALSE)&lt;&gt;"Part","Order purchasable parts only",IF(OR(NOT(ISNUMBER(E161)),E161&lt;=0,MOD(E161,1)&lt;&gt;0,NOT(ISNUMBER(F161)),F161&lt;0,MOD(F161,1)&lt;&gt;0),"Invalid ordered / cancelled qty",IF(H161+F161&gt;E161,"Receipts exceed net order",IF(J161&gt;I161,"Transit exceeds outstanding qty","OK"))))))))</x:f>
      </x:c>
    </x:row>
    <x:row r="162" ht="22" customHeight="1">
      <x:c r="A162" s="10"/>
      <x:c r="B162" s="10"/>
      <x:c r="C162" s="10"/>
      <x:c r="D162" s="10"/>
      <x:c r="E162" s="12"/>
      <x:c r="F162" s="12"/>
      <x:c r="G162" s="13"/>
      <x:c r="H162" s="11" t="str">
        <x:f>IF(A162="","",SUMIFS('Shipments'!$I$8:$I$207,'Shipments'!$D$8:$D$207,A162,'Shipments'!$C$8:$C$207,"Inbound"))</x:f>
      </x:c>
      <x:c r="I162" s="11" t="str">
        <x:f>IF(A162="","",MAX(0,E162-F162-H162))</x:f>
      </x:c>
      <x:c r="J162" s="11" t="str">
        <x:f>IF(A162="","",SUMIFS('Shipments'!$K$8:$K$207,'Shipments'!$D$8:$D$207,A162,'Shipments'!$C$8:$C$207,"Inbound"))</x:f>
      </x:c>
      <x:c r="K162" s="11" t="str">
        <x:f>IF(A162="","",MAX(0,I162-J162))</x:f>
      </x:c>
      <x:c r="L162" s="9" t="str">
        <x:f>IF(A162="","",IF(COUNTIFS('Orders'!$A$8:$A$207,A162)&lt;&gt;1,"Duplicate order line",IF(OR(B162="",C162=""),"Set PO and supplier",IF(COUNTIFS('Definitions'!$A$8:$A$207,D162)&lt;&gt;1,"Unknown / duplicate part",IF(VLOOKUP(D162,'Definitions'!$A$8:$J$207,3,FALSE)&lt;&gt;"Part","Order purchasable parts only",IF(OR(NOT(ISNUMBER(E162)),E162&lt;=0,MOD(E162,1)&lt;&gt;0,NOT(ISNUMBER(F162)),F162&lt;0,MOD(F162,1)&lt;&gt;0),"Invalid ordered / cancelled qty",IF(H162+F162&gt;E162,"Receipts exceed net order",IF(J162&gt;I162,"Transit exceeds outstanding qty","OK"))))))))</x:f>
      </x:c>
    </x:row>
    <x:row r="163" ht="22" customHeight="1">
      <x:c r="A163" s="10"/>
      <x:c r="B163" s="10"/>
      <x:c r="C163" s="10"/>
      <x:c r="D163" s="10"/>
      <x:c r="E163" s="12"/>
      <x:c r="F163" s="12"/>
      <x:c r="G163" s="13"/>
      <x:c r="H163" s="11" t="str">
        <x:f>IF(A163="","",SUMIFS('Shipments'!$I$8:$I$207,'Shipments'!$D$8:$D$207,A163,'Shipments'!$C$8:$C$207,"Inbound"))</x:f>
      </x:c>
      <x:c r="I163" s="11" t="str">
        <x:f>IF(A163="","",MAX(0,E163-F163-H163))</x:f>
      </x:c>
      <x:c r="J163" s="11" t="str">
        <x:f>IF(A163="","",SUMIFS('Shipments'!$K$8:$K$207,'Shipments'!$D$8:$D$207,A163,'Shipments'!$C$8:$C$207,"Inbound"))</x:f>
      </x:c>
      <x:c r="K163" s="11" t="str">
        <x:f>IF(A163="","",MAX(0,I163-J163))</x:f>
      </x:c>
      <x:c r="L163" s="9" t="str">
        <x:f>IF(A163="","",IF(COUNTIFS('Orders'!$A$8:$A$207,A163)&lt;&gt;1,"Duplicate order line",IF(OR(B163="",C163=""),"Set PO and supplier",IF(COUNTIFS('Definitions'!$A$8:$A$207,D163)&lt;&gt;1,"Unknown / duplicate part",IF(VLOOKUP(D163,'Definitions'!$A$8:$J$207,3,FALSE)&lt;&gt;"Part","Order purchasable parts only",IF(OR(NOT(ISNUMBER(E163)),E163&lt;=0,MOD(E163,1)&lt;&gt;0,NOT(ISNUMBER(F163)),F163&lt;0,MOD(F163,1)&lt;&gt;0),"Invalid ordered / cancelled qty",IF(H163+F163&gt;E163,"Receipts exceed net order",IF(J163&gt;I163,"Transit exceeds outstanding qty","OK"))))))))</x:f>
      </x:c>
    </x:row>
    <x:row r="164" ht="22" customHeight="1">
      <x:c r="A164" s="10"/>
      <x:c r="B164" s="10"/>
      <x:c r="C164" s="10"/>
      <x:c r="D164" s="10"/>
      <x:c r="E164" s="12"/>
      <x:c r="F164" s="12"/>
      <x:c r="G164" s="13"/>
      <x:c r="H164" s="11" t="str">
        <x:f>IF(A164="","",SUMIFS('Shipments'!$I$8:$I$207,'Shipments'!$D$8:$D$207,A164,'Shipments'!$C$8:$C$207,"Inbound"))</x:f>
      </x:c>
      <x:c r="I164" s="11" t="str">
        <x:f>IF(A164="","",MAX(0,E164-F164-H164))</x:f>
      </x:c>
      <x:c r="J164" s="11" t="str">
        <x:f>IF(A164="","",SUMIFS('Shipments'!$K$8:$K$207,'Shipments'!$D$8:$D$207,A164,'Shipments'!$C$8:$C$207,"Inbound"))</x:f>
      </x:c>
      <x:c r="K164" s="11" t="str">
        <x:f>IF(A164="","",MAX(0,I164-J164))</x:f>
      </x:c>
      <x:c r="L164" s="9" t="str">
        <x:f>IF(A164="","",IF(COUNTIFS('Orders'!$A$8:$A$207,A164)&lt;&gt;1,"Duplicate order line",IF(OR(B164="",C164=""),"Set PO and supplier",IF(COUNTIFS('Definitions'!$A$8:$A$207,D164)&lt;&gt;1,"Unknown / duplicate part",IF(VLOOKUP(D164,'Definitions'!$A$8:$J$207,3,FALSE)&lt;&gt;"Part","Order purchasable parts only",IF(OR(NOT(ISNUMBER(E164)),E164&lt;=0,MOD(E164,1)&lt;&gt;0,NOT(ISNUMBER(F164)),F164&lt;0,MOD(F164,1)&lt;&gt;0),"Invalid ordered / cancelled qty",IF(H164+F164&gt;E164,"Receipts exceed net order",IF(J164&gt;I164,"Transit exceeds outstanding qty","OK"))))))))</x:f>
      </x:c>
    </x:row>
    <x:row r="165" ht="22" customHeight="1">
      <x:c r="A165" s="10"/>
      <x:c r="B165" s="10"/>
      <x:c r="C165" s="10"/>
      <x:c r="D165" s="10"/>
      <x:c r="E165" s="12"/>
      <x:c r="F165" s="12"/>
      <x:c r="G165" s="13"/>
      <x:c r="H165" s="11" t="str">
        <x:f>IF(A165="","",SUMIFS('Shipments'!$I$8:$I$207,'Shipments'!$D$8:$D$207,A165,'Shipments'!$C$8:$C$207,"Inbound"))</x:f>
      </x:c>
      <x:c r="I165" s="11" t="str">
        <x:f>IF(A165="","",MAX(0,E165-F165-H165))</x:f>
      </x:c>
      <x:c r="J165" s="11" t="str">
        <x:f>IF(A165="","",SUMIFS('Shipments'!$K$8:$K$207,'Shipments'!$D$8:$D$207,A165,'Shipments'!$C$8:$C$207,"Inbound"))</x:f>
      </x:c>
      <x:c r="K165" s="11" t="str">
        <x:f>IF(A165="","",MAX(0,I165-J165))</x:f>
      </x:c>
      <x:c r="L165" s="9" t="str">
        <x:f>IF(A165="","",IF(COUNTIFS('Orders'!$A$8:$A$207,A165)&lt;&gt;1,"Duplicate order line",IF(OR(B165="",C165=""),"Set PO and supplier",IF(COUNTIFS('Definitions'!$A$8:$A$207,D165)&lt;&gt;1,"Unknown / duplicate part",IF(VLOOKUP(D165,'Definitions'!$A$8:$J$207,3,FALSE)&lt;&gt;"Part","Order purchasable parts only",IF(OR(NOT(ISNUMBER(E165)),E165&lt;=0,MOD(E165,1)&lt;&gt;0,NOT(ISNUMBER(F165)),F165&lt;0,MOD(F165,1)&lt;&gt;0),"Invalid ordered / cancelled qty",IF(H165+F165&gt;E165,"Receipts exceed net order",IF(J165&gt;I165,"Transit exceeds outstanding qty","OK"))))))))</x:f>
      </x:c>
    </x:row>
    <x:row r="166" ht="22" customHeight="1">
      <x:c r="A166" s="10"/>
      <x:c r="B166" s="10"/>
      <x:c r="C166" s="10"/>
      <x:c r="D166" s="10"/>
      <x:c r="E166" s="12"/>
      <x:c r="F166" s="12"/>
      <x:c r="G166" s="13"/>
      <x:c r="H166" s="11" t="str">
        <x:f>IF(A166="","",SUMIFS('Shipments'!$I$8:$I$207,'Shipments'!$D$8:$D$207,A166,'Shipments'!$C$8:$C$207,"Inbound"))</x:f>
      </x:c>
      <x:c r="I166" s="11" t="str">
        <x:f>IF(A166="","",MAX(0,E166-F166-H166))</x:f>
      </x:c>
      <x:c r="J166" s="11" t="str">
        <x:f>IF(A166="","",SUMIFS('Shipments'!$K$8:$K$207,'Shipments'!$D$8:$D$207,A166,'Shipments'!$C$8:$C$207,"Inbound"))</x:f>
      </x:c>
      <x:c r="K166" s="11" t="str">
        <x:f>IF(A166="","",MAX(0,I166-J166))</x:f>
      </x:c>
      <x:c r="L166" s="9" t="str">
        <x:f>IF(A166="","",IF(COUNTIFS('Orders'!$A$8:$A$207,A166)&lt;&gt;1,"Duplicate order line",IF(OR(B166="",C166=""),"Set PO and supplier",IF(COUNTIFS('Definitions'!$A$8:$A$207,D166)&lt;&gt;1,"Unknown / duplicate part",IF(VLOOKUP(D166,'Definitions'!$A$8:$J$207,3,FALSE)&lt;&gt;"Part","Order purchasable parts only",IF(OR(NOT(ISNUMBER(E166)),E166&lt;=0,MOD(E166,1)&lt;&gt;0,NOT(ISNUMBER(F166)),F166&lt;0,MOD(F166,1)&lt;&gt;0),"Invalid ordered / cancelled qty",IF(H166+F166&gt;E166,"Receipts exceed net order",IF(J166&gt;I166,"Transit exceeds outstanding qty","OK"))))))))</x:f>
      </x:c>
    </x:row>
    <x:row r="167" ht="22" customHeight="1">
      <x:c r="A167" s="10"/>
      <x:c r="B167" s="10"/>
      <x:c r="C167" s="10"/>
      <x:c r="D167" s="10"/>
      <x:c r="E167" s="12"/>
      <x:c r="F167" s="12"/>
      <x:c r="G167" s="13"/>
      <x:c r="H167" s="11" t="str">
        <x:f>IF(A167="","",SUMIFS('Shipments'!$I$8:$I$207,'Shipments'!$D$8:$D$207,A167,'Shipments'!$C$8:$C$207,"Inbound"))</x:f>
      </x:c>
      <x:c r="I167" s="11" t="str">
        <x:f>IF(A167="","",MAX(0,E167-F167-H167))</x:f>
      </x:c>
      <x:c r="J167" s="11" t="str">
        <x:f>IF(A167="","",SUMIFS('Shipments'!$K$8:$K$207,'Shipments'!$D$8:$D$207,A167,'Shipments'!$C$8:$C$207,"Inbound"))</x:f>
      </x:c>
      <x:c r="K167" s="11" t="str">
        <x:f>IF(A167="","",MAX(0,I167-J167))</x:f>
      </x:c>
      <x:c r="L167" s="9" t="str">
        <x:f>IF(A167="","",IF(COUNTIFS('Orders'!$A$8:$A$207,A167)&lt;&gt;1,"Duplicate order line",IF(OR(B167="",C167=""),"Set PO and supplier",IF(COUNTIFS('Definitions'!$A$8:$A$207,D167)&lt;&gt;1,"Unknown / duplicate part",IF(VLOOKUP(D167,'Definitions'!$A$8:$J$207,3,FALSE)&lt;&gt;"Part","Order purchasable parts only",IF(OR(NOT(ISNUMBER(E167)),E167&lt;=0,MOD(E167,1)&lt;&gt;0,NOT(ISNUMBER(F167)),F167&lt;0,MOD(F167,1)&lt;&gt;0),"Invalid ordered / cancelled qty",IF(H167+F167&gt;E167,"Receipts exceed net order",IF(J167&gt;I167,"Transit exceeds outstanding qty","OK"))))))))</x:f>
      </x:c>
    </x:row>
    <x:row r="168" ht="22" customHeight="1">
      <x:c r="A168" s="10"/>
      <x:c r="B168" s="10"/>
      <x:c r="C168" s="10"/>
      <x:c r="D168" s="10"/>
      <x:c r="E168" s="12"/>
      <x:c r="F168" s="12"/>
      <x:c r="G168" s="13"/>
      <x:c r="H168" s="11" t="str">
        <x:f>IF(A168="","",SUMIFS('Shipments'!$I$8:$I$207,'Shipments'!$D$8:$D$207,A168,'Shipments'!$C$8:$C$207,"Inbound"))</x:f>
      </x:c>
      <x:c r="I168" s="11" t="str">
        <x:f>IF(A168="","",MAX(0,E168-F168-H168))</x:f>
      </x:c>
      <x:c r="J168" s="11" t="str">
        <x:f>IF(A168="","",SUMIFS('Shipments'!$K$8:$K$207,'Shipments'!$D$8:$D$207,A168,'Shipments'!$C$8:$C$207,"Inbound"))</x:f>
      </x:c>
      <x:c r="K168" s="11" t="str">
        <x:f>IF(A168="","",MAX(0,I168-J168))</x:f>
      </x:c>
      <x:c r="L168" s="9" t="str">
        <x:f>IF(A168="","",IF(COUNTIFS('Orders'!$A$8:$A$207,A168)&lt;&gt;1,"Duplicate order line",IF(OR(B168="",C168=""),"Set PO and supplier",IF(COUNTIFS('Definitions'!$A$8:$A$207,D168)&lt;&gt;1,"Unknown / duplicate part",IF(VLOOKUP(D168,'Definitions'!$A$8:$J$207,3,FALSE)&lt;&gt;"Part","Order purchasable parts only",IF(OR(NOT(ISNUMBER(E168)),E168&lt;=0,MOD(E168,1)&lt;&gt;0,NOT(ISNUMBER(F168)),F168&lt;0,MOD(F168,1)&lt;&gt;0),"Invalid ordered / cancelled qty",IF(H168+F168&gt;E168,"Receipts exceed net order",IF(J168&gt;I168,"Transit exceeds outstanding qty","OK"))))))))</x:f>
      </x:c>
    </x:row>
    <x:row r="169" ht="22" customHeight="1">
      <x:c r="A169" s="10"/>
      <x:c r="B169" s="10"/>
      <x:c r="C169" s="10"/>
      <x:c r="D169" s="10"/>
      <x:c r="E169" s="12"/>
      <x:c r="F169" s="12"/>
      <x:c r="G169" s="13"/>
      <x:c r="H169" s="11" t="str">
        <x:f>IF(A169="","",SUMIFS('Shipments'!$I$8:$I$207,'Shipments'!$D$8:$D$207,A169,'Shipments'!$C$8:$C$207,"Inbound"))</x:f>
      </x:c>
      <x:c r="I169" s="11" t="str">
        <x:f>IF(A169="","",MAX(0,E169-F169-H169))</x:f>
      </x:c>
      <x:c r="J169" s="11" t="str">
        <x:f>IF(A169="","",SUMIFS('Shipments'!$K$8:$K$207,'Shipments'!$D$8:$D$207,A169,'Shipments'!$C$8:$C$207,"Inbound"))</x:f>
      </x:c>
      <x:c r="K169" s="11" t="str">
        <x:f>IF(A169="","",MAX(0,I169-J169))</x:f>
      </x:c>
      <x:c r="L169" s="9" t="str">
        <x:f>IF(A169="","",IF(COUNTIFS('Orders'!$A$8:$A$207,A169)&lt;&gt;1,"Duplicate order line",IF(OR(B169="",C169=""),"Set PO and supplier",IF(COUNTIFS('Definitions'!$A$8:$A$207,D169)&lt;&gt;1,"Unknown / duplicate part",IF(VLOOKUP(D169,'Definitions'!$A$8:$J$207,3,FALSE)&lt;&gt;"Part","Order purchasable parts only",IF(OR(NOT(ISNUMBER(E169)),E169&lt;=0,MOD(E169,1)&lt;&gt;0,NOT(ISNUMBER(F169)),F169&lt;0,MOD(F169,1)&lt;&gt;0),"Invalid ordered / cancelled qty",IF(H169+F169&gt;E169,"Receipts exceed net order",IF(J169&gt;I169,"Transit exceeds outstanding qty","OK"))))))))</x:f>
      </x:c>
    </x:row>
    <x:row r="170" ht="22" customHeight="1">
      <x:c r="A170" s="10"/>
      <x:c r="B170" s="10"/>
      <x:c r="C170" s="10"/>
      <x:c r="D170" s="10"/>
      <x:c r="E170" s="12"/>
      <x:c r="F170" s="12"/>
      <x:c r="G170" s="13"/>
      <x:c r="H170" s="11" t="str">
        <x:f>IF(A170="","",SUMIFS('Shipments'!$I$8:$I$207,'Shipments'!$D$8:$D$207,A170,'Shipments'!$C$8:$C$207,"Inbound"))</x:f>
      </x:c>
      <x:c r="I170" s="11" t="str">
        <x:f>IF(A170="","",MAX(0,E170-F170-H170))</x:f>
      </x:c>
      <x:c r="J170" s="11" t="str">
        <x:f>IF(A170="","",SUMIFS('Shipments'!$K$8:$K$207,'Shipments'!$D$8:$D$207,A170,'Shipments'!$C$8:$C$207,"Inbound"))</x:f>
      </x:c>
      <x:c r="K170" s="11" t="str">
        <x:f>IF(A170="","",MAX(0,I170-J170))</x:f>
      </x:c>
      <x:c r="L170" s="9" t="str">
        <x:f>IF(A170="","",IF(COUNTIFS('Orders'!$A$8:$A$207,A170)&lt;&gt;1,"Duplicate order line",IF(OR(B170="",C170=""),"Set PO and supplier",IF(COUNTIFS('Definitions'!$A$8:$A$207,D170)&lt;&gt;1,"Unknown / duplicate part",IF(VLOOKUP(D170,'Definitions'!$A$8:$J$207,3,FALSE)&lt;&gt;"Part","Order purchasable parts only",IF(OR(NOT(ISNUMBER(E170)),E170&lt;=0,MOD(E170,1)&lt;&gt;0,NOT(ISNUMBER(F170)),F170&lt;0,MOD(F170,1)&lt;&gt;0),"Invalid ordered / cancelled qty",IF(H170+F170&gt;E170,"Receipts exceed net order",IF(J170&gt;I170,"Transit exceeds outstanding qty","OK"))))))))</x:f>
      </x:c>
    </x:row>
    <x:row r="171" ht="22" customHeight="1">
      <x:c r="A171" s="10"/>
      <x:c r="B171" s="10"/>
      <x:c r="C171" s="10"/>
      <x:c r="D171" s="10"/>
      <x:c r="E171" s="12"/>
      <x:c r="F171" s="12"/>
      <x:c r="G171" s="13"/>
      <x:c r="H171" s="11" t="str">
        <x:f>IF(A171="","",SUMIFS('Shipments'!$I$8:$I$207,'Shipments'!$D$8:$D$207,A171,'Shipments'!$C$8:$C$207,"Inbound"))</x:f>
      </x:c>
      <x:c r="I171" s="11" t="str">
        <x:f>IF(A171="","",MAX(0,E171-F171-H171))</x:f>
      </x:c>
      <x:c r="J171" s="11" t="str">
        <x:f>IF(A171="","",SUMIFS('Shipments'!$K$8:$K$207,'Shipments'!$D$8:$D$207,A171,'Shipments'!$C$8:$C$207,"Inbound"))</x:f>
      </x:c>
      <x:c r="K171" s="11" t="str">
        <x:f>IF(A171="","",MAX(0,I171-J171))</x:f>
      </x:c>
      <x:c r="L171" s="9" t="str">
        <x:f>IF(A171="","",IF(COUNTIFS('Orders'!$A$8:$A$207,A171)&lt;&gt;1,"Duplicate order line",IF(OR(B171="",C171=""),"Set PO and supplier",IF(COUNTIFS('Definitions'!$A$8:$A$207,D171)&lt;&gt;1,"Unknown / duplicate part",IF(VLOOKUP(D171,'Definitions'!$A$8:$J$207,3,FALSE)&lt;&gt;"Part","Order purchasable parts only",IF(OR(NOT(ISNUMBER(E171)),E171&lt;=0,MOD(E171,1)&lt;&gt;0,NOT(ISNUMBER(F171)),F171&lt;0,MOD(F171,1)&lt;&gt;0),"Invalid ordered / cancelled qty",IF(H171+F171&gt;E171,"Receipts exceed net order",IF(J171&gt;I171,"Transit exceeds outstanding qty","OK"))))))))</x:f>
      </x:c>
    </x:row>
    <x:row r="172" ht="22" customHeight="1">
      <x:c r="A172" s="10"/>
      <x:c r="B172" s="10"/>
      <x:c r="C172" s="10"/>
      <x:c r="D172" s="10"/>
      <x:c r="E172" s="12"/>
      <x:c r="F172" s="12"/>
      <x:c r="G172" s="13"/>
      <x:c r="H172" s="11" t="str">
        <x:f>IF(A172="","",SUMIFS('Shipments'!$I$8:$I$207,'Shipments'!$D$8:$D$207,A172,'Shipments'!$C$8:$C$207,"Inbound"))</x:f>
      </x:c>
      <x:c r="I172" s="11" t="str">
        <x:f>IF(A172="","",MAX(0,E172-F172-H172))</x:f>
      </x:c>
      <x:c r="J172" s="11" t="str">
        <x:f>IF(A172="","",SUMIFS('Shipments'!$K$8:$K$207,'Shipments'!$D$8:$D$207,A172,'Shipments'!$C$8:$C$207,"Inbound"))</x:f>
      </x:c>
      <x:c r="K172" s="11" t="str">
        <x:f>IF(A172="","",MAX(0,I172-J172))</x:f>
      </x:c>
      <x:c r="L172" s="9" t="str">
        <x:f>IF(A172="","",IF(COUNTIFS('Orders'!$A$8:$A$207,A172)&lt;&gt;1,"Duplicate order line",IF(OR(B172="",C172=""),"Set PO and supplier",IF(COUNTIFS('Definitions'!$A$8:$A$207,D172)&lt;&gt;1,"Unknown / duplicate part",IF(VLOOKUP(D172,'Definitions'!$A$8:$J$207,3,FALSE)&lt;&gt;"Part","Order purchasable parts only",IF(OR(NOT(ISNUMBER(E172)),E172&lt;=0,MOD(E172,1)&lt;&gt;0,NOT(ISNUMBER(F172)),F172&lt;0,MOD(F172,1)&lt;&gt;0),"Invalid ordered / cancelled qty",IF(H172+F172&gt;E172,"Receipts exceed net order",IF(J172&gt;I172,"Transit exceeds outstanding qty","OK"))))))))</x:f>
      </x:c>
    </x:row>
    <x:row r="173" ht="22" customHeight="1">
      <x:c r="A173" s="10"/>
      <x:c r="B173" s="10"/>
      <x:c r="C173" s="10"/>
      <x:c r="D173" s="10"/>
      <x:c r="E173" s="12"/>
      <x:c r="F173" s="12"/>
      <x:c r="G173" s="13"/>
      <x:c r="H173" s="11" t="str">
        <x:f>IF(A173="","",SUMIFS('Shipments'!$I$8:$I$207,'Shipments'!$D$8:$D$207,A173,'Shipments'!$C$8:$C$207,"Inbound"))</x:f>
      </x:c>
      <x:c r="I173" s="11" t="str">
        <x:f>IF(A173="","",MAX(0,E173-F173-H173))</x:f>
      </x:c>
      <x:c r="J173" s="11" t="str">
        <x:f>IF(A173="","",SUMIFS('Shipments'!$K$8:$K$207,'Shipments'!$D$8:$D$207,A173,'Shipments'!$C$8:$C$207,"Inbound"))</x:f>
      </x:c>
      <x:c r="K173" s="11" t="str">
        <x:f>IF(A173="","",MAX(0,I173-J173))</x:f>
      </x:c>
      <x:c r="L173" s="9" t="str">
        <x:f>IF(A173="","",IF(COUNTIFS('Orders'!$A$8:$A$207,A173)&lt;&gt;1,"Duplicate order line",IF(OR(B173="",C173=""),"Set PO and supplier",IF(COUNTIFS('Definitions'!$A$8:$A$207,D173)&lt;&gt;1,"Unknown / duplicate part",IF(VLOOKUP(D173,'Definitions'!$A$8:$J$207,3,FALSE)&lt;&gt;"Part","Order purchasable parts only",IF(OR(NOT(ISNUMBER(E173)),E173&lt;=0,MOD(E173,1)&lt;&gt;0,NOT(ISNUMBER(F173)),F173&lt;0,MOD(F173,1)&lt;&gt;0),"Invalid ordered / cancelled qty",IF(H173+F173&gt;E173,"Receipts exceed net order",IF(J173&gt;I173,"Transit exceeds outstanding qty","OK"))))))))</x:f>
      </x:c>
    </x:row>
    <x:row r="174" ht="22" customHeight="1">
      <x:c r="A174" s="10"/>
      <x:c r="B174" s="10"/>
      <x:c r="C174" s="10"/>
      <x:c r="D174" s="10"/>
      <x:c r="E174" s="12"/>
      <x:c r="F174" s="12"/>
      <x:c r="G174" s="13"/>
      <x:c r="H174" s="11" t="str">
        <x:f>IF(A174="","",SUMIFS('Shipments'!$I$8:$I$207,'Shipments'!$D$8:$D$207,A174,'Shipments'!$C$8:$C$207,"Inbound"))</x:f>
      </x:c>
      <x:c r="I174" s="11" t="str">
        <x:f>IF(A174="","",MAX(0,E174-F174-H174))</x:f>
      </x:c>
      <x:c r="J174" s="11" t="str">
        <x:f>IF(A174="","",SUMIFS('Shipments'!$K$8:$K$207,'Shipments'!$D$8:$D$207,A174,'Shipments'!$C$8:$C$207,"Inbound"))</x:f>
      </x:c>
      <x:c r="K174" s="11" t="str">
        <x:f>IF(A174="","",MAX(0,I174-J174))</x:f>
      </x:c>
      <x:c r="L174" s="9" t="str">
        <x:f>IF(A174="","",IF(COUNTIFS('Orders'!$A$8:$A$207,A174)&lt;&gt;1,"Duplicate order line",IF(OR(B174="",C174=""),"Set PO and supplier",IF(COUNTIFS('Definitions'!$A$8:$A$207,D174)&lt;&gt;1,"Unknown / duplicate part",IF(VLOOKUP(D174,'Definitions'!$A$8:$J$207,3,FALSE)&lt;&gt;"Part","Order purchasable parts only",IF(OR(NOT(ISNUMBER(E174)),E174&lt;=0,MOD(E174,1)&lt;&gt;0,NOT(ISNUMBER(F174)),F174&lt;0,MOD(F174,1)&lt;&gt;0),"Invalid ordered / cancelled qty",IF(H174+F174&gt;E174,"Receipts exceed net order",IF(J174&gt;I174,"Transit exceeds outstanding qty","OK"))))))))</x:f>
      </x:c>
    </x:row>
    <x:row r="175" ht="22" customHeight="1">
      <x:c r="A175" s="10"/>
      <x:c r="B175" s="10"/>
      <x:c r="C175" s="10"/>
      <x:c r="D175" s="10"/>
      <x:c r="E175" s="12"/>
      <x:c r="F175" s="12"/>
      <x:c r="G175" s="13"/>
      <x:c r="H175" s="11" t="str">
        <x:f>IF(A175="","",SUMIFS('Shipments'!$I$8:$I$207,'Shipments'!$D$8:$D$207,A175,'Shipments'!$C$8:$C$207,"Inbound"))</x:f>
      </x:c>
      <x:c r="I175" s="11" t="str">
        <x:f>IF(A175="","",MAX(0,E175-F175-H175))</x:f>
      </x:c>
      <x:c r="J175" s="11" t="str">
        <x:f>IF(A175="","",SUMIFS('Shipments'!$K$8:$K$207,'Shipments'!$D$8:$D$207,A175,'Shipments'!$C$8:$C$207,"Inbound"))</x:f>
      </x:c>
      <x:c r="K175" s="11" t="str">
        <x:f>IF(A175="","",MAX(0,I175-J175))</x:f>
      </x:c>
      <x:c r="L175" s="9" t="str">
        <x:f>IF(A175="","",IF(COUNTIFS('Orders'!$A$8:$A$207,A175)&lt;&gt;1,"Duplicate order line",IF(OR(B175="",C175=""),"Set PO and supplier",IF(COUNTIFS('Definitions'!$A$8:$A$207,D175)&lt;&gt;1,"Unknown / duplicate part",IF(VLOOKUP(D175,'Definitions'!$A$8:$J$207,3,FALSE)&lt;&gt;"Part","Order purchasable parts only",IF(OR(NOT(ISNUMBER(E175)),E175&lt;=0,MOD(E175,1)&lt;&gt;0,NOT(ISNUMBER(F175)),F175&lt;0,MOD(F175,1)&lt;&gt;0),"Invalid ordered / cancelled qty",IF(H175+F175&gt;E175,"Receipts exceed net order",IF(J175&gt;I175,"Transit exceeds outstanding qty","OK"))))))))</x:f>
      </x:c>
    </x:row>
    <x:row r="176" ht="22" customHeight="1">
      <x:c r="A176" s="10"/>
      <x:c r="B176" s="10"/>
      <x:c r="C176" s="10"/>
      <x:c r="D176" s="10"/>
      <x:c r="E176" s="12"/>
      <x:c r="F176" s="12"/>
      <x:c r="G176" s="13"/>
      <x:c r="H176" s="11" t="str">
        <x:f>IF(A176="","",SUMIFS('Shipments'!$I$8:$I$207,'Shipments'!$D$8:$D$207,A176,'Shipments'!$C$8:$C$207,"Inbound"))</x:f>
      </x:c>
      <x:c r="I176" s="11" t="str">
        <x:f>IF(A176="","",MAX(0,E176-F176-H176))</x:f>
      </x:c>
      <x:c r="J176" s="11" t="str">
        <x:f>IF(A176="","",SUMIFS('Shipments'!$K$8:$K$207,'Shipments'!$D$8:$D$207,A176,'Shipments'!$C$8:$C$207,"Inbound"))</x:f>
      </x:c>
      <x:c r="K176" s="11" t="str">
        <x:f>IF(A176="","",MAX(0,I176-J176))</x:f>
      </x:c>
      <x:c r="L176" s="9" t="str">
        <x:f>IF(A176="","",IF(COUNTIFS('Orders'!$A$8:$A$207,A176)&lt;&gt;1,"Duplicate order line",IF(OR(B176="",C176=""),"Set PO and supplier",IF(COUNTIFS('Definitions'!$A$8:$A$207,D176)&lt;&gt;1,"Unknown / duplicate part",IF(VLOOKUP(D176,'Definitions'!$A$8:$J$207,3,FALSE)&lt;&gt;"Part","Order purchasable parts only",IF(OR(NOT(ISNUMBER(E176)),E176&lt;=0,MOD(E176,1)&lt;&gt;0,NOT(ISNUMBER(F176)),F176&lt;0,MOD(F176,1)&lt;&gt;0),"Invalid ordered / cancelled qty",IF(H176+F176&gt;E176,"Receipts exceed net order",IF(J176&gt;I176,"Transit exceeds outstanding qty","OK"))))))))</x:f>
      </x:c>
    </x:row>
    <x:row r="177" ht="22" customHeight="1">
      <x:c r="A177" s="10"/>
      <x:c r="B177" s="10"/>
      <x:c r="C177" s="10"/>
      <x:c r="D177" s="10"/>
      <x:c r="E177" s="12"/>
      <x:c r="F177" s="12"/>
      <x:c r="G177" s="13"/>
      <x:c r="H177" s="11" t="str">
        <x:f>IF(A177="","",SUMIFS('Shipments'!$I$8:$I$207,'Shipments'!$D$8:$D$207,A177,'Shipments'!$C$8:$C$207,"Inbound"))</x:f>
      </x:c>
      <x:c r="I177" s="11" t="str">
        <x:f>IF(A177="","",MAX(0,E177-F177-H177))</x:f>
      </x:c>
      <x:c r="J177" s="11" t="str">
        <x:f>IF(A177="","",SUMIFS('Shipments'!$K$8:$K$207,'Shipments'!$D$8:$D$207,A177,'Shipments'!$C$8:$C$207,"Inbound"))</x:f>
      </x:c>
      <x:c r="K177" s="11" t="str">
        <x:f>IF(A177="","",MAX(0,I177-J177))</x:f>
      </x:c>
      <x:c r="L177" s="9" t="str">
        <x:f>IF(A177="","",IF(COUNTIFS('Orders'!$A$8:$A$207,A177)&lt;&gt;1,"Duplicate order line",IF(OR(B177="",C177=""),"Set PO and supplier",IF(COUNTIFS('Definitions'!$A$8:$A$207,D177)&lt;&gt;1,"Unknown / duplicate part",IF(VLOOKUP(D177,'Definitions'!$A$8:$J$207,3,FALSE)&lt;&gt;"Part","Order purchasable parts only",IF(OR(NOT(ISNUMBER(E177)),E177&lt;=0,MOD(E177,1)&lt;&gt;0,NOT(ISNUMBER(F177)),F177&lt;0,MOD(F177,1)&lt;&gt;0),"Invalid ordered / cancelled qty",IF(H177+F177&gt;E177,"Receipts exceed net order",IF(J177&gt;I177,"Transit exceeds outstanding qty","OK"))))))))</x:f>
      </x:c>
    </x:row>
    <x:row r="178" ht="22" customHeight="1">
      <x:c r="A178" s="10"/>
      <x:c r="B178" s="10"/>
      <x:c r="C178" s="10"/>
      <x:c r="D178" s="10"/>
      <x:c r="E178" s="12"/>
      <x:c r="F178" s="12"/>
      <x:c r="G178" s="13"/>
      <x:c r="H178" s="11" t="str">
        <x:f>IF(A178="","",SUMIFS('Shipments'!$I$8:$I$207,'Shipments'!$D$8:$D$207,A178,'Shipments'!$C$8:$C$207,"Inbound"))</x:f>
      </x:c>
      <x:c r="I178" s="11" t="str">
        <x:f>IF(A178="","",MAX(0,E178-F178-H178))</x:f>
      </x:c>
      <x:c r="J178" s="11" t="str">
        <x:f>IF(A178="","",SUMIFS('Shipments'!$K$8:$K$207,'Shipments'!$D$8:$D$207,A178,'Shipments'!$C$8:$C$207,"Inbound"))</x:f>
      </x:c>
      <x:c r="K178" s="11" t="str">
        <x:f>IF(A178="","",MAX(0,I178-J178))</x:f>
      </x:c>
      <x:c r="L178" s="9" t="str">
        <x:f>IF(A178="","",IF(COUNTIFS('Orders'!$A$8:$A$207,A178)&lt;&gt;1,"Duplicate order line",IF(OR(B178="",C178=""),"Set PO and supplier",IF(COUNTIFS('Definitions'!$A$8:$A$207,D178)&lt;&gt;1,"Unknown / duplicate part",IF(VLOOKUP(D178,'Definitions'!$A$8:$J$207,3,FALSE)&lt;&gt;"Part","Order purchasable parts only",IF(OR(NOT(ISNUMBER(E178)),E178&lt;=0,MOD(E178,1)&lt;&gt;0,NOT(ISNUMBER(F178)),F178&lt;0,MOD(F178,1)&lt;&gt;0),"Invalid ordered / cancelled qty",IF(H178+F178&gt;E178,"Receipts exceed net order",IF(J178&gt;I178,"Transit exceeds outstanding qty","OK"))))))))</x:f>
      </x:c>
    </x:row>
    <x:row r="179" ht="22" customHeight="1">
      <x:c r="A179" s="10"/>
      <x:c r="B179" s="10"/>
      <x:c r="C179" s="10"/>
      <x:c r="D179" s="10"/>
      <x:c r="E179" s="12"/>
      <x:c r="F179" s="12"/>
      <x:c r="G179" s="13"/>
      <x:c r="H179" s="11" t="str">
        <x:f>IF(A179="","",SUMIFS('Shipments'!$I$8:$I$207,'Shipments'!$D$8:$D$207,A179,'Shipments'!$C$8:$C$207,"Inbound"))</x:f>
      </x:c>
      <x:c r="I179" s="11" t="str">
        <x:f>IF(A179="","",MAX(0,E179-F179-H179))</x:f>
      </x:c>
      <x:c r="J179" s="11" t="str">
        <x:f>IF(A179="","",SUMIFS('Shipments'!$K$8:$K$207,'Shipments'!$D$8:$D$207,A179,'Shipments'!$C$8:$C$207,"Inbound"))</x:f>
      </x:c>
      <x:c r="K179" s="11" t="str">
        <x:f>IF(A179="","",MAX(0,I179-J179))</x:f>
      </x:c>
      <x:c r="L179" s="9" t="str">
        <x:f>IF(A179="","",IF(COUNTIFS('Orders'!$A$8:$A$207,A179)&lt;&gt;1,"Duplicate order line",IF(OR(B179="",C179=""),"Set PO and supplier",IF(COUNTIFS('Definitions'!$A$8:$A$207,D179)&lt;&gt;1,"Unknown / duplicate part",IF(VLOOKUP(D179,'Definitions'!$A$8:$J$207,3,FALSE)&lt;&gt;"Part","Order purchasable parts only",IF(OR(NOT(ISNUMBER(E179)),E179&lt;=0,MOD(E179,1)&lt;&gt;0,NOT(ISNUMBER(F179)),F179&lt;0,MOD(F179,1)&lt;&gt;0),"Invalid ordered / cancelled qty",IF(H179+F179&gt;E179,"Receipts exceed net order",IF(J179&gt;I179,"Transit exceeds outstanding qty","OK"))))))))</x:f>
      </x:c>
    </x:row>
    <x:row r="180" ht="22" customHeight="1">
      <x:c r="A180" s="10"/>
      <x:c r="B180" s="10"/>
      <x:c r="C180" s="10"/>
      <x:c r="D180" s="10"/>
      <x:c r="E180" s="12"/>
      <x:c r="F180" s="12"/>
      <x:c r="G180" s="13"/>
      <x:c r="H180" s="11" t="str">
        <x:f>IF(A180="","",SUMIFS('Shipments'!$I$8:$I$207,'Shipments'!$D$8:$D$207,A180,'Shipments'!$C$8:$C$207,"Inbound"))</x:f>
      </x:c>
      <x:c r="I180" s="11" t="str">
        <x:f>IF(A180="","",MAX(0,E180-F180-H180))</x:f>
      </x:c>
      <x:c r="J180" s="11" t="str">
        <x:f>IF(A180="","",SUMIFS('Shipments'!$K$8:$K$207,'Shipments'!$D$8:$D$207,A180,'Shipments'!$C$8:$C$207,"Inbound"))</x:f>
      </x:c>
      <x:c r="K180" s="11" t="str">
        <x:f>IF(A180="","",MAX(0,I180-J180))</x:f>
      </x:c>
      <x:c r="L180" s="9" t="str">
        <x:f>IF(A180="","",IF(COUNTIFS('Orders'!$A$8:$A$207,A180)&lt;&gt;1,"Duplicate order line",IF(OR(B180="",C180=""),"Set PO and supplier",IF(COUNTIFS('Definitions'!$A$8:$A$207,D180)&lt;&gt;1,"Unknown / duplicate part",IF(VLOOKUP(D180,'Definitions'!$A$8:$J$207,3,FALSE)&lt;&gt;"Part","Order purchasable parts only",IF(OR(NOT(ISNUMBER(E180)),E180&lt;=0,MOD(E180,1)&lt;&gt;0,NOT(ISNUMBER(F180)),F180&lt;0,MOD(F180,1)&lt;&gt;0),"Invalid ordered / cancelled qty",IF(H180+F180&gt;E180,"Receipts exceed net order",IF(J180&gt;I180,"Transit exceeds outstanding qty","OK"))))))))</x:f>
      </x:c>
    </x:row>
    <x:row r="181" ht="22" customHeight="1">
      <x:c r="A181" s="10"/>
      <x:c r="B181" s="10"/>
      <x:c r="C181" s="10"/>
      <x:c r="D181" s="10"/>
      <x:c r="E181" s="12"/>
      <x:c r="F181" s="12"/>
      <x:c r="G181" s="13"/>
      <x:c r="H181" s="11" t="str">
        <x:f>IF(A181="","",SUMIFS('Shipments'!$I$8:$I$207,'Shipments'!$D$8:$D$207,A181,'Shipments'!$C$8:$C$207,"Inbound"))</x:f>
      </x:c>
      <x:c r="I181" s="11" t="str">
        <x:f>IF(A181="","",MAX(0,E181-F181-H181))</x:f>
      </x:c>
      <x:c r="J181" s="11" t="str">
        <x:f>IF(A181="","",SUMIFS('Shipments'!$K$8:$K$207,'Shipments'!$D$8:$D$207,A181,'Shipments'!$C$8:$C$207,"Inbound"))</x:f>
      </x:c>
      <x:c r="K181" s="11" t="str">
        <x:f>IF(A181="","",MAX(0,I181-J181))</x:f>
      </x:c>
      <x:c r="L181" s="9" t="str">
        <x:f>IF(A181="","",IF(COUNTIFS('Orders'!$A$8:$A$207,A181)&lt;&gt;1,"Duplicate order line",IF(OR(B181="",C181=""),"Set PO and supplier",IF(COUNTIFS('Definitions'!$A$8:$A$207,D181)&lt;&gt;1,"Unknown / duplicate part",IF(VLOOKUP(D181,'Definitions'!$A$8:$J$207,3,FALSE)&lt;&gt;"Part","Order purchasable parts only",IF(OR(NOT(ISNUMBER(E181)),E181&lt;=0,MOD(E181,1)&lt;&gt;0,NOT(ISNUMBER(F181)),F181&lt;0,MOD(F181,1)&lt;&gt;0),"Invalid ordered / cancelled qty",IF(H181+F181&gt;E181,"Receipts exceed net order",IF(J181&gt;I181,"Transit exceeds outstanding qty","OK"))))))))</x:f>
      </x:c>
    </x:row>
    <x:row r="182" ht="22" customHeight="1">
      <x:c r="A182" s="10"/>
      <x:c r="B182" s="10"/>
      <x:c r="C182" s="10"/>
      <x:c r="D182" s="10"/>
      <x:c r="E182" s="12"/>
      <x:c r="F182" s="12"/>
      <x:c r="G182" s="13"/>
      <x:c r="H182" s="11" t="str">
        <x:f>IF(A182="","",SUMIFS('Shipments'!$I$8:$I$207,'Shipments'!$D$8:$D$207,A182,'Shipments'!$C$8:$C$207,"Inbound"))</x:f>
      </x:c>
      <x:c r="I182" s="11" t="str">
        <x:f>IF(A182="","",MAX(0,E182-F182-H182))</x:f>
      </x:c>
      <x:c r="J182" s="11" t="str">
        <x:f>IF(A182="","",SUMIFS('Shipments'!$K$8:$K$207,'Shipments'!$D$8:$D$207,A182,'Shipments'!$C$8:$C$207,"Inbound"))</x:f>
      </x:c>
      <x:c r="K182" s="11" t="str">
        <x:f>IF(A182="","",MAX(0,I182-J182))</x:f>
      </x:c>
      <x:c r="L182" s="9" t="str">
        <x:f>IF(A182="","",IF(COUNTIFS('Orders'!$A$8:$A$207,A182)&lt;&gt;1,"Duplicate order line",IF(OR(B182="",C182=""),"Set PO and supplier",IF(COUNTIFS('Definitions'!$A$8:$A$207,D182)&lt;&gt;1,"Unknown / duplicate part",IF(VLOOKUP(D182,'Definitions'!$A$8:$J$207,3,FALSE)&lt;&gt;"Part","Order purchasable parts only",IF(OR(NOT(ISNUMBER(E182)),E182&lt;=0,MOD(E182,1)&lt;&gt;0,NOT(ISNUMBER(F182)),F182&lt;0,MOD(F182,1)&lt;&gt;0),"Invalid ordered / cancelled qty",IF(H182+F182&gt;E182,"Receipts exceed net order",IF(J182&gt;I182,"Transit exceeds outstanding qty","OK"))))))))</x:f>
      </x:c>
    </x:row>
    <x:row r="183" ht="22" customHeight="1">
      <x:c r="A183" s="10"/>
      <x:c r="B183" s="10"/>
      <x:c r="C183" s="10"/>
      <x:c r="D183" s="10"/>
      <x:c r="E183" s="12"/>
      <x:c r="F183" s="12"/>
      <x:c r="G183" s="13"/>
      <x:c r="H183" s="11" t="str">
        <x:f>IF(A183="","",SUMIFS('Shipments'!$I$8:$I$207,'Shipments'!$D$8:$D$207,A183,'Shipments'!$C$8:$C$207,"Inbound"))</x:f>
      </x:c>
      <x:c r="I183" s="11" t="str">
        <x:f>IF(A183="","",MAX(0,E183-F183-H183))</x:f>
      </x:c>
      <x:c r="J183" s="11" t="str">
        <x:f>IF(A183="","",SUMIFS('Shipments'!$K$8:$K$207,'Shipments'!$D$8:$D$207,A183,'Shipments'!$C$8:$C$207,"Inbound"))</x:f>
      </x:c>
      <x:c r="K183" s="11" t="str">
        <x:f>IF(A183="","",MAX(0,I183-J183))</x:f>
      </x:c>
      <x:c r="L183" s="9" t="str">
        <x:f>IF(A183="","",IF(COUNTIFS('Orders'!$A$8:$A$207,A183)&lt;&gt;1,"Duplicate order line",IF(OR(B183="",C183=""),"Set PO and supplier",IF(COUNTIFS('Definitions'!$A$8:$A$207,D183)&lt;&gt;1,"Unknown / duplicate part",IF(VLOOKUP(D183,'Definitions'!$A$8:$J$207,3,FALSE)&lt;&gt;"Part","Order purchasable parts only",IF(OR(NOT(ISNUMBER(E183)),E183&lt;=0,MOD(E183,1)&lt;&gt;0,NOT(ISNUMBER(F183)),F183&lt;0,MOD(F183,1)&lt;&gt;0),"Invalid ordered / cancelled qty",IF(H183+F183&gt;E183,"Receipts exceed net order",IF(J183&gt;I183,"Transit exceeds outstanding qty","OK"))))))))</x:f>
      </x:c>
    </x:row>
    <x:row r="184" ht="22" customHeight="1">
      <x:c r="A184" s="10"/>
      <x:c r="B184" s="10"/>
      <x:c r="C184" s="10"/>
      <x:c r="D184" s="10"/>
      <x:c r="E184" s="12"/>
      <x:c r="F184" s="12"/>
      <x:c r="G184" s="13"/>
      <x:c r="H184" s="11" t="str">
        <x:f>IF(A184="","",SUMIFS('Shipments'!$I$8:$I$207,'Shipments'!$D$8:$D$207,A184,'Shipments'!$C$8:$C$207,"Inbound"))</x:f>
      </x:c>
      <x:c r="I184" s="11" t="str">
        <x:f>IF(A184="","",MAX(0,E184-F184-H184))</x:f>
      </x:c>
      <x:c r="J184" s="11" t="str">
        <x:f>IF(A184="","",SUMIFS('Shipments'!$K$8:$K$207,'Shipments'!$D$8:$D$207,A184,'Shipments'!$C$8:$C$207,"Inbound"))</x:f>
      </x:c>
      <x:c r="K184" s="11" t="str">
        <x:f>IF(A184="","",MAX(0,I184-J184))</x:f>
      </x:c>
      <x:c r="L184" s="9" t="str">
        <x:f>IF(A184="","",IF(COUNTIFS('Orders'!$A$8:$A$207,A184)&lt;&gt;1,"Duplicate order line",IF(OR(B184="",C184=""),"Set PO and supplier",IF(COUNTIFS('Definitions'!$A$8:$A$207,D184)&lt;&gt;1,"Unknown / duplicate part",IF(VLOOKUP(D184,'Definitions'!$A$8:$J$207,3,FALSE)&lt;&gt;"Part","Order purchasable parts only",IF(OR(NOT(ISNUMBER(E184)),E184&lt;=0,MOD(E184,1)&lt;&gt;0,NOT(ISNUMBER(F184)),F184&lt;0,MOD(F184,1)&lt;&gt;0),"Invalid ordered / cancelled qty",IF(H184+F184&gt;E184,"Receipts exceed net order",IF(J184&gt;I184,"Transit exceeds outstanding qty","OK"))))))))</x:f>
      </x:c>
    </x:row>
    <x:row r="185" ht="22" customHeight="1">
      <x:c r="A185" s="10"/>
      <x:c r="B185" s="10"/>
      <x:c r="C185" s="10"/>
      <x:c r="D185" s="10"/>
      <x:c r="E185" s="12"/>
      <x:c r="F185" s="12"/>
      <x:c r="G185" s="13"/>
      <x:c r="H185" s="11" t="str">
        <x:f>IF(A185="","",SUMIFS('Shipments'!$I$8:$I$207,'Shipments'!$D$8:$D$207,A185,'Shipments'!$C$8:$C$207,"Inbound"))</x:f>
      </x:c>
      <x:c r="I185" s="11" t="str">
        <x:f>IF(A185="","",MAX(0,E185-F185-H185))</x:f>
      </x:c>
      <x:c r="J185" s="11" t="str">
        <x:f>IF(A185="","",SUMIFS('Shipments'!$K$8:$K$207,'Shipments'!$D$8:$D$207,A185,'Shipments'!$C$8:$C$207,"Inbound"))</x:f>
      </x:c>
      <x:c r="K185" s="11" t="str">
        <x:f>IF(A185="","",MAX(0,I185-J185))</x:f>
      </x:c>
      <x:c r="L185" s="9" t="str">
        <x:f>IF(A185="","",IF(COUNTIFS('Orders'!$A$8:$A$207,A185)&lt;&gt;1,"Duplicate order line",IF(OR(B185="",C185=""),"Set PO and supplier",IF(COUNTIFS('Definitions'!$A$8:$A$207,D185)&lt;&gt;1,"Unknown / duplicate part",IF(VLOOKUP(D185,'Definitions'!$A$8:$J$207,3,FALSE)&lt;&gt;"Part","Order purchasable parts only",IF(OR(NOT(ISNUMBER(E185)),E185&lt;=0,MOD(E185,1)&lt;&gt;0,NOT(ISNUMBER(F185)),F185&lt;0,MOD(F185,1)&lt;&gt;0),"Invalid ordered / cancelled qty",IF(H185+F185&gt;E185,"Receipts exceed net order",IF(J185&gt;I185,"Transit exceeds outstanding qty","OK"))))))))</x:f>
      </x:c>
    </x:row>
    <x:row r="186" ht="22" customHeight="1">
      <x:c r="A186" s="10"/>
      <x:c r="B186" s="10"/>
      <x:c r="C186" s="10"/>
      <x:c r="D186" s="10"/>
      <x:c r="E186" s="12"/>
      <x:c r="F186" s="12"/>
      <x:c r="G186" s="13"/>
      <x:c r="H186" s="11" t="str">
        <x:f>IF(A186="","",SUMIFS('Shipments'!$I$8:$I$207,'Shipments'!$D$8:$D$207,A186,'Shipments'!$C$8:$C$207,"Inbound"))</x:f>
      </x:c>
      <x:c r="I186" s="11" t="str">
        <x:f>IF(A186="","",MAX(0,E186-F186-H186))</x:f>
      </x:c>
      <x:c r="J186" s="11" t="str">
        <x:f>IF(A186="","",SUMIFS('Shipments'!$K$8:$K$207,'Shipments'!$D$8:$D$207,A186,'Shipments'!$C$8:$C$207,"Inbound"))</x:f>
      </x:c>
      <x:c r="K186" s="11" t="str">
        <x:f>IF(A186="","",MAX(0,I186-J186))</x:f>
      </x:c>
      <x:c r="L186" s="9" t="str">
        <x:f>IF(A186="","",IF(COUNTIFS('Orders'!$A$8:$A$207,A186)&lt;&gt;1,"Duplicate order line",IF(OR(B186="",C186=""),"Set PO and supplier",IF(COUNTIFS('Definitions'!$A$8:$A$207,D186)&lt;&gt;1,"Unknown / duplicate part",IF(VLOOKUP(D186,'Definitions'!$A$8:$J$207,3,FALSE)&lt;&gt;"Part","Order purchasable parts only",IF(OR(NOT(ISNUMBER(E186)),E186&lt;=0,MOD(E186,1)&lt;&gt;0,NOT(ISNUMBER(F186)),F186&lt;0,MOD(F186,1)&lt;&gt;0),"Invalid ordered / cancelled qty",IF(H186+F186&gt;E186,"Receipts exceed net order",IF(J186&gt;I186,"Transit exceeds outstanding qty","OK"))))))))</x:f>
      </x:c>
    </x:row>
    <x:row r="187" ht="22" customHeight="1">
      <x:c r="A187" s="10"/>
      <x:c r="B187" s="10"/>
      <x:c r="C187" s="10"/>
      <x:c r="D187" s="10"/>
      <x:c r="E187" s="12"/>
      <x:c r="F187" s="12"/>
      <x:c r="G187" s="13"/>
      <x:c r="H187" s="11" t="str">
        <x:f>IF(A187="","",SUMIFS('Shipments'!$I$8:$I$207,'Shipments'!$D$8:$D$207,A187,'Shipments'!$C$8:$C$207,"Inbound"))</x:f>
      </x:c>
      <x:c r="I187" s="11" t="str">
        <x:f>IF(A187="","",MAX(0,E187-F187-H187))</x:f>
      </x:c>
      <x:c r="J187" s="11" t="str">
        <x:f>IF(A187="","",SUMIFS('Shipments'!$K$8:$K$207,'Shipments'!$D$8:$D$207,A187,'Shipments'!$C$8:$C$207,"Inbound"))</x:f>
      </x:c>
      <x:c r="K187" s="11" t="str">
        <x:f>IF(A187="","",MAX(0,I187-J187))</x:f>
      </x:c>
      <x:c r="L187" s="9" t="str">
        <x:f>IF(A187="","",IF(COUNTIFS('Orders'!$A$8:$A$207,A187)&lt;&gt;1,"Duplicate order line",IF(OR(B187="",C187=""),"Set PO and supplier",IF(COUNTIFS('Definitions'!$A$8:$A$207,D187)&lt;&gt;1,"Unknown / duplicate part",IF(VLOOKUP(D187,'Definitions'!$A$8:$J$207,3,FALSE)&lt;&gt;"Part","Order purchasable parts only",IF(OR(NOT(ISNUMBER(E187)),E187&lt;=0,MOD(E187,1)&lt;&gt;0,NOT(ISNUMBER(F187)),F187&lt;0,MOD(F187,1)&lt;&gt;0),"Invalid ordered / cancelled qty",IF(H187+F187&gt;E187,"Receipts exceed net order",IF(J187&gt;I187,"Transit exceeds outstanding qty","OK"))))))))</x:f>
      </x:c>
    </x:row>
    <x:row r="188" ht="22" customHeight="1">
      <x:c r="A188" s="10"/>
      <x:c r="B188" s="10"/>
      <x:c r="C188" s="10"/>
      <x:c r="D188" s="10"/>
      <x:c r="E188" s="12"/>
      <x:c r="F188" s="12"/>
      <x:c r="G188" s="13"/>
      <x:c r="H188" s="11" t="str">
        <x:f>IF(A188="","",SUMIFS('Shipments'!$I$8:$I$207,'Shipments'!$D$8:$D$207,A188,'Shipments'!$C$8:$C$207,"Inbound"))</x:f>
      </x:c>
      <x:c r="I188" s="11" t="str">
        <x:f>IF(A188="","",MAX(0,E188-F188-H188))</x:f>
      </x:c>
      <x:c r="J188" s="11" t="str">
        <x:f>IF(A188="","",SUMIFS('Shipments'!$K$8:$K$207,'Shipments'!$D$8:$D$207,A188,'Shipments'!$C$8:$C$207,"Inbound"))</x:f>
      </x:c>
      <x:c r="K188" s="11" t="str">
        <x:f>IF(A188="","",MAX(0,I188-J188))</x:f>
      </x:c>
      <x:c r="L188" s="9" t="str">
        <x:f>IF(A188="","",IF(COUNTIFS('Orders'!$A$8:$A$207,A188)&lt;&gt;1,"Duplicate order line",IF(OR(B188="",C188=""),"Set PO and supplier",IF(COUNTIFS('Definitions'!$A$8:$A$207,D188)&lt;&gt;1,"Unknown / duplicate part",IF(VLOOKUP(D188,'Definitions'!$A$8:$J$207,3,FALSE)&lt;&gt;"Part","Order purchasable parts only",IF(OR(NOT(ISNUMBER(E188)),E188&lt;=0,MOD(E188,1)&lt;&gt;0,NOT(ISNUMBER(F188)),F188&lt;0,MOD(F188,1)&lt;&gt;0),"Invalid ordered / cancelled qty",IF(H188+F188&gt;E188,"Receipts exceed net order",IF(J188&gt;I188,"Transit exceeds outstanding qty","OK"))))))))</x:f>
      </x:c>
    </x:row>
    <x:row r="189" ht="22" customHeight="1">
      <x:c r="A189" s="10"/>
      <x:c r="B189" s="10"/>
      <x:c r="C189" s="10"/>
      <x:c r="D189" s="10"/>
      <x:c r="E189" s="12"/>
      <x:c r="F189" s="12"/>
      <x:c r="G189" s="13"/>
      <x:c r="H189" s="11" t="str">
        <x:f>IF(A189="","",SUMIFS('Shipments'!$I$8:$I$207,'Shipments'!$D$8:$D$207,A189,'Shipments'!$C$8:$C$207,"Inbound"))</x:f>
      </x:c>
      <x:c r="I189" s="11" t="str">
        <x:f>IF(A189="","",MAX(0,E189-F189-H189))</x:f>
      </x:c>
      <x:c r="J189" s="11" t="str">
        <x:f>IF(A189="","",SUMIFS('Shipments'!$K$8:$K$207,'Shipments'!$D$8:$D$207,A189,'Shipments'!$C$8:$C$207,"Inbound"))</x:f>
      </x:c>
      <x:c r="K189" s="11" t="str">
        <x:f>IF(A189="","",MAX(0,I189-J189))</x:f>
      </x:c>
      <x:c r="L189" s="9" t="str">
        <x:f>IF(A189="","",IF(COUNTIFS('Orders'!$A$8:$A$207,A189)&lt;&gt;1,"Duplicate order line",IF(OR(B189="",C189=""),"Set PO and supplier",IF(COUNTIFS('Definitions'!$A$8:$A$207,D189)&lt;&gt;1,"Unknown / duplicate part",IF(VLOOKUP(D189,'Definitions'!$A$8:$J$207,3,FALSE)&lt;&gt;"Part","Order purchasable parts only",IF(OR(NOT(ISNUMBER(E189)),E189&lt;=0,MOD(E189,1)&lt;&gt;0,NOT(ISNUMBER(F189)),F189&lt;0,MOD(F189,1)&lt;&gt;0),"Invalid ordered / cancelled qty",IF(H189+F189&gt;E189,"Receipts exceed net order",IF(J189&gt;I189,"Transit exceeds outstanding qty","OK"))))))))</x:f>
      </x:c>
    </x:row>
    <x:row r="190" ht="22" customHeight="1">
      <x:c r="A190" s="10"/>
      <x:c r="B190" s="10"/>
      <x:c r="C190" s="10"/>
      <x:c r="D190" s="10"/>
      <x:c r="E190" s="12"/>
      <x:c r="F190" s="12"/>
      <x:c r="G190" s="13"/>
      <x:c r="H190" s="11" t="str">
        <x:f>IF(A190="","",SUMIFS('Shipments'!$I$8:$I$207,'Shipments'!$D$8:$D$207,A190,'Shipments'!$C$8:$C$207,"Inbound"))</x:f>
      </x:c>
      <x:c r="I190" s="11" t="str">
        <x:f>IF(A190="","",MAX(0,E190-F190-H190))</x:f>
      </x:c>
      <x:c r="J190" s="11" t="str">
        <x:f>IF(A190="","",SUMIFS('Shipments'!$K$8:$K$207,'Shipments'!$D$8:$D$207,A190,'Shipments'!$C$8:$C$207,"Inbound"))</x:f>
      </x:c>
      <x:c r="K190" s="11" t="str">
        <x:f>IF(A190="","",MAX(0,I190-J190))</x:f>
      </x:c>
      <x:c r="L190" s="9" t="str">
        <x:f>IF(A190="","",IF(COUNTIFS('Orders'!$A$8:$A$207,A190)&lt;&gt;1,"Duplicate order line",IF(OR(B190="",C190=""),"Set PO and supplier",IF(COUNTIFS('Definitions'!$A$8:$A$207,D190)&lt;&gt;1,"Unknown / duplicate part",IF(VLOOKUP(D190,'Definitions'!$A$8:$J$207,3,FALSE)&lt;&gt;"Part","Order purchasable parts only",IF(OR(NOT(ISNUMBER(E190)),E190&lt;=0,MOD(E190,1)&lt;&gt;0,NOT(ISNUMBER(F190)),F190&lt;0,MOD(F190,1)&lt;&gt;0),"Invalid ordered / cancelled qty",IF(H190+F190&gt;E190,"Receipts exceed net order",IF(J190&gt;I190,"Transit exceeds outstanding qty","OK"))))))))</x:f>
      </x:c>
    </x:row>
    <x:row r="191" ht="22" customHeight="1">
      <x:c r="A191" s="10"/>
      <x:c r="B191" s="10"/>
      <x:c r="C191" s="10"/>
      <x:c r="D191" s="10"/>
      <x:c r="E191" s="12"/>
      <x:c r="F191" s="12"/>
      <x:c r="G191" s="13"/>
      <x:c r="H191" s="11" t="str">
        <x:f>IF(A191="","",SUMIFS('Shipments'!$I$8:$I$207,'Shipments'!$D$8:$D$207,A191,'Shipments'!$C$8:$C$207,"Inbound"))</x:f>
      </x:c>
      <x:c r="I191" s="11" t="str">
        <x:f>IF(A191="","",MAX(0,E191-F191-H191))</x:f>
      </x:c>
      <x:c r="J191" s="11" t="str">
        <x:f>IF(A191="","",SUMIFS('Shipments'!$K$8:$K$207,'Shipments'!$D$8:$D$207,A191,'Shipments'!$C$8:$C$207,"Inbound"))</x:f>
      </x:c>
      <x:c r="K191" s="11" t="str">
        <x:f>IF(A191="","",MAX(0,I191-J191))</x:f>
      </x:c>
      <x:c r="L191" s="9" t="str">
        <x:f>IF(A191="","",IF(COUNTIFS('Orders'!$A$8:$A$207,A191)&lt;&gt;1,"Duplicate order line",IF(OR(B191="",C191=""),"Set PO and supplier",IF(COUNTIFS('Definitions'!$A$8:$A$207,D191)&lt;&gt;1,"Unknown / duplicate part",IF(VLOOKUP(D191,'Definitions'!$A$8:$J$207,3,FALSE)&lt;&gt;"Part","Order purchasable parts only",IF(OR(NOT(ISNUMBER(E191)),E191&lt;=0,MOD(E191,1)&lt;&gt;0,NOT(ISNUMBER(F191)),F191&lt;0,MOD(F191,1)&lt;&gt;0),"Invalid ordered / cancelled qty",IF(H191+F191&gt;E191,"Receipts exceed net order",IF(J191&gt;I191,"Transit exceeds outstanding qty","OK"))))))))</x:f>
      </x:c>
    </x:row>
    <x:row r="192" ht="22" customHeight="1">
      <x:c r="A192" s="10"/>
      <x:c r="B192" s="10"/>
      <x:c r="C192" s="10"/>
      <x:c r="D192" s="10"/>
      <x:c r="E192" s="12"/>
      <x:c r="F192" s="12"/>
      <x:c r="G192" s="13"/>
      <x:c r="H192" s="11" t="str">
        <x:f>IF(A192="","",SUMIFS('Shipments'!$I$8:$I$207,'Shipments'!$D$8:$D$207,A192,'Shipments'!$C$8:$C$207,"Inbound"))</x:f>
      </x:c>
      <x:c r="I192" s="11" t="str">
        <x:f>IF(A192="","",MAX(0,E192-F192-H192))</x:f>
      </x:c>
      <x:c r="J192" s="11" t="str">
        <x:f>IF(A192="","",SUMIFS('Shipments'!$K$8:$K$207,'Shipments'!$D$8:$D$207,A192,'Shipments'!$C$8:$C$207,"Inbound"))</x:f>
      </x:c>
      <x:c r="K192" s="11" t="str">
        <x:f>IF(A192="","",MAX(0,I192-J192))</x:f>
      </x:c>
      <x:c r="L192" s="9" t="str">
        <x:f>IF(A192="","",IF(COUNTIFS('Orders'!$A$8:$A$207,A192)&lt;&gt;1,"Duplicate order line",IF(OR(B192="",C192=""),"Set PO and supplier",IF(COUNTIFS('Definitions'!$A$8:$A$207,D192)&lt;&gt;1,"Unknown / duplicate part",IF(VLOOKUP(D192,'Definitions'!$A$8:$J$207,3,FALSE)&lt;&gt;"Part","Order purchasable parts only",IF(OR(NOT(ISNUMBER(E192)),E192&lt;=0,MOD(E192,1)&lt;&gt;0,NOT(ISNUMBER(F192)),F192&lt;0,MOD(F192,1)&lt;&gt;0),"Invalid ordered / cancelled qty",IF(H192+F192&gt;E192,"Receipts exceed net order",IF(J192&gt;I192,"Transit exceeds outstanding qty","OK"))))))))</x:f>
      </x:c>
    </x:row>
    <x:row r="193" ht="22" customHeight="1">
      <x:c r="A193" s="10"/>
      <x:c r="B193" s="10"/>
      <x:c r="C193" s="10"/>
      <x:c r="D193" s="10"/>
      <x:c r="E193" s="12"/>
      <x:c r="F193" s="12"/>
      <x:c r="G193" s="13"/>
      <x:c r="H193" s="11" t="str">
        <x:f>IF(A193="","",SUMIFS('Shipments'!$I$8:$I$207,'Shipments'!$D$8:$D$207,A193,'Shipments'!$C$8:$C$207,"Inbound"))</x:f>
      </x:c>
      <x:c r="I193" s="11" t="str">
        <x:f>IF(A193="","",MAX(0,E193-F193-H193))</x:f>
      </x:c>
      <x:c r="J193" s="11" t="str">
        <x:f>IF(A193="","",SUMIFS('Shipments'!$K$8:$K$207,'Shipments'!$D$8:$D$207,A193,'Shipments'!$C$8:$C$207,"Inbound"))</x:f>
      </x:c>
      <x:c r="K193" s="11" t="str">
        <x:f>IF(A193="","",MAX(0,I193-J193))</x:f>
      </x:c>
      <x:c r="L193" s="9" t="str">
        <x:f>IF(A193="","",IF(COUNTIFS('Orders'!$A$8:$A$207,A193)&lt;&gt;1,"Duplicate order line",IF(OR(B193="",C193=""),"Set PO and supplier",IF(COUNTIFS('Definitions'!$A$8:$A$207,D193)&lt;&gt;1,"Unknown / duplicate part",IF(VLOOKUP(D193,'Definitions'!$A$8:$J$207,3,FALSE)&lt;&gt;"Part","Order purchasable parts only",IF(OR(NOT(ISNUMBER(E193)),E193&lt;=0,MOD(E193,1)&lt;&gt;0,NOT(ISNUMBER(F193)),F193&lt;0,MOD(F193,1)&lt;&gt;0),"Invalid ordered / cancelled qty",IF(H193+F193&gt;E193,"Receipts exceed net order",IF(J193&gt;I193,"Transit exceeds outstanding qty","OK"))))))))</x:f>
      </x:c>
    </x:row>
    <x:row r="194" ht="22" customHeight="1">
      <x:c r="A194" s="10"/>
      <x:c r="B194" s="10"/>
      <x:c r="C194" s="10"/>
      <x:c r="D194" s="10"/>
      <x:c r="E194" s="12"/>
      <x:c r="F194" s="12"/>
      <x:c r="G194" s="13"/>
      <x:c r="H194" s="11" t="str">
        <x:f>IF(A194="","",SUMIFS('Shipments'!$I$8:$I$207,'Shipments'!$D$8:$D$207,A194,'Shipments'!$C$8:$C$207,"Inbound"))</x:f>
      </x:c>
      <x:c r="I194" s="11" t="str">
        <x:f>IF(A194="","",MAX(0,E194-F194-H194))</x:f>
      </x:c>
      <x:c r="J194" s="11" t="str">
        <x:f>IF(A194="","",SUMIFS('Shipments'!$K$8:$K$207,'Shipments'!$D$8:$D$207,A194,'Shipments'!$C$8:$C$207,"Inbound"))</x:f>
      </x:c>
      <x:c r="K194" s="11" t="str">
        <x:f>IF(A194="","",MAX(0,I194-J194))</x:f>
      </x:c>
      <x:c r="L194" s="9" t="str">
        <x:f>IF(A194="","",IF(COUNTIFS('Orders'!$A$8:$A$207,A194)&lt;&gt;1,"Duplicate order line",IF(OR(B194="",C194=""),"Set PO and supplier",IF(COUNTIFS('Definitions'!$A$8:$A$207,D194)&lt;&gt;1,"Unknown / duplicate part",IF(VLOOKUP(D194,'Definitions'!$A$8:$J$207,3,FALSE)&lt;&gt;"Part","Order purchasable parts only",IF(OR(NOT(ISNUMBER(E194)),E194&lt;=0,MOD(E194,1)&lt;&gt;0,NOT(ISNUMBER(F194)),F194&lt;0,MOD(F194,1)&lt;&gt;0),"Invalid ordered / cancelled qty",IF(H194+F194&gt;E194,"Receipts exceed net order",IF(J194&gt;I194,"Transit exceeds outstanding qty","OK"))))))))</x:f>
      </x:c>
    </x:row>
    <x:row r="195" ht="22" customHeight="1">
      <x:c r="A195" s="10"/>
      <x:c r="B195" s="10"/>
      <x:c r="C195" s="10"/>
      <x:c r="D195" s="10"/>
      <x:c r="E195" s="12"/>
      <x:c r="F195" s="12"/>
      <x:c r="G195" s="13"/>
      <x:c r="H195" s="11" t="str">
        <x:f>IF(A195="","",SUMIFS('Shipments'!$I$8:$I$207,'Shipments'!$D$8:$D$207,A195,'Shipments'!$C$8:$C$207,"Inbound"))</x:f>
      </x:c>
      <x:c r="I195" s="11" t="str">
        <x:f>IF(A195="","",MAX(0,E195-F195-H195))</x:f>
      </x:c>
      <x:c r="J195" s="11" t="str">
        <x:f>IF(A195="","",SUMIFS('Shipments'!$K$8:$K$207,'Shipments'!$D$8:$D$207,A195,'Shipments'!$C$8:$C$207,"Inbound"))</x:f>
      </x:c>
      <x:c r="K195" s="11" t="str">
        <x:f>IF(A195="","",MAX(0,I195-J195))</x:f>
      </x:c>
      <x:c r="L195" s="9" t="str">
        <x:f>IF(A195="","",IF(COUNTIFS('Orders'!$A$8:$A$207,A195)&lt;&gt;1,"Duplicate order line",IF(OR(B195="",C195=""),"Set PO and supplier",IF(COUNTIFS('Definitions'!$A$8:$A$207,D195)&lt;&gt;1,"Unknown / duplicate part",IF(VLOOKUP(D195,'Definitions'!$A$8:$J$207,3,FALSE)&lt;&gt;"Part","Order purchasable parts only",IF(OR(NOT(ISNUMBER(E195)),E195&lt;=0,MOD(E195,1)&lt;&gt;0,NOT(ISNUMBER(F195)),F195&lt;0,MOD(F195,1)&lt;&gt;0),"Invalid ordered / cancelled qty",IF(H195+F195&gt;E195,"Receipts exceed net order",IF(J195&gt;I195,"Transit exceeds outstanding qty","OK"))))))))</x:f>
      </x:c>
    </x:row>
    <x:row r="196" ht="22" customHeight="1">
      <x:c r="A196" s="10"/>
      <x:c r="B196" s="10"/>
      <x:c r="C196" s="10"/>
      <x:c r="D196" s="10"/>
      <x:c r="E196" s="12"/>
      <x:c r="F196" s="12"/>
      <x:c r="G196" s="13"/>
      <x:c r="H196" s="11" t="str">
        <x:f>IF(A196="","",SUMIFS('Shipments'!$I$8:$I$207,'Shipments'!$D$8:$D$207,A196,'Shipments'!$C$8:$C$207,"Inbound"))</x:f>
      </x:c>
      <x:c r="I196" s="11" t="str">
        <x:f>IF(A196="","",MAX(0,E196-F196-H196))</x:f>
      </x:c>
      <x:c r="J196" s="11" t="str">
        <x:f>IF(A196="","",SUMIFS('Shipments'!$K$8:$K$207,'Shipments'!$D$8:$D$207,A196,'Shipments'!$C$8:$C$207,"Inbound"))</x:f>
      </x:c>
      <x:c r="K196" s="11" t="str">
        <x:f>IF(A196="","",MAX(0,I196-J196))</x:f>
      </x:c>
      <x:c r="L196" s="9" t="str">
        <x:f>IF(A196="","",IF(COUNTIFS('Orders'!$A$8:$A$207,A196)&lt;&gt;1,"Duplicate order line",IF(OR(B196="",C196=""),"Set PO and supplier",IF(COUNTIFS('Definitions'!$A$8:$A$207,D196)&lt;&gt;1,"Unknown / duplicate part",IF(VLOOKUP(D196,'Definitions'!$A$8:$J$207,3,FALSE)&lt;&gt;"Part","Order purchasable parts only",IF(OR(NOT(ISNUMBER(E196)),E196&lt;=0,MOD(E196,1)&lt;&gt;0,NOT(ISNUMBER(F196)),F196&lt;0,MOD(F196,1)&lt;&gt;0),"Invalid ordered / cancelled qty",IF(H196+F196&gt;E196,"Receipts exceed net order",IF(J196&gt;I196,"Transit exceeds outstanding qty","OK"))))))))</x:f>
      </x:c>
    </x:row>
    <x:row r="197" ht="22" customHeight="1">
      <x:c r="A197" s="10"/>
      <x:c r="B197" s="10"/>
      <x:c r="C197" s="10"/>
      <x:c r="D197" s="10"/>
      <x:c r="E197" s="12"/>
      <x:c r="F197" s="12"/>
      <x:c r="G197" s="13"/>
      <x:c r="H197" s="11" t="str">
        <x:f>IF(A197="","",SUMIFS('Shipments'!$I$8:$I$207,'Shipments'!$D$8:$D$207,A197,'Shipments'!$C$8:$C$207,"Inbound"))</x:f>
      </x:c>
      <x:c r="I197" s="11" t="str">
        <x:f>IF(A197="","",MAX(0,E197-F197-H197))</x:f>
      </x:c>
      <x:c r="J197" s="11" t="str">
        <x:f>IF(A197="","",SUMIFS('Shipments'!$K$8:$K$207,'Shipments'!$D$8:$D$207,A197,'Shipments'!$C$8:$C$207,"Inbound"))</x:f>
      </x:c>
      <x:c r="K197" s="11" t="str">
        <x:f>IF(A197="","",MAX(0,I197-J197))</x:f>
      </x:c>
      <x:c r="L197" s="9" t="str">
        <x:f>IF(A197="","",IF(COUNTIFS('Orders'!$A$8:$A$207,A197)&lt;&gt;1,"Duplicate order line",IF(OR(B197="",C197=""),"Set PO and supplier",IF(COUNTIFS('Definitions'!$A$8:$A$207,D197)&lt;&gt;1,"Unknown / duplicate part",IF(VLOOKUP(D197,'Definitions'!$A$8:$J$207,3,FALSE)&lt;&gt;"Part","Order purchasable parts only",IF(OR(NOT(ISNUMBER(E197)),E197&lt;=0,MOD(E197,1)&lt;&gt;0,NOT(ISNUMBER(F197)),F197&lt;0,MOD(F197,1)&lt;&gt;0),"Invalid ordered / cancelled qty",IF(H197+F197&gt;E197,"Receipts exceed net order",IF(J197&gt;I197,"Transit exceeds outstanding qty","OK"))))))))</x:f>
      </x:c>
    </x:row>
    <x:row r="198" ht="22" customHeight="1">
      <x:c r="A198" s="10"/>
      <x:c r="B198" s="10"/>
      <x:c r="C198" s="10"/>
      <x:c r="D198" s="10"/>
      <x:c r="E198" s="12"/>
      <x:c r="F198" s="12"/>
      <x:c r="G198" s="13"/>
      <x:c r="H198" s="11" t="str">
        <x:f>IF(A198="","",SUMIFS('Shipments'!$I$8:$I$207,'Shipments'!$D$8:$D$207,A198,'Shipments'!$C$8:$C$207,"Inbound"))</x:f>
      </x:c>
      <x:c r="I198" s="11" t="str">
        <x:f>IF(A198="","",MAX(0,E198-F198-H198))</x:f>
      </x:c>
      <x:c r="J198" s="11" t="str">
        <x:f>IF(A198="","",SUMIFS('Shipments'!$K$8:$K$207,'Shipments'!$D$8:$D$207,A198,'Shipments'!$C$8:$C$207,"Inbound"))</x:f>
      </x:c>
      <x:c r="K198" s="11" t="str">
        <x:f>IF(A198="","",MAX(0,I198-J198))</x:f>
      </x:c>
      <x:c r="L198" s="9" t="str">
        <x:f>IF(A198="","",IF(COUNTIFS('Orders'!$A$8:$A$207,A198)&lt;&gt;1,"Duplicate order line",IF(OR(B198="",C198=""),"Set PO and supplier",IF(COUNTIFS('Definitions'!$A$8:$A$207,D198)&lt;&gt;1,"Unknown / duplicate part",IF(VLOOKUP(D198,'Definitions'!$A$8:$J$207,3,FALSE)&lt;&gt;"Part","Order purchasable parts only",IF(OR(NOT(ISNUMBER(E198)),E198&lt;=0,MOD(E198,1)&lt;&gt;0,NOT(ISNUMBER(F198)),F198&lt;0,MOD(F198,1)&lt;&gt;0),"Invalid ordered / cancelled qty",IF(H198+F198&gt;E198,"Receipts exceed net order",IF(J198&gt;I198,"Transit exceeds outstanding qty","OK"))))))))</x:f>
      </x:c>
    </x:row>
    <x:row r="199" ht="22" customHeight="1">
      <x:c r="A199" s="10"/>
      <x:c r="B199" s="10"/>
      <x:c r="C199" s="10"/>
      <x:c r="D199" s="10"/>
      <x:c r="E199" s="12"/>
      <x:c r="F199" s="12"/>
      <x:c r="G199" s="13"/>
      <x:c r="H199" s="11" t="str">
        <x:f>IF(A199="","",SUMIFS('Shipments'!$I$8:$I$207,'Shipments'!$D$8:$D$207,A199,'Shipments'!$C$8:$C$207,"Inbound"))</x:f>
      </x:c>
      <x:c r="I199" s="11" t="str">
        <x:f>IF(A199="","",MAX(0,E199-F199-H199))</x:f>
      </x:c>
      <x:c r="J199" s="11" t="str">
        <x:f>IF(A199="","",SUMIFS('Shipments'!$K$8:$K$207,'Shipments'!$D$8:$D$207,A199,'Shipments'!$C$8:$C$207,"Inbound"))</x:f>
      </x:c>
      <x:c r="K199" s="11" t="str">
        <x:f>IF(A199="","",MAX(0,I199-J199))</x:f>
      </x:c>
      <x:c r="L199" s="9" t="str">
        <x:f>IF(A199="","",IF(COUNTIFS('Orders'!$A$8:$A$207,A199)&lt;&gt;1,"Duplicate order line",IF(OR(B199="",C199=""),"Set PO and supplier",IF(COUNTIFS('Definitions'!$A$8:$A$207,D199)&lt;&gt;1,"Unknown / duplicate part",IF(VLOOKUP(D199,'Definitions'!$A$8:$J$207,3,FALSE)&lt;&gt;"Part","Order purchasable parts only",IF(OR(NOT(ISNUMBER(E199)),E199&lt;=0,MOD(E199,1)&lt;&gt;0,NOT(ISNUMBER(F199)),F199&lt;0,MOD(F199,1)&lt;&gt;0),"Invalid ordered / cancelled qty",IF(H199+F199&gt;E199,"Receipts exceed net order",IF(J199&gt;I199,"Transit exceeds outstanding qty","OK"))))))))</x:f>
      </x:c>
    </x:row>
    <x:row r="200" ht="22" customHeight="1">
      <x:c r="A200" s="10"/>
      <x:c r="B200" s="10"/>
      <x:c r="C200" s="10"/>
      <x:c r="D200" s="10"/>
      <x:c r="E200" s="12"/>
      <x:c r="F200" s="12"/>
      <x:c r="G200" s="13"/>
      <x:c r="H200" s="11" t="str">
        <x:f>IF(A200="","",SUMIFS('Shipments'!$I$8:$I$207,'Shipments'!$D$8:$D$207,A200,'Shipments'!$C$8:$C$207,"Inbound"))</x:f>
      </x:c>
      <x:c r="I200" s="11" t="str">
        <x:f>IF(A200="","",MAX(0,E200-F200-H200))</x:f>
      </x:c>
      <x:c r="J200" s="11" t="str">
        <x:f>IF(A200="","",SUMIFS('Shipments'!$K$8:$K$207,'Shipments'!$D$8:$D$207,A200,'Shipments'!$C$8:$C$207,"Inbound"))</x:f>
      </x:c>
      <x:c r="K200" s="11" t="str">
        <x:f>IF(A200="","",MAX(0,I200-J200))</x:f>
      </x:c>
      <x:c r="L200" s="9" t="str">
        <x:f>IF(A200="","",IF(COUNTIFS('Orders'!$A$8:$A$207,A200)&lt;&gt;1,"Duplicate order line",IF(OR(B200="",C200=""),"Set PO and supplier",IF(COUNTIFS('Definitions'!$A$8:$A$207,D200)&lt;&gt;1,"Unknown / duplicate part",IF(VLOOKUP(D200,'Definitions'!$A$8:$J$207,3,FALSE)&lt;&gt;"Part","Order purchasable parts only",IF(OR(NOT(ISNUMBER(E200)),E200&lt;=0,MOD(E200,1)&lt;&gt;0,NOT(ISNUMBER(F200)),F200&lt;0,MOD(F200,1)&lt;&gt;0),"Invalid ordered / cancelled qty",IF(H200+F200&gt;E200,"Receipts exceed net order",IF(J200&gt;I200,"Transit exceeds outstanding qty","OK"))))))))</x:f>
      </x:c>
    </x:row>
    <x:row r="201" ht="22" customHeight="1">
      <x:c r="A201" s="10"/>
      <x:c r="B201" s="10"/>
      <x:c r="C201" s="10"/>
      <x:c r="D201" s="10"/>
      <x:c r="E201" s="12"/>
      <x:c r="F201" s="12"/>
      <x:c r="G201" s="13"/>
      <x:c r="H201" s="11" t="str">
        <x:f>IF(A201="","",SUMIFS('Shipments'!$I$8:$I$207,'Shipments'!$D$8:$D$207,A201,'Shipments'!$C$8:$C$207,"Inbound"))</x:f>
      </x:c>
      <x:c r="I201" s="11" t="str">
        <x:f>IF(A201="","",MAX(0,E201-F201-H201))</x:f>
      </x:c>
      <x:c r="J201" s="11" t="str">
        <x:f>IF(A201="","",SUMIFS('Shipments'!$K$8:$K$207,'Shipments'!$D$8:$D$207,A201,'Shipments'!$C$8:$C$207,"Inbound"))</x:f>
      </x:c>
      <x:c r="K201" s="11" t="str">
        <x:f>IF(A201="","",MAX(0,I201-J201))</x:f>
      </x:c>
      <x:c r="L201" s="9" t="str">
        <x:f>IF(A201="","",IF(COUNTIFS('Orders'!$A$8:$A$207,A201)&lt;&gt;1,"Duplicate order line",IF(OR(B201="",C201=""),"Set PO and supplier",IF(COUNTIFS('Definitions'!$A$8:$A$207,D201)&lt;&gt;1,"Unknown / duplicate part",IF(VLOOKUP(D201,'Definitions'!$A$8:$J$207,3,FALSE)&lt;&gt;"Part","Order purchasable parts only",IF(OR(NOT(ISNUMBER(E201)),E201&lt;=0,MOD(E201,1)&lt;&gt;0,NOT(ISNUMBER(F201)),F201&lt;0,MOD(F201,1)&lt;&gt;0),"Invalid ordered / cancelled qty",IF(H201+F201&gt;E201,"Receipts exceed net order",IF(J201&gt;I201,"Transit exceeds outstanding qty","OK"))))))))</x:f>
      </x:c>
    </x:row>
    <x:row r="202" ht="22" customHeight="1">
      <x:c r="A202" s="10"/>
      <x:c r="B202" s="10"/>
      <x:c r="C202" s="10"/>
      <x:c r="D202" s="10"/>
      <x:c r="E202" s="12"/>
      <x:c r="F202" s="12"/>
      <x:c r="G202" s="13"/>
      <x:c r="H202" s="11" t="str">
        <x:f>IF(A202="","",SUMIFS('Shipments'!$I$8:$I$207,'Shipments'!$D$8:$D$207,A202,'Shipments'!$C$8:$C$207,"Inbound"))</x:f>
      </x:c>
      <x:c r="I202" s="11" t="str">
        <x:f>IF(A202="","",MAX(0,E202-F202-H202))</x:f>
      </x:c>
      <x:c r="J202" s="11" t="str">
        <x:f>IF(A202="","",SUMIFS('Shipments'!$K$8:$K$207,'Shipments'!$D$8:$D$207,A202,'Shipments'!$C$8:$C$207,"Inbound"))</x:f>
      </x:c>
      <x:c r="K202" s="11" t="str">
        <x:f>IF(A202="","",MAX(0,I202-J202))</x:f>
      </x:c>
      <x:c r="L202" s="9" t="str">
        <x:f>IF(A202="","",IF(COUNTIFS('Orders'!$A$8:$A$207,A202)&lt;&gt;1,"Duplicate order line",IF(OR(B202="",C202=""),"Set PO and supplier",IF(COUNTIFS('Definitions'!$A$8:$A$207,D202)&lt;&gt;1,"Unknown / duplicate part",IF(VLOOKUP(D202,'Definitions'!$A$8:$J$207,3,FALSE)&lt;&gt;"Part","Order purchasable parts only",IF(OR(NOT(ISNUMBER(E202)),E202&lt;=0,MOD(E202,1)&lt;&gt;0,NOT(ISNUMBER(F202)),F202&lt;0,MOD(F202,1)&lt;&gt;0),"Invalid ordered / cancelled qty",IF(H202+F202&gt;E202,"Receipts exceed net order",IF(J202&gt;I202,"Transit exceeds outstanding qty","OK"))))))))</x:f>
      </x:c>
    </x:row>
    <x:row r="203" ht="22" customHeight="1">
      <x:c r="A203" s="10"/>
      <x:c r="B203" s="10"/>
      <x:c r="C203" s="10"/>
      <x:c r="D203" s="10"/>
      <x:c r="E203" s="12"/>
      <x:c r="F203" s="12"/>
      <x:c r="G203" s="13"/>
      <x:c r="H203" s="11" t="str">
        <x:f>IF(A203="","",SUMIFS('Shipments'!$I$8:$I$207,'Shipments'!$D$8:$D$207,A203,'Shipments'!$C$8:$C$207,"Inbound"))</x:f>
      </x:c>
      <x:c r="I203" s="11" t="str">
        <x:f>IF(A203="","",MAX(0,E203-F203-H203))</x:f>
      </x:c>
      <x:c r="J203" s="11" t="str">
        <x:f>IF(A203="","",SUMIFS('Shipments'!$K$8:$K$207,'Shipments'!$D$8:$D$207,A203,'Shipments'!$C$8:$C$207,"Inbound"))</x:f>
      </x:c>
      <x:c r="K203" s="11" t="str">
        <x:f>IF(A203="","",MAX(0,I203-J203))</x:f>
      </x:c>
      <x:c r="L203" s="9" t="str">
        <x:f>IF(A203="","",IF(COUNTIFS('Orders'!$A$8:$A$207,A203)&lt;&gt;1,"Duplicate order line",IF(OR(B203="",C203=""),"Set PO and supplier",IF(COUNTIFS('Definitions'!$A$8:$A$207,D203)&lt;&gt;1,"Unknown / duplicate part",IF(VLOOKUP(D203,'Definitions'!$A$8:$J$207,3,FALSE)&lt;&gt;"Part","Order purchasable parts only",IF(OR(NOT(ISNUMBER(E203)),E203&lt;=0,MOD(E203,1)&lt;&gt;0,NOT(ISNUMBER(F203)),F203&lt;0,MOD(F203,1)&lt;&gt;0),"Invalid ordered / cancelled qty",IF(H203+F203&gt;E203,"Receipts exceed net order",IF(J203&gt;I203,"Transit exceeds outstanding qty","OK"))))))))</x:f>
      </x:c>
    </x:row>
    <x:row r="204" ht="22" customHeight="1">
      <x:c r="A204" s="10"/>
      <x:c r="B204" s="10"/>
      <x:c r="C204" s="10"/>
      <x:c r="D204" s="10"/>
      <x:c r="E204" s="12"/>
      <x:c r="F204" s="12"/>
      <x:c r="G204" s="13"/>
      <x:c r="H204" s="11" t="str">
        <x:f>IF(A204="","",SUMIFS('Shipments'!$I$8:$I$207,'Shipments'!$D$8:$D$207,A204,'Shipments'!$C$8:$C$207,"Inbound"))</x:f>
      </x:c>
      <x:c r="I204" s="11" t="str">
        <x:f>IF(A204="","",MAX(0,E204-F204-H204))</x:f>
      </x:c>
      <x:c r="J204" s="11" t="str">
        <x:f>IF(A204="","",SUMIFS('Shipments'!$K$8:$K$207,'Shipments'!$D$8:$D$207,A204,'Shipments'!$C$8:$C$207,"Inbound"))</x:f>
      </x:c>
      <x:c r="K204" s="11" t="str">
        <x:f>IF(A204="","",MAX(0,I204-J204))</x:f>
      </x:c>
      <x:c r="L204" s="9" t="str">
        <x:f>IF(A204="","",IF(COUNTIFS('Orders'!$A$8:$A$207,A204)&lt;&gt;1,"Duplicate order line",IF(OR(B204="",C204=""),"Set PO and supplier",IF(COUNTIFS('Definitions'!$A$8:$A$207,D204)&lt;&gt;1,"Unknown / duplicate part",IF(VLOOKUP(D204,'Definitions'!$A$8:$J$207,3,FALSE)&lt;&gt;"Part","Order purchasable parts only",IF(OR(NOT(ISNUMBER(E204)),E204&lt;=0,MOD(E204,1)&lt;&gt;0,NOT(ISNUMBER(F204)),F204&lt;0,MOD(F204,1)&lt;&gt;0),"Invalid ordered / cancelled qty",IF(H204+F204&gt;E204,"Receipts exceed net order",IF(J204&gt;I204,"Transit exceeds outstanding qty","OK"))))))))</x:f>
      </x:c>
    </x:row>
    <x:row r="205" ht="22" customHeight="1">
      <x:c r="A205" s="10"/>
      <x:c r="B205" s="10"/>
      <x:c r="C205" s="10"/>
      <x:c r="D205" s="10"/>
      <x:c r="E205" s="12"/>
      <x:c r="F205" s="12"/>
      <x:c r="G205" s="13"/>
      <x:c r="H205" s="11" t="str">
        <x:f>IF(A205="","",SUMIFS('Shipments'!$I$8:$I$207,'Shipments'!$D$8:$D$207,A205,'Shipments'!$C$8:$C$207,"Inbound"))</x:f>
      </x:c>
      <x:c r="I205" s="11" t="str">
        <x:f>IF(A205="","",MAX(0,E205-F205-H205))</x:f>
      </x:c>
      <x:c r="J205" s="11" t="str">
        <x:f>IF(A205="","",SUMIFS('Shipments'!$K$8:$K$207,'Shipments'!$D$8:$D$207,A205,'Shipments'!$C$8:$C$207,"Inbound"))</x:f>
      </x:c>
      <x:c r="K205" s="11" t="str">
        <x:f>IF(A205="","",MAX(0,I205-J205))</x:f>
      </x:c>
      <x:c r="L205" s="9" t="str">
        <x:f>IF(A205="","",IF(COUNTIFS('Orders'!$A$8:$A$207,A205)&lt;&gt;1,"Duplicate order line",IF(OR(B205="",C205=""),"Set PO and supplier",IF(COUNTIFS('Definitions'!$A$8:$A$207,D205)&lt;&gt;1,"Unknown / duplicate part",IF(VLOOKUP(D205,'Definitions'!$A$8:$J$207,3,FALSE)&lt;&gt;"Part","Order purchasable parts only",IF(OR(NOT(ISNUMBER(E205)),E205&lt;=0,MOD(E205,1)&lt;&gt;0,NOT(ISNUMBER(F205)),F205&lt;0,MOD(F205,1)&lt;&gt;0),"Invalid ordered / cancelled qty",IF(H205+F205&gt;E205,"Receipts exceed net order",IF(J205&gt;I205,"Transit exceeds outstanding qty","OK"))))))))</x:f>
      </x:c>
    </x:row>
    <x:row r="206" ht="22" customHeight="1">
      <x:c r="A206" s="10"/>
      <x:c r="B206" s="10"/>
      <x:c r="C206" s="10"/>
      <x:c r="D206" s="10"/>
      <x:c r="E206" s="12"/>
      <x:c r="F206" s="12"/>
      <x:c r="G206" s="13"/>
      <x:c r="H206" s="11" t="str">
        <x:f>IF(A206="","",SUMIFS('Shipments'!$I$8:$I$207,'Shipments'!$D$8:$D$207,A206,'Shipments'!$C$8:$C$207,"Inbound"))</x:f>
      </x:c>
      <x:c r="I206" s="11" t="str">
        <x:f>IF(A206="","",MAX(0,E206-F206-H206))</x:f>
      </x:c>
      <x:c r="J206" s="11" t="str">
        <x:f>IF(A206="","",SUMIFS('Shipments'!$K$8:$K$207,'Shipments'!$D$8:$D$207,A206,'Shipments'!$C$8:$C$207,"Inbound"))</x:f>
      </x:c>
      <x:c r="K206" s="11" t="str">
        <x:f>IF(A206="","",MAX(0,I206-J206))</x:f>
      </x:c>
      <x:c r="L206" s="9" t="str">
        <x:f>IF(A206="","",IF(COUNTIFS('Orders'!$A$8:$A$207,A206)&lt;&gt;1,"Duplicate order line",IF(OR(B206="",C206=""),"Set PO and supplier",IF(COUNTIFS('Definitions'!$A$8:$A$207,D206)&lt;&gt;1,"Unknown / duplicate part",IF(VLOOKUP(D206,'Definitions'!$A$8:$J$207,3,FALSE)&lt;&gt;"Part","Order purchasable parts only",IF(OR(NOT(ISNUMBER(E206)),E206&lt;=0,MOD(E206,1)&lt;&gt;0,NOT(ISNUMBER(F206)),F206&lt;0,MOD(F206,1)&lt;&gt;0),"Invalid ordered / cancelled qty",IF(H206+F206&gt;E206,"Receipts exceed net order",IF(J206&gt;I206,"Transit exceeds outstanding qty","OK"))))))))</x:f>
      </x:c>
    </x:row>
    <x:row r="207" ht="22" customHeight="1">
      <x:c r="A207" s="10"/>
      <x:c r="B207" s="10"/>
      <x:c r="C207" s="10"/>
      <x:c r="D207" s="10"/>
      <x:c r="E207" s="12"/>
      <x:c r="F207" s="12"/>
      <x:c r="G207" s="13"/>
      <x:c r="H207" s="11" t="str">
        <x:f>IF(A207="","",SUMIFS('Shipments'!$I$8:$I$207,'Shipments'!$D$8:$D$207,A207,'Shipments'!$C$8:$C$207,"Inbound"))</x:f>
      </x:c>
      <x:c r="I207" s="11" t="str">
        <x:f>IF(A207="","",MAX(0,E207-F207-H207))</x:f>
      </x:c>
      <x:c r="J207" s="11" t="str">
        <x:f>IF(A207="","",SUMIFS('Shipments'!$K$8:$K$207,'Shipments'!$D$8:$D$207,A207,'Shipments'!$C$8:$C$207,"Inbound"))</x:f>
      </x:c>
      <x:c r="K207" s="11" t="str">
        <x:f>IF(A207="","",MAX(0,I207-J207))</x:f>
      </x:c>
      <x:c r="L207" s="9" t="str">
        <x:f>IF(A207="","",IF(COUNTIFS('Orders'!$A$8:$A$207,A207)&lt;&gt;1,"Duplicate order line",IF(OR(B207="",C207=""),"Set PO and supplier",IF(COUNTIFS('Definitions'!$A$8:$A$207,D207)&lt;&gt;1,"Unknown / duplicate part",IF(VLOOKUP(D207,'Definitions'!$A$8:$J$207,3,FALSE)&lt;&gt;"Part","Order purchasable parts only",IF(OR(NOT(ISNUMBER(E207)),E207&lt;=0,MOD(E207,1)&lt;&gt;0,NOT(ISNUMBER(F207)),F207&lt;0,MOD(F207,1)&lt;&gt;0),"Invalid ordered / cancelled qty",IF(H207+F207&gt;E207,"Receipts exceed net order",IF(J207&gt;I207,"Transit exceeds outstanding qty","OK"))))))))</x:f>
      </x:c>
    </x:row>
  </x:sheetData>
  <x:conditionalFormatting sqref="L8:L207">
    <x:cfRule type="expression" dxfId="5" priority="1">
      <x:formula>AND($A8&lt;&gt;"",L8&lt;&gt;"OK")</x:formula>
    </x:cfRule>
  </x:conditionalFormatting>
  <x:dataValidations count="3">
    <x:dataValidation type="list" sqref="D8:D207">
      <x:formula1>'Definitions'!$A$8:$A$207</x:formula1>
    </x:dataValidation>
    <x:dataValidation type="whole" operator="between" sqref="E8:E207">
      <x:formula1>1</x:formula1>
      <x:formula2>1000000</x:formula2>
    </x:dataValidation>
    <x:dataValidation type="whole" operator="between" sqref="F8:F207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15e1529c7204b57"/>
  </x:tableParts>
</x:worksheet>
</file>

<file path=xl/worksheets/sheet8.xml><?xml version="1.0" encoding="utf-8"?>
<x:worksheet xmlns:x="http://schemas.openxmlformats.org/spreadsheetml/2006/main">
  <x:sheetPr>
    <x:tabColor rgb="FFCAD4DF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3" hidden="0" customWidth="1"/>
    <x:col min="2" max="2" width="22" hidden="0" customWidth="1"/>
    <x:col min="3" max="3" width="15" hidden="0" customWidth="1"/>
    <x:col min="4" max="4" width="23" hidden="0" customWidth="1"/>
    <x:col min="5" max="5" width="20" hidden="0" customWidth="1"/>
    <x:col min="6" max="6" width="23" hidden="0" customWidth="1"/>
    <x:col min="7" max="7" width="23" hidden="0" customWidth="1"/>
    <x:col min="8" max="8" width="18" hidden="0" customWidth="1"/>
    <x:col min="9" max="9" width="17" hidden="0" customWidth="1"/>
    <x:col min="10" max="10" width="17" hidden="0" customWidth="1"/>
    <x:col min="11" max="11" width="17" hidden="0" customWidth="1"/>
    <x:col min="12" max="12" width="18" hidden="0" customWidth="1"/>
    <x:col min="13" max="13" width="18" hidden="0" customWidth="1"/>
    <x:col min="14" max="14" width="27" hidden="0" customWidth="1"/>
    <x:col min="15" max="15" width="28" hidden="0" customWidth="1"/>
    <x:col min="16" max="16" width="4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2" customHeight="1">
      <x:c r="A2" s="3" t="str">
        <x:v>Shipment and receipt lines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2" customHeight="1">
      <x:c r="A4" s="4" t="str">
        <x:v>Split shipments into separate rows by part and box. Receipt quantities are cumulative per row. Rejected goods do not fulfil the order.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2" customHeight="1">
      <x:c r="A5" s="4" t="str">
        <x:v>Amber cells are editable. Grey cells contain formulas. All populated records are illustrative.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40" customHeight="1">
      <x:c r="A7" s="8" t="str">
        <x:v>Shipment line ID</x:v>
      </x:c>
      <x:c r="B7" s="8" t="str">
        <x:v>Shipment ID</x:v>
      </x:c>
      <x:c r="C7" s="8" t="str">
        <x:v>Direction</x:v>
      </x:c>
      <x:c r="D7" s="8" t="str">
        <x:v>Order line ID</x:v>
      </x:c>
      <x:c r="E7" s="8" t="str">
        <x:v>Box / crate ID</x:v>
      </x:c>
      <x:c r="F7" s="8" t="str">
        <x:v>Definition ID</x:v>
      </x:c>
      <x:c r="G7" s="8" t="str">
        <x:v>Asset ID (optional)</x:v>
      </x:c>
      <x:c r="H7" s="8" t="str">
        <x:v>Dispatched qty</x:v>
      </x:c>
      <x:c r="I7" s="8" t="str">
        <x:v>Accepted qty</x:v>
      </x:c>
      <x:c r="J7" s="8" t="str">
        <x:v>Rejected qty</x:v>
      </x:c>
      <x:c r="K7" s="8" t="str">
        <x:v>In transit qty</x:v>
      </x:c>
      <x:c r="L7" s="8" t="str">
        <x:v>Dispatch date</x:v>
      </x:c>
      <x:c r="M7" s="8" t="str">
        <x:v>Arrival / ETA</x:v>
      </x:c>
      <x:c r="N7" s="8" t="str">
        <x:v>Carrier tracking</x:v>
      </x:c>
      <x:c r="O7" s="8" t="str">
        <x:v>Destination</x:v>
      </x:c>
      <x:c r="P7" s="8" t="str">
        <x:v>Check</x:v>
      </x:c>
    </x:row>
    <x:row r="8" ht="22" customHeight="1">
      <x:c r="A8" s="10" t="str">
        <x:v>SL-DEMO-1</x:v>
      </x:c>
      <x:c r="B8" s="10" t="str">
        <x:v>SHIP-DEMO-1</x:v>
      </x:c>
      <x:c r="C8" s="10" t="str">
        <x:v>Inbound</x:v>
      </x:c>
      <x:c r="D8" s="10" t="str">
        <x:v>PO-DEMO-OPT</x:v>
      </x:c>
      <x:c r="E8" s="10" t="str">
        <x:v>BOX-DEMO-1</x:v>
      </x:c>
      <x:c r="F8" s="10" t="str">
        <x:v>P-OPTIC</x:v>
      </x:c>
      <x:c r="G8" s="10" t="str"/>
      <x:c r="H8" s="12" t="n">
        <x:v>6</x:v>
      </x:c>
      <x:c r="I8" s="12" t="n">
        <x:v>0</x:v>
      </x:c>
      <x:c r="J8" s="12" t="n">
        <x:v>0</x:v>
      </x:c>
      <x:c r="K8" s="11" t="n">
        <x:f>IF(A8="","",MAX(0,H8-I8-J8))</x:f>
        <x:v>6</x:v>
      </x:c>
      <x:c r="L8" s="13" t="d">
        <x:v>2026-10-28T12:00:00.000Z</x:v>
      </x:c>
      <x:c r="M8" s="13" t="d">
        <x:v>2026-11-02T12:00:00.000Z</x:v>
      </x:c>
      <x:c r="N8" s="10" t="str">
        <x:v>EXAMPLE-TRACKING</x:v>
      </x:c>
      <x:c r="O8" s="10" t="str">
        <x:v>Receiving store</x:v>
      </x:c>
      <x:c r="P8" s="9" t="str">
        <x:f>IF(A8="","",IF(COUNTIFS('Shipments'!$A$8:$A$207,A8)&lt;&gt;1,"Duplicate shipment line",IF(OR(B8="",E8="",O8=""),"Set shipment, box and destination",IF(AND(C8&lt;&gt;"Inbound",C8&lt;&gt;"Outbound"),"Choose direction",IF(COUNTIFS('Definitions'!$A$8:$A$207,F8)&lt;&gt;1,"Unknown / duplicate part",IF(VLOOKUP(F8,'Definitions'!$A$8:$J$207,3,FALSE)&lt;&gt;"Part","Ship purchasable parts only",IF(OR(NOT(ISNUMBER(H8)),H8&lt;0,MOD(H8,1)&lt;&gt;0,NOT(ISNUMBER(I8)),I8&lt;0,MOD(I8,1)&lt;&gt;0,NOT(ISNUMBER(J8)),J8&lt;0,MOD(J8,1)&lt;&gt;0),"Invalid shipment quantities",IF(I8+J8&gt;H8,"Receipts exceed dispatch",IF(AND(H8&gt;0,NOT(ISNUMBER(L8))),"Set actual dispatch date",IF(C8="Inbound",IF(COUNTIFS('Orders'!$A$8:$A$207,D8)&lt;&gt;1,"Choose a unique order line",IF(VLOOKUP(D8,'Orders'!$A$8:$L$207,4,FALSE)&lt;&gt;F8,"Order part mismatch","OK")),IF(D8&lt;&gt;"","Clear outbound order line",IF(AND(VLOOKUP(F8,'Definitions'!$A$8:$J$207,7,FALSE)="Yes",OR(G8="",H8&lt;&gt;1)),"Serialized outbound: one asset per row",IF(G8="","OK",IF(COUNTIFS('Assets'!$A$8:$A$207,G8)&lt;&gt;1,"Unknown / duplicate asset",IF(VLOOKUP(G8,'Assets'!$A$8:$K$207,2,FALSE)&lt;&gt;F8,"Asset part mismatch",IF(COUNTIFS($G$8:$G$207,G8,$C$8:$C$207,"Outbound")&lt;&gt;1,"Asset dispatched more than once","OK"))))))))))))))))</x:f>
        <x:v>OK</x:v>
      </x:c>
    </x:row>
    <x:row r="9" ht="22" customHeight="1">
      <x:c r="A9" s="10"/>
      <x:c r="B9" s="10"/>
      <x:c r="C9" s="10"/>
      <x:c r="D9" s="10"/>
      <x:c r="E9" s="10"/>
      <x:c r="F9" s="10"/>
      <x:c r="G9" s="10"/>
      <x:c r="H9" s="12"/>
      <x:c r="I9" s="12"/>
      <x:c r="J9" s="12"/>
      <x:c r="K9" s="11" t="str">
        <x:f>IF(A9="","",MAX(0,H9-I9-J9))</x:f>
      </x:c>
      <x:c r="L9" s="13"/>
      <x:c r="M9" s="13"/>
      <x:c r="N9" s="10"/>
      <x:c r="O9" s="10"/>
      <x:c r="P9" s="9" t="str">
        <x:f>IF(A9="","",IF(COUNTIFS('Shipments'!$A$8:$A$207,A9)&lt;&gt;1,"Duplicate shipment line",IF(OR(B9="",E9="",O9=""),"Set shipment, box and destination",IF(AND(C9&lt;&gt;"Inbound",C9&lt;&gt;"Outbound"),"Choose direction",IF(COUNTIFS('Definitions'!$A$8:$A$207,F9)&lt;&gt;1,"Unknown / duplicate part",IF(VLOOKUP(F9,'Definitions'!$A$8:$J$207,3,FALSE)&lt;&gt;"Part","Ship purchasable parts only",IF(OR(NOT(ISNUMBER(H9)),H9&lt;0,MOD(H9,1)&lt;&gt;0,NOT(ISNUMBER(I9)),I9&lt;0,MOD(I9,1)&lt;&gt;0,NOT(ISNUMBER(J9)),J9&lt;0,MOD(J9,1)&lt;&gt;0),"Invalid shipment quantities",IF(I9+J9&gt;H9,"Receipts exceed dispatch",IF(AND(H9&gt;0,NOT(ISNUMBER(L9))),"Set actual dispatch date",IF(C9="Inbound",IF(COUNTIFS('Orders'!$A$8:$A$207,D9)&lt;&gt;1,"Choose a unique order line",IF(VLOOKUP(D9,'Orders'!$A$8:$L$207,4,FALSE)&lt;&gt;F9,"Order part mismatch","OK")),IF(D9&lt;&gt;"","Clear outbound order line",IF(AND(VLOOKUP(F9,'Definitions'!$A$8:$J$207,7,FALSE)="Yes",OR(G9="",H9&lt;&gt;1)),"Serialized outbound: one asset per row",IF(G9="","OK",IF(COUNTIFS('Assets'!$A$8:$A$207,G9)&lt;&gt;1,"Unknown / duplicate asset",IF(VLOOKUP(G9,'Assets'!$A$8:$K$207,2,FALSE)&lt;&gt;F9,"Asset part mismatch",IF(COUNTIFS($G$8:$G$207,G9,$C$8:$C$207,"Outbound")&lt;&gt;1,"Asset dispatched more than once","OK"))))))))))))))))</x:f>
      </x:c>
    </x:row>
    <x:row r="10" ht="22" customHeight="1">
      <x:c r="A10" s="10"/>
      <x:c r="B10" s="10"/>
      <x:c r="C10" s="10"/>
      <x:c r="D10" s="10"/>
      <x:c r="E10" s="10"/>
      <x:c r="F10" s="10"/>
      <x:c r="G10" s="10"/>
      <x:c r="H10" s="12"/>
      <x:c r="I10" s="12"/>
      <x:c r="J10" s="12"/>
      <x:c r="K10" s="11" t="str">
        <x:f>IF(A10="","",MAX(0,H10-I10-J10))</x:f>
      </x:c>
      <x:c r="L10" s="13"/>
      <x:c r="M10" s="13"/>
      <x:c r="N10" s="10"/>
      <x:c r="O10" s="10"/>
      <x:c r="P10" s="9" t="str">
        <x:f>IF(A10="","",IF(COUNTIFS('Shipments'!$A$8:$A$207,A10)&lt;&gt;1,"Duplicate shipment line",IF(OR(B10="",E10="",O10=""),"Set shipment, box and destination",IF(AND(C10&lt;&gt;"Inbound",C10&lt;&gt;"Outbound"),"Choose direction",IF(COUNTIFS('Definitions'!$A$8:$A$207,F10)&lt;&gt;1,"Unknown / duplicate part",IF(VLOOKUP(F10,'Definitions'!$A$8:$J$207,3,FALSE)&lt;&gt;"Part","Ship purchasable parts only",IF(OR(NOT(ISNUMBER(H10)),H10&lt;0,MOD(H10,1)&lt;&gt;0,NOT(ISNUMBER(I10)),I10&lt;0,MOD(I10,1)&lt;&gt;0,NOT(ISNUMBER(J10)),J10&lt;0,MOD(J10,1)&lt;&gt;0),"Invalid shipment quantities",IF(I10+J10&gt;H10,"Receipts exceed dispatch",IF(AND(H10&gt;0,NOT(ISNUMBER(L10))),"Set actual dispatch date",IF(C10="Inbound",IF(COUNTIFS('Orders'!$A$8:$A$207,D10)&lt;&gt;1,"Choose a unique order line",IF(VLOOKUP(D10,'Orders'!$A$8:$L$207,4,FALSE)&lt;&gt;F10,"Order part mismatch","OK")),IF(D10&lt;&gt;"","Clear outbound order line",IF(AND(VLOOKUP(F10,'Definitions'!$A$8:$J$207,7,FALSE)="Yes",OR(G10="",H10&lt;&gt;1)),"Serialized outbound: one asset per row",IF(G10="","OK",IF(COUNTIFS('Assets'!$A$8:$A$207,G10)&lt;&gt;1,"Unknown / duplicate asset",IF(VLOOKUP(G10,'Assets'!$A$8:$K$207,2,FALSE)&lt;&gt;F10,"Asset part mismatch",IF(COUNTIFS($G$8:$G$207,G10,$C$8:$C$207,"Outbound")&lt;&gt;1,"Asset dispatched more than once","OK"))))))))))))))))</x:f>
      </x:c>
    </x:row>
    <x:row r="11" ht="22" customHeight="1">
      <x:c r="A11" s="10"/>
      <x:c r="B11" s="10"/>
      <x:c r="C11" s="10"/>
      <x:c r="D11" s="10"/>
      <x:c r="E11" s="10"/>
      <x:c r="F11" s="10"/>
      <x:c r="G11" s="10"/>
      <x:c r="H11" s="12"/>
      <x:c r="I11" s="12"/>
      <x:c r="J11" s="12"/>
      <x:c r="K11" s="11" t="str">
        <x:f>IF(A11="","",MAX(0,H11-I11-J11))</x:f>
      </x:c>
      <x:c r="L11" s="13"/>
      <x:c r="M11" s="13"/>
      <x:c r="N11" s="10"/>
      <x:c r="O11" s="10"/>
      <x:c r="P11" s="9" t="str">
        <x:f>IF(A11="","",IF(COUNTIFS('Shipments'!$A$8:$A$207,A11)&lt;&gt;1,"Duplicate shipment line",IF(OR(B11="",E11="",O11=""),"Set shipment, box and destination",IF(AND(C11&lt;&gt;"Inbound",C11&lt;&gt;"Outbound"),"Choose direction",IF(COUNTIFS('Definitions'!$A$8:$A$207,F11)&lt;&gt;1,"Unknown / duplicate part",IF(VLOOKUP(F11,'Definitions'!$A$8:$J$207,3,FALSE)&lt;&gt;"Part","Ship purchasable parts only",IF(OR(NOT(ISNUMBER(H11)),H11&lt;0,MOD(H11,1)&lt;&gt;0,NOT(ISNUMBER(I11)),I11&lt;0,MOD(I11,1)&lt;&gt;0,NOT(ISNUMBER(J11)),J11&lt;0,MOD(J11,1)&lt;&gt;0),"Invalid shipment quantities",IF(I11+J11&gt;H11,"Receipts exceed dispatch",IF(AND(H11&gt;0,NOT(ISNUMBER(L11))),"Set actual dispatch date",IF(C11="Inbound",IF(COUNTIFS('Orders'!$A$8:$A$207,D11)&lt;&gt;1,"Choose a unique order line",IF(VLOOKUP(D11,'Orders'!$A$8:$L$207,4,FALSE)&lt;&gt;F11,"Order part mismatch","OK")),IF(D11&lt;&gt;"","Clear outbound order line",IF(AND(VLOOKUP(F11,'Definitions'!$A$8:$J$207,7,FALSE)="Yes",OR(G11="",H11&lt;&gt;1)),"Serialized outbound: one asset per row",IF(G11="","OK",IF(COUNTIFS('Assets'!$A$8:$A$207,G11)&lt;&gt;1,"Unknown / duplicate asset",IF(VLOOKUP(G11,'Assets'!$A$8:$K$207,2,FALSE)&lt;&gt;F11,"Asset part mismatch",IF(COUNTIFS($G$8:$G$207,G11,$C$8:$C$207,"Outbound")&lt;&gt;1,"Asset dispatched more than once","OK"))))))))))))))))</x:f>
      </x:c>
    </x:row>
    <x:row r="12" ht="22" customHeight="1">
      <x:c r="A12" s="10"/>
      <x:c r="B12" s="10"/>
      <x:c r="C12" s="10"/>
      <x:c r="D12" s="10"/>
      <x:c r="E12" s="10"/>
      <x:c r="F12" s="10"/>
      <x:c r="G12" s="10"/>
      <x:c r="H12" s="12"/>
      <x:c r="I12" s="12"/>
      <x:c r="J12" s="12"/>
      <x:c r="K12" s="11" t="str">
        <x:f>IF(A12="","",MAX(0,H12-I12-J12))</x:f>
      </x:c>
      <x:c r="L12" s="13"/>
      <x:c r="M12" s="13"/>
      <x:c r="N12" s="10"/>
      <x:c r="O12" s="10"/>
      <x:c r="P12" s="9" t="str">
        <x:f>IF(A12="","",IF(COUNTIFS('Shipments'!$A$8:$A$207,A12)&lt;&gt;1,"Duplicate shipment line",IF(OR(B12="",E12="",O12=""),"Set shipment, box and destination",IF(AND(C12&lt;&gt;"Inbound",C12&lt;&gt;"Outbound"),"Choose direction",IF(COUNTIFS('Definitions'!$A$8:$A$207,F12)&lt;&gt;1,"Unknown / duplicate part",IF(VLOOKUP(F12,'Definitions'!$A$8:$J$207,3,FALSE)&lt;&gt;"Part","Ship purchasable parts only",IF(OR(NOT(ISNUMBER(H12)),H12&lt;0,MOD(H12,1)&lt;&gt;0,NOT(ISNUMBER(I12)),I12&lt;0,MOD(I12,1)&lt;&gt;0,NOT(ISNUMBER(J12)),J12&lt;0,MOD(J12,1)&lt;&gt;0),"Invalid shipment quantities",IF(I12+J12&gt;H12,"Receipts exceed dispatch",IF(AND(H12&gt;0,NOT(ISNUMBER(L12))),"Set actual dispatch date",IF(C12="Inbound",IF(COUNTIFS('Orders'!$A$8:$A$207,D12)&lt;&gt;1,"Choose a unique order line",IF(VLOOKUP(D12,'Orders'!$A$8:$L$207,4,FALSE)&lt;&gt;F12,"Order part mismatch","OK")),IF(D12&lt;&gt;"","Clear outbound order line",IF(AND(VLOOKUP(F12,'Definitions'!$A$8:$J$207,7,FALSE)="Yes",OR(G12="",H12&lt;&gt;1)),"Serialized outbound: one asset per row",IF(G12="","OK",IF(COUNTIFS('Assets'!$A$8:$A$207,G12)&lt;&gt;1,"Unknown / duplicate asset",IF(VLOOKUP(G12,'Assets'!$A$8:$K$207,2,FALSE)&lt;&gt;F12,"Asset part mismatch",IF(COUNTIFS($G$8:$G$207,G12,$C$8:$C$207,"Outbound")&lt;&gt;1,"Asset dispatched more than once","OK"))))))))))))))))</x:f>
      </x:c>
    </x:row>
    <x:row r="13" ht="22" customHeight="1">
      <x:c r="A13" s="10"/>
      <x:c r="B13" s="10"/>
      <x:c r="C13" s="10"/>
      <x:c r="D13" s="10"/>
      <x:c r="E13" s="10"/>
      <x:c r="F13" s="10"/>
      <x:c r="G13" s="10"/>
      <x:c r="H13" s="12"/>
      <x:c r="I13" s="12"/>
      <x:c r="J13" s="12"/>
      <x:c r="K13" s="11" t="str">
        <x:f>IF(A13="","",MAX(0,H13-I13-J13))</x:f>
      </x:c>
      <x:c r="L13" s="13"/>
      <x:c r="M13" s="13"/>
      <x:c r="N13" s="10"/>
      <x:c r="O13" s="10"/>
      <x:c r="P13" s="9" t="str">
        <x:f>IF(A13="","",IF(COUNTIFS('Shipments'!$A$8:$A$207,A13)&lt;&gt;1,"Duplicate shipment line",IF(OR(B13="",E13="",O13=""),"Set shipment, box and destination",IF(AND(C13&lt;&gt;"Inbound",C13&lt;&gt;"Outbound"),"Choose direction",IF(COUNTIFS('Definitions'!$A$8:$A$207,F13)&lt;&gt;1,"Unknown / duplicate part",IF(VLOOKUP(F13,'Definitions'!$A$8:$J$207,3,FALSE)&lt;&gt;"Part","Ship purchasable parts only",IF(OR(NOT(ISNUMBER(H13)),H13&lt;0,MOD(H13,1)&lt;&gt;0,NOT(ISNUMBER(I13)),I13&lt;0,MOD(I13,1)&lt;&gt;0,NOT(ISNUMBER(J13)),J13&lt;0,MOD(J13,1)&lt;&gt;0),"Invalid shipment quantities",IF(I13+J13&gt;H13,"Receipts exceed dispatch",IF(AND(H13&gt;0,NOT(ISNUMBER(L13))),"Set actual dispatch date",IF(C13="Inbound",IF(COUNTIFS('Orders'!$A$8:$A$207,D13)&lt;&gt;1,"Choose a unique order line",IF(VLOOKUP(D13,'Orders'!$A$8:$L$207,4,FALSE)&lt;&gt;F13,"Order part mismatch","OK")),IF(D13&lt;&gt;"","Clear outbound order line",IF(AND(VLOOKUP(F13,'Definitions'!$A$8:$J$207,7,FALSE)="Yes",OR(G13="",H13&lt;&gt;1)),"Serialized outbound: one asset per row",IF(G13="","OK",IF(COUNTIFS('Assets'!$A$8:$A$207,G13)&lt;&gt;1,"Unknown / duplicate asset",IF(VLOOKUP(G13,'Assets'!$A$8:$K$207,2,FALSE)&lt;&gt;F13,"Asset part mismatch",IF(COUNTIFS($G$8:$G$207,G13,$C$8:$C$207,"Outbound")&lt;&gt;1,"Asset dispatched more than once","OK"))))))))))))))))</x:f>
      </x:c>
    </x:row>
    <x:row r="14" ht="22" customHeight="1">
      <x:c r="A14" s="10"/>
      <x:c r="B14" s="10"/>
      <x:c r="C14" s="10"/>
      <x:c r="D14" s="10"/>
      <x:c r="E14" s="10"/>
      <x:c r="F14" s="10"/>
      <x:c r="G14" s="10"/>
      <x:c r="H14" s="12"/>
      <x:c r="I14" s="12"/>
      <x:c r="J14" s="12"/>
      <x:c r="K14" s="11" t="str">
        <x:f>IF(A14="","",MAX(0,H14-I14-J14))</x:f>
      </x:c>
      <x:c r="L14" s="13"/>
      <x:c r="M14" s="13"/>
      <x:c r="N14" s="10"/>
      <x:c r="O14" s="10"/>
      <x:c r="P14" s="9" t="str">
        <x:f>IF(A14="","",IF(COUNTIFS('Shipments'!$A$8:$A$207,A14)&lt;&gt;1,"Duplicate shipment line",IF(OR(B14="",E14="",O14=""),"Set shipment, box and destination",IF(AND(C14&lt;&gt;"Inbound",C14&lt;&gt;"Outbound"),"Choose direction",IF(COUNTIFS('Definitions'!$A$8:$A$207,F14)&lt;&gt;1,"Unknown / duplicate part",IF(VLOOKUP(F14,'Definitions'!$A$8:$J$207,3,FALSE)&lt;&gt;"Part","Ship purchasable parts only",IF(OR(NOT(ISNUMBER(H14)),H14&lt;0,MOD(H14,1)&lt;&gt;0,NOT(ISNUMBER(I14)),I14&lt;0,MOD(I14,1)&lt;&gt;0,NOT(ISNUMBER(J14)),J14&lt;0,MOD(J14,1)&lt;&gt;0),"Invalid shipment quantities",IF(I14+J14&gt;H14,"Receipts exceed dispatch",IF(AND(H14&gt;0,NOT(ISNUMBER(L14))),"Set actual dispatch date",IF(C14="Inbound",IF(COUNTIFS('Orders'!$A$8:$A$207,D14)&lt;&gt;1,"Choose a unique order line",IF(VLOOKUP(D14,'Orders'!$A$8:$L$207,4,FALSE)&lt;&gt;F14,"Order part mismatch","OK")),IF(D14&lt;&gt;"","Clear outbound order line",IF(AND(VLOOKUP(F14,'Definitions'!$A$8:$J$207,7,FALSE)="Yes",OR(G14="",H14&lt;&gt;1)),"Serialized outbound: one asset per row",IF(G14="","OK",IF(COUNTIFS('Assets'!$A$8:$A$207,G14)&lt;&gt;1,"Unknown / duplicate asset",IF(VLOOKUP(G14,'Assets'!$A$8:$K$207,2,FALSE)&lt;&gt;F14,"Asset part mismatch",IF(COUNTIFS($G$8:$G$207,G14,$C$8:$C$207,"Outbound")&lt;&gt;1,"Asset dispatched more than once","OK"))))))))))))))))</x:f>
      </x:c>
    </x:row>
    <x:row r="15" ht="22" customHeight="1">
      <x:c r="A15" s="10"/>
      <x:c r="B15" s="10"/>
      <x:c r="C15" s="10"/>
      <x:c r="D15" s="10"/>
      <x:c r="E15" s="10"/>
      <x:c r="F15" s="10"/>
      <x:c r="G15" s="10"/>
      <x:c r="H15" s="12"/>
      <x:c r="I15" s="12"/>
      <x:c r="J15" s="12"/>
      <x:c r="K15" s="11" t="str">
        <x:f>IF(A15="","",MAX(0,H15-I15-J15))</x:f>
      </x:c>
      <x:c r="L15" s="13"/>
      <x:c r="M15" s="13"/>
      <x:c r="N15" s="10"/>
      <x:c r="O15" s="10"/>
      <x:c r="P15" s="9" t="str">
        <x:f>IF(A15="","",IF(COUNTIFS('Shipments'!$A$8:$A$207,A15)&lt;&gt;1,"Duplicate shipment line",IF(OR(B15="",E15="",O15=""),"Set shipment, box and destination",IF(AND(C15&lt;&gt;"Inbound",C15&lt;&gt;"Outbound"),"Choose direction",IF(COUNTIFS('Definitions'!$A$8:$A$207,F15)&lt;&gt;1,"Unknown / duplicate part",IF(VLOOKUP(F15,'Definitions'!$A$8:$J$207,3,FALSE)&lt;&gt;"Part","Ship purchasable parts only",IF(OR(NOT(ISNUMBER(H15)),H15&lt;0,MOD(H15,1)&lt;&gt;0,NOT(ISNUMBER(I15)),I15&lt;0,MOD(I15,1)&lt;&gt;0,NOT(ISNUMBER(J15)),J15&lt;0,MOD(J15,1)&lt;&gt;0),"Invalid shipment quantities",IF(I15+J15&gt;H15,"Receipts exceed dispatch",IF(AND(H15&gt;0,NOT(ISNUMBER(L15))),"Set actual dispatch date",IF(C15="Inbound",IF(COUNTIFS('Orders'!$A$8:$A$207,D15)&lt;&gt;1,"Choose a unique order line",IF(VLOOKUP(D15,'Orders'!$A$8:$L$207,4,FALSE)&lt;&gt;F15,"Order part mismatch","OK")),IF(D15&lt;&gt;"","Clear outbound order line",IF(AND(VLOOKUP(F15,'Definitions'!$A$8:$J$207,7,FALSE)="Yes",OR(G15="",H15&lt;&gt;1)),"Serialized outbound: one asset per row",IF(G15="","OK",IF(COUNTIFS('Assets'!$A$8:$A$207,G15)&lt;&gt;1,"Unknown / duplicate asset",IF(VLOOKUP(G15,'Assets'!$A$8:$K$207,2,FALSE)&lt;&gt;F15,"Asset part mismatch",IF(COUNTIFS($G$8:$G$207,G15,$C$8:$C$207,"Outbound")&lt;&gt;1,"Asset dispatched more than once","OK"))))))))))))))))</x:f>
      </x:c>
    </x:row>
    <x:row r="16" ht="22" customHeight="1">
      <x:c r="A16" s="10"/>
      <x:c r="B16" s="10"/>
      <x:c r="C16" s="10"/>
      <x:c r="D16" s="10"/>
      <x:c r="E16" s="10"/>
      <x:c r="F16" s="10"/>
      <x:c r="G16" s="10"/>
      <x:c r="H16" s="12"/>
      <x:c r="I16" s="12"/>
      <x:c r="J16" s="12"/>
      <x:c r="K16" s="11" t="str">
        <x:f>IF(A16="","",MAX(0,H16-I16-J16))</x:f>
      </x:c>
      <x:c r="L16" s="13"/>
      <x:c r="M16" s="13"/>
      <x:c r="N16" s="10"/>
      <x:c r="O16" s="10"/>
      <x:c r="P16" s="9" t="str">
        <x:f>IF(A16="","",IF(COUNTIFS('Shipments'!$A$8:$A$207,A16)&lt;&gt;1,"Duplicate shipment line",IF(OR(B16="",E16="",O16=""),"Set shipment, box and destination",IF(AND(C16&lt;&gt;"Inbound",C16&lt;&gt;"Outbound"),"Choose direction",IF(COUNTIFS('Definitions'!$A$8:$A$207,F16)&lt;&gt;1,"Unknown / duplicate part",IF(VLOOKUP(F16,'Definitions'!$A$8:$J$207,3,FALSE)&lt;&gt;"Part","Ship purchasable parts only",IF(OR(NOT(ISNUMBER(H16)),H16&lt;0,MOD(H16,1)&lt;&gt;0,NOT(ISNUMBER(I16)),I16&lt;0,MOD(I16,1)&lt;&gt;0,NOT(ISNUMBER(J16)),J16&lt;0,MOD(J16,1)&lt;&gt;0),"Invalid shipment quantities",IF(I16+J16&gt;H16,"Receipts exceed dispatch",IF(AND(H16&gt;0,NOT(ISNUMBER(L16))),"Set actual dispatch date",IF(C16="Inbound",IF(COUNTIFS('Orders'!$A$8:$A$207,D16)&lt;&gt;1,"Choose a unique order line",IF(VLOOKUP(D16,'Orders'!$A$8:$L$207,4,FALSE)&lt;&gt;F16,"Order part mismatch","OK")),IF(D16&lt;&gt;"","Clear outbound order line",IF(AND(VLOOKUP(F16,'Definitions'!$A$8:$J$207,7,FALSE)="Yes",OR(G16="",H16&lt;&gt;1)),"Serialized outbound: one asset per row",IF(G16="","OK",IF(COUNTIFS('Assets'!$A$8:$A$207,G16)&lt;&gt;1,"Unknown / duplicate asset",IF(VLOOKUP(G16,'Assets'!$A$8:$K$207,2,FALSE)&lt;&gt;F16,"Asset part mismatch",IF(COUNTIFS($G$8:$G$207,G16,$C$8:$C$207,"Outbound")&lt;&gt;1,"Asset dispatched more than once","OK"))))))))))))))))</x:f>
      </x:c>
    </x:row>
    <x:row r="17" ht="22" customHeight="1">
      <x:c r="A17" s="10"/>
      <x:c r="B17" s="10"/>
      <x:c r="C17" s="10"/>
      <x:c r="D17" s="10"/>
      <x:c r="E17" s="10"/>
      <x:c r="F17" s="10"/>
      <x:c r="G17" s="10"/>
      <x:c r="H17" s="12"/>
      <x:c r="I17" s="12"/>
      <x:c r="J17" s="12"/>
      <x:c r="K17" s="11" t="str">
        <x:f>IF(A17="","",MAX(0,H17-I17-J17))</x:f>
      </x:c>
      <x:c r="L17" s="13"/>
      <x:c r="M17" s="13"/>
      <x:c r="N17" s="10"/>
      <x:c r="O17" s="10"/>
      <x:c r="P17" s="9" t="str">
        <x:f>IF(A17="","",IF(COUNTIFS('Shipments'!$A$8:$A$207,A17)&lt;&gt;1,"Duplicate shipment line",IF(OR(B17="",E17="",O17=""),"Set shipment, box and destination",IF(AND(C17&lt;&gt;"Inbound",C17&lt;&gt;"Outbound"),"Choose direction",IF(COUNTIFS('Definitions'!$A$8:$A$207,F17)&lt;&gt;1,"Unknown / duplicate part",IF(VLOOKUP(F17,'Definitions'!$A$8:$J$207,3,FALSE)&lt;&gt;"Part","Ship purchasable parts only",IF(OR(NOT(ISNUMBER(H17)),H17&lt;0,MOD(H17,1)&lt;&gt;0,NOT(ISNUMBER(I17)),I17&lt;0,MOD(I17,1)&lt;&gt;0,NOT(ISNUMBER(J17)),J17&lt;0,MOD(J17,1)&lt;&gt;0),"Invalid shipment quantities",IF(I17+J17&gt;H17,"Receipts exceed dispatch",IF(AND(H17&gt;0,NOT(ISNUMBER(L17))),"Set actual dispatch date",IF(C17="Inbound",IF(COUNTIFS('Orders'!$A$8:$A$207,D17)&lt;&gt;1,"Choose a unique order line",IF(VLOOKUP(D17,'Orders'!$A$8:$L$207,4,FALSE)&lt;&gt;F17,"Order part mismatch","OK")),IF(D17&lt;&gt;"","Clear outbound order line",IF(AND(VLOOKUP(F17,'Definitions'!$A$8:$J$207,7,FALSE)="Yes",OR(G17="",H17&lt;&gt;1)),"Serialized outbound: one asset per row",IF(G17="","OK",IF(COUNTIFS('Assets'!$A$8:$A$207,G17)&lt;&gt;1,"Unknown / duplicate asset",IF(VLOOKUP(G17,'Assets'!$A$8:$K$207,2,FALSE)&lt;&gt;F17,"Asset part mismatch",IF(COUNTIFS($G$8:$G$207,G17,$C$8:$C$207,"Outbound")&lt;&gt;1,"Asset dispatched more than once","OK"))))))))))))))))</x:f>
      </x:c>
    </x:row>
    <x:row r="18" ht="22" customHeight="1">
      <x:c r="A18" s="10"/>
      <x:c r="B18" s="10"/>
      <x:c r="C18" s="10"/>
      <x:c r="D18" s="10"/>
      <x:c r="E18" s="10"/>
      <x:c r="F18" s="10"/>
      <x:c r="G18" s="10"/>
      <x:c r="H18" s="12"/>
      <x:c r="I18" s="12"/>
      <x:c r="J18" s="12"/>
      <x:c r="K18" s="11" t="str">
        <x:f>IF(A18="","",MAX(0,H18-I18-J18))</x:f>
      </x:c>
      <x:c r="L18" s="13"/>
      <x:c r="M18" s="13"/>
      <x:c r="N18" s="10"/>
      <x:c r="O18" s="10"/>
      <x:c r="P18" s="9" t="str">
        <x:f>IF(A18="","",IF(COUNTIFS('Shipments'!$A$8:$A$207,A18)&lt;&gt;1,"Duplicate shipment line",IF(OR(B18="",E18="",O18=""),"Set shipment, box and destination",IF(AND(C18&lt;&gt;"Inbound",C18&lt;&gt;"Outbound"),"Choose direction",IF(COUNTIFS('Definitions'!$A$8:$A$207,F18)&lt;&gt;1,"Unknown / duplicate part",IF(VLOOKUP(F18,'Definitions'!$A$8:$J$207,3,FALSE)&lt;&gt;"Part","Ship purchasable parts only",IF(OR(NOT(ISNUMBER(H18)),H18&lt;0,MOD(H18,1)&lt;&gt;0,NOT(ISNUMBER(I18)),I18&lt;0,MOD(I18,1)&lt;&gt;0,NOT(ISNUMBER(J18)),J18&lt;0,MOD(J18,1)&lt;&gt;0),"Invalid shipment quantities",IF(I18+J18&gt;H18,"Receipts exceed dispatch",IF(AND(H18&gt;0,NOT(ISNUMBER(L18))),"Set actual dispatch date",IF(C18="Inbound",IF(COUNTIFS('Orders'!$A$8:$A$207,D18)&lt;&gt;1,"Choose a unique order line",IF(VLOOKUP(D18,'Orders'!$A$8:$L$207,4,FALSE)&lt;&gt;F18,"Order part mismatch","OK")),IF(D18&lt;&gt;"","Clear outbound order line",IF(AND(VLOOKUP(F18,'Definitions'!$A$8:$J$207,7,FALSE)="Yes",OR(G18="",H18&lt;&gt;1)),"Serialized outbound: one asset per row",IF(G18="","OK",IF(COUNTIFS('Assets'!$A$8:$A$207,G18)&lt;&gt;1,"Unknown / duplicate asset",IF(VLOOKUP(G18,'Assets'!$A$8:$K$207,2,FALSE)&lt;&gt;F18,"Asset part mismatch",IF(COUNTIFS($G$8:$G$207,G18,$C$8:$C$207,"Outbound")&lt;&gt;1,"Asset dispatched more than once","OK"))))))))))))))))</x:f>
      </x:c>
    </x:row>
    <x:row r="19" ht="22" customHeight="1">
      <x:c r="A19" s="10"/>
      <x:c r="B19" s="10"/>
      <x:c r="C19" s="10"/>
      <x:c r="D19" s="10"/>
      <x:c r="E19" s="10"/>
      <x:c r="F19" s="10"/>
      <x:c r="G19" s="10"/>
      <x:c r="H19" s="12"/>
      <x:c r="I19" s="12"/>
      <x:c r="J19" s="12"/>
      <x:c r="K19" s="11" t="str">
        <x:f>IF(A19="","",MAX(0,H19-I19-J19))</x:f>
      </x:c>
      <x:c r="L19" s="13"/>
      <x:c r="M19" s="13"/>
      <x:c r="N19" s="10"/>
      <x:c r="O19" s="10"/>
      <x:c r="P19" s="9" t="str">
        <x:f>IF(A19="","",IF(COUNTIFS('Shipments'!$A$8:$A$207,A19)&lt;&gt;1,"Duplicate shipment line",IF(OR(B19="",E19="",O19=""),"Set shipment, box and destination",IF(AND(C19&lt;&gt;"Inbound",C19&lt;&gt;"Outbound"),"Choose direction",IF(COUNTIFS('Definitions'!$A$8:$A$207,F19)&lt;&gt;1,"Unknown / duplicate part",IF(VLOOKUP(F19,'Definitions'!$A$8:$J$207,3,FALSE)&lt;&gt;"Part","Ship purchasable parts only",IF(OR(NOT(ISNUMBER(H19)),H19&lt;0,MOD(H19,1)&lt;&gt;0,NOT(ISNUMBER(I19)),I19&lt;0,MOD(I19,1)&lt;&gt;0,NOT(ISNUMBER(J19)),J19&lt;0,MOD(J19,1)&lt;&gt;0),"Invalid shipment quantities",IF(I19+J19&gt;H19,"Receipts exceed dispatch",IF(AND(H19&gt;0,NOT(ISNUMBER(L19))),"Set actual dispatch date",IF(C19="Inbound",IF(COUNTIFS('Orders'!$A$8:$A$207,D19)&lt;&gt;1,"Choose a unique order line",IF(VLOOKUP(D19,'Orders'!$A$8:$L$207,4,FALSE)&lt;&gt;F19,"Order part mismatch","OK")),IF(D19&lt;&gt;"","Clear outbound order line",IF(AND(VLOOKUP(F19,'Definitions'!$A$8:$J$207,7,FALSE)="Yes",OR(G19="",H19&lt;&gt;1)),"Serialized outbound: one asset per row",IF(G19="","OK",IF(COUNTIFS('Assets'!$A$8:$A$207,G19)&lt;&gt;1,"Unknown / duplicate asset",IF(VLOOKUP(G19,'Assets'!$A$8:$K$207,2,FALSE)&lt;&gt;F19,"Asset part mismatch",IF(COUNTIFS($G$8:$G$207,G19,$C$8:$C$207,"Outbound")&lt;&gt;1,"Asset dispatched more than once","OK"))))))))))))))))</x:f>
      </x:c>
    </x:row>
    <x:row r="20" ht="22" customHeight="1">
      <x:c r="A20" s="10"/>
      <x:c r="B20" s="10"/>
      <x:c r="C20" s="10"/>
      <x:c r="D20" s="10"/>
      <x:c r="E20" s="10"/>
      <x:c r="F20" s="10"/>
      <x:c r="G20" s="10"/>
      <x:c r="H20" s="12"/>
      <x:c r="I20" s="12"/>
      <x:c r="J20" s="12"/>
      <x:c r="K20" s="11" t="str">
        <x:f>IF(A20="","",MAX(0,H20-I20-J20))</x:f>
      </x:c>
      <x:c r="L20" s="13"/>
      <x:c r="M20" s="13"/>
      <x:c r="N20" s="10"/>
      <x:c r="O20" s="10"/>
      <x:c r="P20" s="9" t="str">
        <x:f>IF(A20="","",IF(COUNTIFS('Shipments'!$A$8:$A$207,A20)&lt;&gt;1,"Duplicate shipment line",IF(OR(B20="",E20="",O20=""),"Set shipment, box and destination",IF(AND(C20&lt;&gt;"Inbound",C20&lt;&gt;"Outbound"),"Choose direction",IF(COUNTIFS('Definitions'!$A$8:$A$207,F20)&lt;&gt;1,"Unknown / duplicate part",IF(VLOOKUP(F20,'Definitions'!$A$8:$J$207,3,FALSE)&lt;&gt;"Part","Ship purchasable parts only",IF(OR(NOT(ISNUMBER(H20)),H20&lt;0,MOD(H20,1)&lt;&gt;0,NOT(ISNUMBER(I20)),I20&lt;0,MOD(I20,1)&lt;&gt;0,NOT(ISNUMBER(J20)),J20&lt;0,MOD(J20,1)&lt;&gt;0),"Invalid shipment quantities",IF(I20+J20&gt;H20,"Receipts exceed dispatch",IF(AND(H20&gt;0,NOT(ISNUMBER(L20))),"Set actual dispatch date",IF(C20="Inbound",IF(COUNTIFS('Orders'!$A$8:$A$207,D20)&lt;&gt;1,"Choose a unique order line",IF(VLOOKUP(D20,'Orders'!$A$8:$L$207,4,FALSE)&lt;&gt;F20,"Order part mismatch","OK")),IF(D20&lt;&gt;"","Clear outbound order line",IF(AND(VLOOKUP(F20,'Definitions'!$A$8:$J$207,7,FALSE)="Yes",OR(G20="",H20&lt;&gt;1)),"Serialized outbound: one asset per row",IF(G20="","OK",IF(COUNTIFS('Assets'!$A$8:$A$207,G20)&lt;&gt;1,"Unknown / duplicate asset",IF(VLOOKUP(G20,'Assets'!$A$8:$K$207,2,FALSE)&lt;&gt;F20,"Asset part mismatch",IF(COUNTIFS($G$8:$G$207,G20,$C$8:$C$207,"Outbound")&lt;&gt;1,"Asset dispatched more than once","OK"))))))))))))))))</x:f>
      </x:c>
    </x:row>
    <x:row r="21" ht="22" customHeight="1">
      <x:c r="A21" s="10"/>
      <x:c r="B21" s="10"/>
      <x:c r="C21" s="10"/>
      <x:c r="D21" s="10"/>
      <x:c r="E21" s="10"/>
      <x:c r="F21" s="10"/>
      <x:c r="G21" s="10"/>
      <x:c r="H21" s="12"/>
      <x:c r="I21" s="12"/>
      <x:c r="J21" s="12"/>
      <x:c r="K21" s="11" t="str">
        <x:f>IF(A21="","",MAX(0,H21-I21-J21))</x:f>
      </x:c>
      <x:c r="L21" s="13"/>
      <x:c r="M21" s="13"/>
      <x:c r="N21" s="10"/>
      <x:c r="O21" s="10"/>
      <x:c r="P21" s="9" t="str">
        <x:f>IF(A21="","",IF(COUNTIFS('Shipments'!$A$8:$A$207,A21)&lt;&gt;1,"Duplicate shipment line",IF(OR(B21="",E21="",O21=""),"Set shipment, box and destination",IF(AND(C21&lt;&gt;"Inbound",C21&lt;&gt;"Outbound"),"Choose direction",IF(COUNTIFS('Definitions'!$A$8:$A$207,F21)&lt;&gt;1,"Unknown / duplicate part",IF(VLOOKUP(F21,'Definitions'!$A$8:$J$207,3,FALSE)&lt;&gt;"Part","Ship purchasable parts only",IF(OR(NOT(ISNUMBER(H21)),H21&lt;0,MOD(H21,1)&lt;&gt;0,NOT(ISNUMBER(I21)),I21&lt;0,MOD(I21,1)&lt;&gt;0,NOT(ISNUMBER(J21)),J21&lt;0,MOD(J21,1)&lt;&gt;0),"Invalid shipment quantities",IF(I21+J21&gt;H21,"Receipts exceed dispatch",IF(AND(H21&gt;0,NOT(ISNUMBER(L21))),"Set actual dispatch date",IF(C21="Inbound",IF(COUNTIFS('Orders'!$A$8:$A$207,D21)&lt;&gt;1,"Choose a unique order line",IF(VLOOKUP(D21,'Orders'!$A$8:$L$207,4,FALSE)&lt;&gt;F21,"Order part mismatch","OK")),IF(D21&lt;&gt;"","Clear outbound order line",IF(AND(VLOOKUP(F21,'Definitions'!$A$8:$J$207,7,FALSE)="Yes",OR(G21="",H21&lt;&gt;1)),"Serialized outbound: one asset per row",IF(G21="","OK",IF(COUNTIFS('Assets'!$A$8:$A$207,G21)&lt;&gt;1,"Unknown / duplicate asset",IF(VLOOKUP(G21,'Assets'!$A$8:$K$207,2,FALSE)&lt;&gt;F21,"Asset part mismatch",IF(COUNTIFS($G$8:$G$207,G21,$C$8:$C$207,"Outbound")&lt;&gt;1,"Asset dispatched more than once","OK"))))))))))))))))</x:f>
      </x:c>
    </x:row>
    <x:row r="22" ht="22" customHeight="1">
      <x:c r="A22" s="10"/>
      <x:c r="B22" s="10"/>
      <x:c r="C22" s="10"/>
      <x:c r="D22" s="10"/>
      <x:c r="E22" s="10"/>
      <x:c r="F22" s="10"/>
      <x:c r="G22" s="10"/>
      <x:c r="H22" s="12"/>
      <x:c r="I22" s="12"/>
      <x:c r="J22" s="12"/>
      <x:c r="K22" s="11" t="str">
        <x:f>IF(A22="","",MAX(0,H22-I22-J22))</x:f>
      </x:c>
      <x:c r="L22" s="13"/>
      <x:c r="M22" s="13"/>
      <x:c r="N22" s="10"/>
      <x:c r="O22" s="10"/>
      <x:c r="P22" s="9" t="str">
        <x:f>IF(A22="","",IF(COUNTIFS('Shipments'!$A$8:$A$207,A22)&lt;&gt;1,"Duplicate shipment line",IF(OR(B22="",E22="",O22=""),"Set shipment, box and destination",IF(AND(C22&lt;&gt;"Inbound",C22&lt;&gt;"Outbound"),"Choose direction",IF(COUNTIFS('Definitions'!$A$8:$A$207,F22)&lt;&gt;1,"Unknown / duplicate part",IF(VLOOKUP(F22,'Definitions'!$A$8:$J$207,3,FALSE)&lt;&gt;"Part","Ship purchasable parts only",IF(OR(NOT(ISNUMBER(H22)),H22&lt;0,MOD(H22,1)&lt;&gt;0,NOT(ISNUMBER(I22)),I22&lt;0,MOD(I22,1)&lt;&gt;0,NOT(ISNUMBER(J22)),J22&lt;0,MOD(J22,1)&lt;&gt;0),"Invalid shipment quantities",IF(I22+J22&gt;H22,"Receipts exceed dispatch",IF(AND(H22&gt;0,NOT(ISNUMBER(L22))),"Set actual dispatch date",IF(C22="Inbound",IF(COUNTIFS('Orders'!$A$8:$A$207,D22)&lt;&gt;1,"Choose a unique order line",IF(VLOOKUP(D22,'Orders'!$A$8:$L$207,4,FALSE)&lt;&gt;F22,"Order part mismatch","OK")),IF(D22&lt;&gt;"","Clear outbound order line",IF(AND(VLOOKUP(F22,'Definitions'!$A$8:$J$207,7,FALSE)="Yes",OR(G22="",H22&lt;&gt;1)),"Serialized outbound: one asset per row",IF(G22="","OK",IF(COUNTIFS('Assets'!$A$8:$A$207,G22)&lt;&gt;1,"Unknown / duplicate asset",IF(VLOOKUP(G22,'Assets'!$A$8:$K$207,2,FALSE)&lt;&gt;F22,"Asset part mismatch",IF(COUNTIFS($G$8:$G$207,G22,$C$8:$C$207,"Outbound")&lt;&gt;1,"Asset dispatched more than once","OK"))))))))))))))))</x:f>
      </x:c>
    </x:row>
    <x:row r="23" ht="22" customHeight="1">
      <x:c r="A23" s="10"/>
      <x:c r="B23" s="10"/>
      <x:c r="C23" s="10"/>
      <x:c r="D23" s="10"/>
      <x:c r="E23" s="10"/>
      <x:c r="F23" s="10"/>
      <x:c r="G23" s="10"/>
      <x:c r="H23" s="12"/>
      <x:c r="I23" s="12"/>
      <x:c r="J23" s="12"/>
      <x:c r="K23" s="11" t="str">
        <x:f>IF(A23="","",MAX(0,H23-I23-J23))</x:f>
      </x:c>
      <x:c r="L23" s="13"/>
      <x:c r="M23" s="13"/>
      <x:c r="N23" s="10"/>
      <x:c r="O23" s="10"/>
      <x:c r="P23" s="9" t="str">
        <x:f>IF(A23="","",IF(COUNTIFS('Shipments'!$A$8:$A$207,A23)&lt;&gt;1,"Duplicate shipment line",IF(OR(B23="",E23="",O23=""),"Set shipment, box and destination",IF(AND(C23&lt;&gt;"Inbound",C23&lt;&gt;"Outbound"),"Choose direction",IF(COUNTIFS('Definitions'!$A$8:$A$207,F23)&lt;&gt;1,"Unknown / duplicate part",IF(VLOOKUP(F23,'Definitions'!$A$8:$J$207,3,FALSE)&lt;&gt;"Part","Ship purchasable parts only",IF(OR(NOT(ISNUMBER(H23)),H23&lt;0,MOD(H23,1)&lt;&gt;0,NOT(ISNUMBER(I23)),I23&lt;0,MOD(I23,1)&lt;&gt;0,NOT(ISNUMBER(J23)),J23&lt;0,MOD(J23,1)&lt;&gt;0),"Invalid shipment quantities",IF(I23+J23&gt;H23,"Receipts exceed dispatch",IF(AND(H23&gt;0,NOT(ISNUMBER(L23))),"Set actual dispatch date",IF(C23="Inbound",IF(COUNTIFS('Orders'!$A$8:$A$207,D23)&lt;&gt;1,"Choose a unique order line",IF(VLOOKUP(D23,'Orders'!$A$8:$L$207,4,FALSE)&lt;&gt;F23,"Order part mismatch","OK")),IF(D23&lt;&gt;"","Clear outbound order line",IF(AND(VLOOKUP(F23,'Definitions'!$A$8:$J$207,7,FALSE)="Yes",OR(G23="",H23&lt;&gt;1)),"Serialized outbound: one asset per row",IF(G23="","OK",IF(COUNTIFS('Assets'!$A$8:$A$207,G23)&lt;&gt;1,"Unknown / duplicate asset",IF(VLOOKUP(G23,'Assets'!$A$8:$K$207,2,FALSE)&lt;&gt;F23,"Asset part mismatch",IF(COUNTIFS($G$8:$G$207,G23,$C$8:$C$207,"Outbound")&lt;&gt;1,"Asset dispatched more than once","OK"))))))))))))))))</x:f>
      </x:c>
    </x:row>
    <x:row r="24" ht="22" customHeight="1">
      <x:c r="A24" s="10"/>
      <x:c r="B24" s="10"/>
      <x:c r="C24" s="10"/>
      <x:c r="D24" s="10"/>
      <x:c r="E24" s="10"/>
      <x:c r="F24" s="10"/>
      <x:c r="G24" s="10"/>
      <x:c r="H24" s="12"/>
      <x:c r="I24" s="12"/>
      <x:c r="J24" s="12"/>
      <x:c r="K24" s="11" t="str">
        <x:f>IF(A24="","",MAX(0,H24-I24-J24))</x:f>
      </x:c>
      <x:c r="L24" s="13"/>
      <x:c r="M24" s="13"/>
      <x:c r="N24" s="10"/>
      <x:c r="O24" s="10"/>
      <x:c r="P24" s="9" t="str">
        <x:f>IF(A24="","",IF(COUNTIFS('Shipments'!$A$8:$A$207,A24)&lt;&gt;1,"Duplicate shipment line",IF(OR(B24="",E24="",O24=""),"Set shipment, box and destination",IF(AND(C24&lt;&gt;"Inbound",C24&lt;&gt;"Outbound"),"Choose direction",IF(COUNTIFS('Definitions'!$A$8:$A$207,F24)&lt;&gt;1,"Unknown / duplicate part",IF(VLOOKUP(F24,'Definitions'!$A$8:$J$207,3,FALSE)&lt;&gt;"Part","Ship purchasable parts only",IF(OR(NOT(ISNUMBER(H24)),H24&lt;0,MOD(H24,1)&lt;&gt;0,NOT(ISNUMBER(I24)),I24&lt;0,MOD(I24,1)&lt;&gt;0,NOT(ISNUMBER(J24)),J24&lt;0,MOD(J24,1)&lt;&gt;0),"Invalid shipment quantities",IF(I24+J24&gt;H24,"Receipts exceed dispatch",IF(AND(H24&gt;0,NOT(ISNUMBER(L24))),"Set actual dispatch date",IF(C24="Inbound",IF(COUNTIFS('Orders'!$A$8:$A$207,D24)&lt;&gt;1,"Choose a unique order line",IF(VLOOKUP(D24,'Orders'!$A$8:$L$207,4,FALSE)&lt;&gt;F24,"Order part mismatch","OK")),IF(D24&lt;&gt;"","Clear outbound order line",IF(AND(VLOOKUP(F24,'Definitions'!$A$8:$J$207,7,FALSE)="Yes",OR(G24="",H24&lt;&gt;1)),"Serialized outbound: one asset per row",IF(G24="","OK",IF(COUNTIFS('Assets'!$A$8:$A$207,G24)&lt;&gt;1,"Unknown / duplicate asset",IF(VLOOKUP(G24,'Assets'!$A$8:$K$207,2,FALSE)&lt;&gt;F24,"Asset part mismatch",IF(COUNTIFS($G$8:$G$207,G24,$C$8:$C$207,"Outbound")&lt;&gt;1,"Asset dispatched more than once","OK"))))))))))))))))</x:f>
      </x:c>
    </x:row>
    <x:row r="25" ht="22" customHeight="1">
      <x:c r="A25" s="10"/>
      <x:c r="B25" s="10"/>
      <x:c r="C25" s="10"/>
      <x:c r="D25" s="10"/>
      <x:c r="E25" s="10"/>
      <x:c r="F25" s="10"/>
      <x:c r="G25" s="10"/>
      <x:c r="H25" s="12"/>
      <x:c r="I25" s="12"/>
      <x:c r="J25" s="12"/>
      <x:c r="K25" s="11" t="str">
        <x:f>IF(A25="","",MAX(0,H25-I25-J25))</x:f>
      </x:c>
      <x:c r="L25" s="13"/>
      <x:c r="M25" s="13"/>
      <x:c r="N25" s="10"/>
      <x:c r="O25" s="10"/>
      <x:c r="P25" s="9" t="str">
        <x:f>IF(A25="","",IF(COUNTIFS('Shipments'!$A$8:$A$207,A25)&lt;&gt;1,"Duplicate shipment line",IF(OR(B25="",E25="",O25=""),"Set shipment, box and destination",IF(AND(C25&lt;&gt;"Inbound",C25&lt;&gt;"Outbound"),"Choose direction",IF(COUNTIFS('Definitions'!$A$8:$A$207,F25)&lt;&gt;1,"Unknown / duplicate part",IF(VLOOKUP(F25,'Definitions'!$A$8:$J$207,3,FALSE)&lt;&gt;"Part","Ship purchasable parts only",IF(OR(NOT(ISNUMBER(H25)),H25&lt;0,MOD(H25,1)&lt;&gt;0,NOT(ISNUMBER(I25)),I25&lt;0,MOD(I25,1)&lt;&gt;0,NOT(ISNUMBER(J25)),J25&lt;0,MOD(J25,1)&lt;&gt;0),"Invalid shipment quantities",IF(I25+J25&gt;H25,"Receipts exceed dispatch",IF(AND(H25&gt;0,NOT(ISNUMBER(L25))),"Set actual dispatch date",IF(C25="Inbound",IF(COUNTIFS('Orders'!$A$8:$A$207,D25)&lt;&gt;1,"Choose a unique order line",IF(VLOOKUP(D25,'Orders'!$A$8:$L$207,4,FALSE)&lt;&gt;F25,"Order part mismatch","OK")),IF(D25&lt;&gt;"","Clear outbound order line",IF(AND(VLOOKUP(F25,'Definitions'!$A$8:$J$207,7,FALSE)="Yes",OR(G25="",H25&lt;&gt;1)),"Serialized outbound: one asset per row",IF(G25="","OK",IF(COUNTIFS('Assets'!$A$8:$A$207,G25)&lt;&gt;1,"Unknown / duplicate asset",IF(VLOOKUP(G25,'Assets'!$A$8:$K$207,2,FALSE)&lt;&gt;F25,"Asset part mismatch",IF(COUNTIFS($G$8:$G$207,G25,$C$8:$C$207,"Outbound")&lt;&gt;1,"Asset dispatched more than once","OK"))))))))))))))))</x:f>
      </x:c>
    </x:row>
    <x:row r="26" ht="22" customHeight="1">
      <x:c r="A26" s="10"/>
      <x:c r="B26" s="10"/>
      <x:c r="C26" s="10"/>
      <x:c r="D26" s="10"/>
      <x:c r="E26" s="10"/>
      <x:c r="F26" s="10"/>
      <x:c r="G26" s="10"/>
      <x:c r="H26" s="12"/>
      <x:c r="I26" s="12"/>
      <x:c r="J26" s="12"/>
      <x:c r="K26" s="11" t="str">
        <x:f>IF(A26="","",MAX(0,H26-I26-J26))</x:f>
      </x:c>
      <x:c r="L26" s="13"/>
      <x:c r="M26" s="13"/>
      <x:c r="N26" s="10"/>
      <x:c r="O26" s="10"/>
      <x:c r="P26" s="9" t="str">
        <x:f>IF(A26="","",IF(COUNTIFS('Shipments'!$A$8:$A$207,A26)&lt;&gt;1,"Duplicate shipment line",IF(OR(B26="",E26="",O26=""),"Set shipment, box and destination",IF(AND(C26&lt;&gt;"Inbound",C26&lt;&gt;"Outbound"),"Choose direction",IF(COUNTIFS('Definitions'!$A$8:$A$207,F26)&lt;&gt;1,"Unknown / duplicate part",IF(VLOOKUP(F26,'Definitions'!$A$8:$J$207,3,FALSE)&lt;&gt;"Part","Ship purchasable parts only",IF(OR(NOT(ISNUMBER(H26)),H26&lt;0,MOD(H26,1)&lt;&gt;0,NOT(ISNUMBER(I26)),I26&lt;0,MOD(I26,1)&lt;&gt;0,NOT(ISNUMBER(J26)),J26&lt;0,MOD(J26,1)&lt;&gt;0),"Invalid shipment quantities",IF(I26+J26&gt;H26,"Receipts exceed dispatch",IF(AND(H26&gt;0,NOT(ISNUMBER(L26))),"Set actual dispatch date",IF(C26="Inbound",IF(COUNTIFS('Orders'!$A$8:$A$207,D26)&lt;&gt;1,"Choose a unique order line",IF(VLOOKUP(D26,'Orders'!$A$8:$L$207,4,FALSE)&lt;&gt;F26,"Order part mismatch","OK")),IF(D26&lt;&gt;"","Clear outbound order line",IF(AND(VLOOKUP(F26,'Definitions'!$A$8:$J$207,7,FALSE)="Yes",OR(G26="",H26&lt;&gt;1)),"Serialized outbound: one asset per row",IF(G26="","OK",IF(COUNTIFS('Assets'!$A$8:$A$207,G26)&lt;&gt;1,"Unknown / duplicate asset",IF(VLOOKUP(G26,'Assets'!$A$8:$K$207,2,FALSE)&lt;&gt;F26,"Asset part mismatch",IF(COUNTIFS($G$8:$G$207,G26,$C$8:$C$207,"Outbound")&lt;&gt;1,"Asset dispatched more than once","OK"))))))))))))))))</x:f>
      </x:c>
    </x:row>
    <x:row r="27" ht="22" customHeight="1">
      <x:c r="A27" s="10"/>
      <x:c r="B27" s="10"/>
      <x:c r="C27" s="10"/>
      <x:c r="D27" s="10"/>
      <x:c r="E27" s="10"/>
      <x:c r="F27" s="10"/>
      <x:c r="G27" s="10"/>
      <x:c r="H27" s="12"/>
      <x:c r="I27" s="12"/>
      <x:c r="J27" s="12"/>
      <x:c r="K27" s="11" t="str">
        <x:f>IF(A27="","",MAX(0,H27-I27-J27))</x:f>
      </x:c>
      <x:c r="L27" s="13"/>
      <x:c r="M27" s="13"/>
      <x:c r="N27" s="10"/>
      <x:c r="O27" s="10"/>
      <x:c r="P27" s="9" t="str">
        <x:f>IF(A27="","",IF(COUNTIFS('Shipments'!$A$8:$A$207,A27)&lt;&gt;1,"Duplicate shipment line",IF(OR(B27="",E27="",O27=""),"Set shipment, box and destination",IF(AND(C27&lt;&gt;"Inbound",C27&lt;&gt;"Outbound"),"Choose direction",IF(COUNTIFS('Definitions'!$A$8:$A$207,F27)&lt;&gt;1,"Unknown / duplicate part",IF(VLOOKUP(F27,'Definitions'!$A$8:$J$207,3,FALSE)&lt;&gt;"Part","Ship purchasable parts only",IF(OR(NOT(ISNUMBER(H27)),H27&lt;0,MOD(H27,1)&lt;&gt;0,NOT(ISNUMBER(I27)),I27&lt;0,MOD(I27,1)&lt;&gt;0,NOT(ISNUMBER(J27)),J27&lt;0,MOD(J27,1)&lt;&gt;0),"Invalid shipment quantities",IF(I27+J27&gt;H27,"Receipts exceed dispatch",IF(AND(H27&gt;0,NOT(ISNUMBER(L27))),"Set actual dispatch date",IF(C27="Inbound",IF(COUNTIFS('Orders'!$A$8:$A$207,D27)&lt;&gt;1,"Choose a unique order line",IF(VLOOKUP(D27,'Orders'!$A$8:$L$207,4,FALSE)&lt;&gt;F27,"Order part mismatch","OK")),IF(D27&lt;&gt;"","Clear outbound order line",IF(AND(VLOOKUP(F27,'Definitions'!$A$8:$J$207,7,FALSE)="Yes",OR(G27="",H27&lt;&gt;1)),"Serialized outbound: one asset per row",IF(G27="","OK",IF(COUNTIFS('Assets'!$A$8:$A$207,G27)&lt;&gt;1,"Unknown / duplicate asset",IF(VLOOKUP(G27,'Assets'!$A$8:$K$207,2,FALSE)&lt;&gt;F27,"Asset part mismatch",IF(COUNTIFS($G$8:$G$207,G27,$C$8:$C$207,"Outbound")&lt;&gt;1,"Asset dispatched more than once","OK"))))))))))))))))</x:f>
      </x:c>
    </x:row>
    <x:row r="28" ht="22" customHeight="1">
      <x:c r="A28" s="10"/>
      <x:c r="B28" s="10"/>
      <x:c r="C28" s="10"/>
      <x:c r="D28" s="10"/>
      <x:c r="E28" s="10"/>
      <x:c r="F28" s="10"/>
      <x:c r="G28" s="10"/>
      <x:c r="H28" s="12"/>
      <x:c r="I28" s="12"/>
      <x:c r="J28" s="12"/>
      <x:c r="K28" s="11" t="str">
        <x:f>IF(A28="","",MAX(0,H28-I28-J28))</x:f>
      </x:c>
      <x:c r="L28" s="13"/>
      <x:c r="M28" s="13"/>
      <x:c r="N28" s="10"/>
      <x:c r="O28" s="10"/>
      <x:c r="P28" s="9" t="str">
        <x:f>IF(A28="","",IF(COUNTIFS('Shipments'!$A$8:$A$207,A28)&lt;&gt;1,"Duplicate shipment line",IF(OR(B28="",E28="",O28=""),"Set shipment, box and destination",IF(AND(C28&lt;&gt;"Inbound",C28&lt;&gt;"Outbound"),"Choose direction",IF(COUNTIFS('Definitions'!$A$8:$A$207,F28)&lt;&gt;1,"Unknown / duplicate part",IF(VLOOKUP(F28,'Definitions'!$A$8:$J$207,3,FALSE)&lt;&gt;"Part","Ship purchasable parts only",IF(OR(NOT(ISNUMBER(H28)),H28&lt;0,MOD(H28,1)&lt;&gt;0,NOT(ISNUMBER(I28)),I28&lt;0,MOD(I28,1)&lt;&gt;0,NOT(ISNUMBER(J28)),J28&lt;0,MOD(J28,1)&lt;&gt;0),"Invalid shipment quantities",IF(I28+J28&gt;H28,"Receipts exceed dispatch",IF(AND(H28&gt;0,NOT(ISNUMBER(L28))),"Set actual dispatch date",IF(C28="Inbound",IF(COUNTIFS('Orders'!$A$8:$A$207,D28)&lt;&gt;1,"Choose a unique order line",IF(VLOOKUP(D28,'Orders'!$A$8:$L$207,4,FALSE)&lt;&gt;F28,"Order part mismatch","OK")),IF(D28&lt;&gt;"","Clear outbound order line",IF(AND(VLOOKUP(F28,'Definitions'!$A$8:$J$207,7,FALSE)="Yes",OR(G28="",H28&lt;&gt;1)),"Serialized outbound: one asset per row",IF(G28="","OK",IF(COUNTIFS('Assets'!$A$8:$A$207,G28)&lt;&gt;1,"Unknown / duplicate asset",IF(VLOOKUP(G28,'Assets'!$A$8:$K$207,2,FALSE)&lt;&gt;F28,"Asset part mismatch",IF(COUNTIFS($G$8:$G$207,G28,$C$8:$C$207,"Outbound")&lt;&gt;1,"Asset dispatched more than once","OK"))))))))))))))))</x:f>
      </x:c>
    </x:row>
    <x:row r="29" ht="22" customHeight="1">
      <x:c r="A29" s="10"/>
      <x:c r="B29" s="10"/>
      <x:c r="C29" s="10"/>
      <x:c r="D29" s="10"/>
      <x:c r="E29" s="10"/>
      <x:c r="F29" s="10"/>
      <x:c r="G29" s="10"/>
      <x:c r="H29" s="12"/>
      <x:c r="I29" s="12"/>
      <x:c r="J29" s="12"/>
      <x:c r="K29" s="11" t="str">
        <x:f>IF(A29="","",MAX(0,H29-I29-J29))</x:f>
      </x:c>
      <x:c r="L29" s="13"/>
      <x:c r="M29" s="13"/>
      <x:c r="N29" s="10"/>
      <x:c r="O29" s="10"/>
      <x:c r="P29" s="9" t="str">
        <x:f>IF(A29="","",IF(COUNTIFS('Shipments'!$A$8:$A$207,A29)&lt;&gt;1,"Duplicate shipment line",IF(OR(B29="",E29="",O29=""),"Set shipment, box and destination",IF(AND(C29&lt;&gt;"Inbound",C29&lt;&gt;"Outbound"),"Choose direction",IF(COUNTIFS('Definitions'!$A$8:$A$207,F29)&lt;&gt;1,"Unknown / duplicate part",IF(VLOOKUP(F29,'Definitions'!$A$8:$J$207,3,FALSE)&lt;&gt;"Part","Ship purchasable parts only",IF(OR(NOT(ISNUMBER(H29)),H29&lt;0,MOD(H29,1)&lt;&gt;0,NOT(ISNUMBER(I29)),I29&lt;0,MOD(I29,1)&lt;&gt;0,NOT(ISNUMBER(J29)),J29&lt;0,MOD(J29,1)&lt;&gt;0),"Invalid shipment quantities",IF(I29+J29&gt;H29,"Receipts exceed dispatch",IF(AND(H29&gt;0,NOT(ISNUMBER(L29))),"Set actual dispatch date",IF(C29="Inbound",IF(COUNTIFS('Orders'!$A$8:$A$207,D29)&lt;&gt;1,"Choose a unique order line",IF(VLOOKUP(D29,'Orders'!$A$8:$L$207,4,FALSE)&lt;&gt;F29,"Order part mismatch","OK")),IF(D29&lt;&gt;"","Clear outbound order line",IF(AND(VLOOKUP(F29,'Definitions'!$A$8:$J$207,7,FALSE)="Yes",OR(G29="",H29&lt;&gt;1)),"Serialized outbound: one asset per row",IF(G29="","OK",IF(COUNTIFS('Assets'!$A$8:$A$207,G29)&lt;&gt;1,"Unknown / duplicate asset",IF(VLOOKUP(G29,'Assets'!$A$8:$K$207,2,FALSE)&lt;&gt;F29,"Asset part mismatch",IF(COUNTIFS($G$8:$G$207,G29,$C$8:$C$207,"Outbound")&lt;&gt;1,"Asset dispatched more than once","OK"))))))))))))))))</x:f>
      </x:c>
    </x:row>
    <x:row r="30" ht="22" customHeight="1">
      <x:c r="A30" s="10"/>
      <x:c r="B30" s="10"/>
      <x:c r="C30" s="10"/>
      <x:c r="D30" s="10"/>
      <x:c r="E30" s="10"/>
      <x:c r="F30" s="10"/>
      <x:c r="G30" s="10"/>
      <x:c r="H30" s="12"/>
      <x:c r="I30" s="12"/>
      <x:c r="J30" s="12"/>
      <x:c r="K30" s="11" t="str">
        <x:f>IF(A30="","",MAX(0,H30-I30-J30))</x:f>
      </x:c>
      <x:c r="L30" s="13"/>
      <x:c r="M30" s="13"/>
      <x:c r="N30" s="10"/>
      <x:c r="O30" s="10"/>
      <x:c r="P30" s="9" t="str">
        <x:f>IF(A30="","",IF(COUNTIFS('Shipments'!$A$8:$A$207,A30)&lt;&gt;1,"Duplicate shipment line",IF(OR(B30="",E30="",O30=""),"Set shipment, box and destination",IF(AND(C30&lt;&gt;"Inbound",C30&lt;&gt;"Outbound"),"Choose direction",IF(COUNTIFS('Definitions'!$A$8:$A$207,F30)&lt;&gt;1,"Unknown / duplicate part",IF(VLOOKUP(F30,'Definitions'!$A$8:$J$207,3,FALSE)&lt;&gt;"Part","Ship purchasable parts only",IF(OR(NOT(ISNUMBER(H30)),H30&lt;0,MOD(H30,1)&lt;&gt;0,NOT(ISNUMBER(I30)),I30&lt;0,MOD(I30,1)&lt;&gt;0,NOT(ISNUMBER(J30)),J30&lt;0,MOD(J30,1)&lt;&gt;0),"Invalid shipment quantities",IF(I30+J30&gt;H30,"Receipts exceed dispatch",IF(AND(H30&gt;0,NOT(ISNUMBER(L30))),"Set actual dispatch date",IF(C30="Inbound",IF(COUNTIFS('Orders'!$A$8:$A$207,D30)&lt;&gt;1,"Choose a unique order line",IF(VLOOKUP(D30,'Orders'!$A$8:$L$207,4,FALSE)&lt;&gt;F30,"Order part mismatch","OK")),IF(D30&lt;&gt;"","Clear outbound order line",IF(AND(VLOOKUP(F30,'Definitions'!$A$8:$J$207,7,FALSE)="Yes",OR(G30="",H30&lt;&gt;1)),"Serialized outbound: one asset per row",IF(G30="","OK",IF(COUNTIFS('Assets'!$A$8:$A$207,G30)&lt;&gt;1,"Unknown / duplicate asset",IF(VLOOKUP(G30,'Assets'!$A$8:$K$207,2,FALSE)&lt;&gt;F30,"Asset part mismatch",IF(COUNTIFS($G$8:$G$207,G30,$C$8:$C$207,"Outbound")&lt;&gt;1,"Asset dispatched more than once","OK"))))))))))))))))</x:f>
      </x:c>
    </x:row>
    <x:row r="31" ht="22" customHeight="1">
      <x:c r="A31" s="10"/>
      <x:c r="B31" s="10"/>
      <x:c r="C31" s="10"/>
      <x:c r="D31" s="10"/>
      <x:c r="E31" s="10"/>
      <x:c r="F31" s="10"/>
      <x:c r="G31" s="10"/>
      <x:c r="H31" s="12"/>
      <x:c r="I31" s="12"/>
      <x:c r="J31" s="12"/>
      <x:c r="K31" s="11" t="str">
        <x:f>IF(A31="","",MAX(0,H31-I31-J31))</x:f>
      </x:c>
      <x:c r="L31" s="13"/>
      <x:c r="M31" s="13"/>
      <x:c r="N31" s="10"/>
      <x:c r="O31" s="10"/>
      <x:c r="P31" s="9" t="str">
        <x:f>IF(A31="","",IF(COUNTIFS('Shipments'!$A$8:$A$207,A31)&lt;&gt;1,"Duplicate shipment line",IF(OR(B31="",E31="",O31=""),"Set shipment, box and destination",IF(AND(C31&lt;&gt;"Inbound",C31&lt;&gt;"Outbound"),"Choose direction",IF(COUNTIFS('Definitions'!$A$8:$A$207,F31)&lt;&gt;1,"Unknown / duplicate part",IF(VLOOKUP(F31,'Definitions'!$A$8:$J$207,3,FALSE)&lt;&gt;"Part","Ship purchasable parts only",IF(OR(NOT(ISNUMBER(H31)),H31&lt;0,MOD(H31,1)&lt;&gt;0,NOT(ISNUMBER(I31)),I31&lt;0,MOD(I31,1)&lt;&gt;0,NOT(ISNUMBER(J31)),J31&lt;0,MOD(J31,1)&lt;&gt;0),"Invalid shipment quantities",IF(I31+J31&gt;H31,"Receipts exceed dispatch",IF(AND(H31&gt;0,NOT(ISNUMBER(L31))),"Set actual dispatch date",IF(C31="Inbound",IF(COUNTIFS('Orders'!$A$8:$A$207,D31)&lt;&gt;1,"Choose a unique order line",IF(VLOOKUP(D31,'Orders'!$A$8:$L$207,4,FALSE)&lt;&gt;F31,"Order part mismatch","OK")),IF(D31&lt;&gt;"","Clear outbound order line",IF(AND(VLOOKUP(F31,'Definitions'!$A$8:$J$207,7,FALSE)="Yes",OR(G31="",H31&lt;&gt;1)),"Serialized outbound: one asset per row",IF(G31="","OK",IF(COUNTIFS('Assets'!$A$8:$A$207,G31)&lt;&gt;1,"Unknown / duplicate asset",IF(VLOOKUP(G31,'Assets'!$A$8:$K$207,2,FALSE)&lt;&gt;F31,"Asset part mismatch",IF(COUNTIFS($G$8:$G$207,G31,$C$8:$C$207,"Outbound")&lt;&gt;1,"Asset dispatched more than once","OK"))))))))))))))))</x:f>
      </x:c>
    </x:row>
    <x:row r="32" ht="22" customHeight="1">
      <x:c r="A32" s="10"/>
      <x:c r="B32" s="10"/>
      <x:c r="C32" s="10"/>
      <x:c r="D32" s="10"/>
      <x:c r="E32" s="10"/>
      <x:c r="F32" s="10"/>
      <x:c r="G32" s="10"/>
      <x:c r="H32" s="12"/>
      <x:c r="I32" s="12"/>
      <x:c r="J32" s="12"/>
      <x:c r="K32" s="11" t="str">
        <x:f>IF(A32="","",MAX(0,H32-I32-J32))</x:f>
      </x:c>
      <x:c r="L32" s="13"/>
      <x:c r="M32" s="13"/>
      <x:c r="N32" s="10"/>
      <x:c r="O32" s="10"/>
      <x:c r="P32" s="9" t="str">
        <x:f>IF(A32="","",IF(COUNTIFS('Shipments'!$A$8:$A$207,A32)&lt;&gt;1,"Duplicate shipment line",IF(OR(B32="",E32="",O32=""),"Set shipment, box and destination",IF(AND(C32&lt;&gt;"Inbound",C32&lt;&gt;"Outbound"),"Choose direction",IF(COUNTIFS('Definitions'!$A$8:$A$207,F32)&lt;&gt;1,"Unknown / duplicate part",IF(VLOOKUP(F32,'Definitions'!$A$8:$J$207,3,FALSE)&lt;&gt;"Part","Ship purchasable parts only",IF(OR(NOT(ISNUMBER(H32)),H32&lt;0,MOD(H32,1)&lt;&gt;0,NOT(ISNUMBER(I32)),I32&lt;0,MOD(I32,1)&lt;&gt;0,NOT(ISNUMBER(J32)),J32&lt;0,MOD(J32,1)&lt;&gt;0),"Invalid shipment quantities",IF(I32+J32&gt;H32,"Receipts exceed dispatch",IF(AND(H32&gt;0,NOT(ISNUMBER(L32))),"Set actual dispatch date",IF(C32="Inbound",IF(COUNTIFS('Orders'!$A$8:$A$207,D32)&lt;&gt;1,"Choose a unique order line",IF(VLOOKUP(D32,'Orders'!$A$8:$L$207,4,FALSE)&lt;&gt;F32,"Order part mismatch","OK")),IF(D32&lt;&gt;"","Clear outbound order line",IF(AND(VLOOKUP(F32,'Definitions'!$A$8:$J$207,7,FALSE)="Yes",OR(G32="",H32&lt;&gt;1)),"Serialized outbound: one asset per row",IF(G32="","OK",IF(COUNTIFS('Assets'!$A$8:$A$207,G32)&lt;&gt;1,"Unknown / duplicate asset",IF(VLOOKUP(G32,'Assets'!$A$8:$K$207,2,FALSE)&lt;&gt;F32,"Asset part mismatch",IF(COUNTIFS($G$8:$G$207,G32,$C$8:$C$207,"Outbound")&lt;&gt;1,"Asset dispatched more than once","OK"))))))))))))))))</x:f>
      </x:c>
    </x:row>
    <x:row r="33" ht="22" customHeight="1">
      <x:c r="A33" s="10"/>
      <x:c r="B33" s="10"/>
      <x:c r="C33" s="10"/>
      <x:c r="D33" s="10"/>
      <x:c r="E33" s="10"/>
      <x:c r="F33" s="10"/>
      <x:c r="G33" s="10"/>
      <x:c r="H33" s="12"/>
      <x:c r="I33" s="12"/>
      <x:c r="J33" s="12"/>
      <x:c r="K33" s="11" t="str">
        <x:f>IF(A33="","",MAX(0,H33-I33-J33))</x:f>
      </x:c>
      <x:c r="L33" s="13"/>
      <x:c r="M33" s="13"/>
      <x:c r="N33" s="10"/>
      <x:c r="O33" s="10"/>
      <x:c r="P33" s="9" t="str">
        <x:f>IF(A33="","",IF(COUNTIFS('Shipments'!$A$8:$A$207,A33)&lt;&gt;1,"Duplicate shipment line",IF(OR(B33="",E33="",O33=""),"Set shipment, box and destination",IF(AND(C33&lt;&gt;"Inbound",C33&lt;&gt;"Outbound"),"Choose direction",IF(COUNTIFS('Definitions'!$A$8:$A$207,F33)&lt;&gt;1,"Unknown / duplicate part",IF(VLOOKUP(F33,'Definitions'!$A$8:$J$207,3,FALSE)&lt;&gt;"Part","Ship purchasable parts only",IF(OR(NOT(ISNUMBER(H33)),H33&lt;0,MOD(H33,1)&lt;&gt;0,NOT(ISNUMBER(I33)),I33&lt;0,MOD(I33,1)&lt;&gt;0,NOT(ISNUMBER(J33)),J33&lt;0,MOD(J33,1)&lt;&gt;0),"Invalid shipment quantities",IF(I33+J33&gt;H33,"Receipts exceed dispatch",IF(AND(H33&gt;0,NOT(ISNUMBER(L33))),"Set actual dispatch date",IF(C33="Inbound",IF(COUNTIFS('Orders'!$A$8:$A$207,D33)&lt;&gt;1,"Choose a unique order line",IF(VLOOKUP(D33,'Orders'!$A$8:$L$207,4,FALSE)&lt;&gt;F33,"Order part mismatch","OK")),IF(D33&lt;&gt;"","Clear outbound order line",IF(AND(VLOOKUP(F33,'Definitions'!$A$8:$J$207,7,FALSE)="Yes",OR(G33="",H33&lt;&gt;1)),"Serialized outbound: one asset per row",IF(G33="","OK",IF(COUNTIFS('Assets'!$A$8:$A$207,G33)&lt;&gt;1,"Unknown / duplicate asset",IF(VLOOKUP(G33,'Assets'!$A$8:$K$207,2,FALSE)&lt;&gt;F33,"Asset part mismatch",IF(COUNTIFS($G$8:$G$207,G33,$C$8:$C$207,"Outbound")&lt;&gt;1,"Asset dispatched more than once","OK"))))))))))))))))</x:f>
      </x:c>
    </x:row>
    <x:row r="34" ht="22" customHeight="1">
      <x:c r="A34" s="10"/>
      <x:c r="B34" s="10"/>
      <x:c r="C34" s="10"/>
      <x:c r="D34" s="10"/>
      <x:c r="E34" s="10"/>
      <x:c r="F34" s="10"/>
      <x:c r="G34" s="10"/>
      <x:c r="H34" s="12"/>
      <x:c r="I34" s="12"/>
      <x:c r="J34" s="12"/>
      <x:c r="K34" s="11" t="str">
        <x:f>IF(A34="","",MAX(0,H34-I34-J34))</x:f>
      </x:c>
      <x:c r="L34" s="13"/>
      <x:c r="M34" s="13"/>
      <x:c r="N34" s="10"/>
      <x:c r="O34" s="10"/>
      <x:c r="P34" s="9" t="str">
        <x:f>IF(A34="","",IF(COUNTIFS('Shipments'!$A$8:$A$207,A34)&lt;&gt;1,"Duplicate shipment line",IF(OR(B34="",E34="",O34=""),"Set shipment, box and destination",IF(AND(C34&lt;&gt;"Inbound",C34&lt;&gt;"Outbound"),"Choose direction",IF(COUNTIFS('Definitions'!$A$8:$A$207,F34)&lt;&gt;1,"Unknown / duplicate part",IF(VLOOKUP(F34,'Definitions'!$A$8:$J$207,3,FALSE)&lt;&gt;"Part","Ship purchasable parts only",IF(OR(NOT(ISNUMBER(H34)),H34&lt;0,MOD(H34,1)&lt;&gt;0,NOT(ISNUMBER(I34)),I34&lt;0,MOD(I34,1)&lt;&gt;0,NOT(ISNUMBER(J34)),J34&lt;0,MOD(J34,1)&lt;&gt;0),"Invalid shipment quantities",IF(I34+J34&gt;H34,"Receipts exceed dispatch",IF(AND(H34&gt;0,NOT(ISNUMBER(L34))),"Set actual dispatch date",IF(C34="Inbound",IF(COUNTIFS('Orders'!$A$8:$A$207,D34)&lt;&gt;1,"Choose a unique order line",IF(VLOOKUP(D34,'Orders'!$A$8:$L$207,4,FALSE)&lt;&gt;F34,"Order part mismatch","OK")),IF(D34&lt;&gt;"","Clear outbound order line",IF(AND(VLOOKUP(F34,'Definitions'!$A$8:$J$207,7,FALSE)="Yes",OR(G34="",H34&lt;&gt;1)),"Serialized outbound: one asset per row",IF(G34="","OK",IF(COUNTIFS('Assets'!$A$8:$A$207,G34)&lt;&gt;1,"Unknown / duplicate asset",IF(VLOOKUP(G34,'Assets'!$A$8:$K$207,2,FALSE)&lt;&gt;F34,"Asset part mismatch",IF(COUNTIFS($G$8:$G$207,G34,$C$8:$C$207,"Outbound")&lt;&gt;1,"Asset dispatched more than once","OK"))))))))))))))))</x:f>
      </x:c>
    </x:row>
    <x:row r="35" ht="22" customHeight="1">
      <x:c r="A35" s="10"/>
      <x:c r="B35" s="10"/>
      <x:c r="C35" s="10"/>
      <x:c r="D35" s="10"/>
      <x:c r="E35" s="10"/>
      <x:c r="F35" s="10"/>
      <x:c r="G35" s="10"/>
      <x:c r="H35" s="12"/>
      <x:c r="I35" s="12"/>
      <x:c r="J35" s="12"/>
      <x:c r="K35" s="11" t="str">
        <x:f>IF(A35="","",MAX(0,H35-I35-J35))</x:f>
      </x:c>
      <x:c r="L35" s="13"/>
      <x:c r="M35" s="13"/>
      <x:c r="N35" s="10"/>
      <x:c r="O35" s="10"/>
      <x:c r="P35" s="9" t="str">
        <x:f>IF(A35="","",IF(COUNTIFS('Shipments'!$A$8:$A$207,A35)&lt;&gt;1,"Duplicate shipment line",IF(OR(B35="",E35="",O35=""),"Set shipment, box and destination",IF(AND(C35&lt;&gt;"Inbound",C35&lt;&gt;"Outbound"),"Choose direction",IF(COUNTIFS('Definitions'!$A$8:$A$207,F35)&lt;&gt;1,"Unknown / duplicate part",IF(VLOOKUP(F35,'Definitions'!$A$8:$J$207,3,FALSE)&lt;&gt;"Part","Ship purchasable parts only",IF(OR(NOT(ISNUMBER(H35)),H35&lt;0,MOD(H35,1)&lt;&gt;0,NOT(ISNUMBER(I35)),I35&lt;0,MOD(I35,1)&lt;&gt;0,NOT(ISNUMBER(J35)),J35&lt;0,MOD(J35,1)&lt;&gt;0),"Invalid shipment quantities",IF(I35+J35&gt;H35,"Receipts exceed dispatch",IF(AND(H35&gt;0,NOT(ISNUMBER(L35))),"Set actual dispatch date",IF(C35="Inbound",IF(COUNTIFS('Orders'!$A$8:$A$207,D35)&lt;&gt;1,"Choose a unique order line",IF(VLOOKUP(D35,'Orders'!$A$8:$L$207,4,FALSE)&lt;&gt;F35,"Order part mismatch","OK")),IF(D35&lt;&gt;"","Clear outbound order line",IF(AND(VLOOKUP(F35,'Definitions'!$A$8:$J$207,7,FALSE)="Yes",OR(G35="",H35&lt;&gt;1)),"Serialized outbound: one asset per row",IF(G35="","OK",IF(COUNTIFS('Assets'!$A$8:$A$207,G35)&lt;&gt;1,"Unknown / duplicate asset",IF(VLOOKUP(G35,'Assets'!$A$8:$K$207,2,FALSE)&lt;&gt;F35,"Asset part mismatch",IF(COUNTIFS($G$8:$G$207,G35,$C$8:$C$207,"Outbound")&lt;&gt;1,"Asset dispatched more than once","OK"))))))))))))))))</x:f>
      </x:c>
    </x:row>
    <x:row r="36" ht="22" customHeight="1">
      <x:c r="A36" s="10"/>
      <x:c r="B36" s="10"/>
      <x:c r="C36" s="10"/>
      <x:c r="D36" s="10"/>
      <x:c r="E36" s="10"/>
      <x:c r="F36" s="10"/>
      <x:c r="G36" s="10"/>
      <x:c r="H36" s="12"/>
      <x:c r="I36" s="12"/>
      <x:c r="J36" s="12"/>
      <x:c r="K36" s="11" t="str">
        <x:f>IF(A36="","",MAX(0,H36-I36-J36))</x:f>
      </x:c>
      <x:c r="L36" s="13"/>
      <x:c r="M36" s="13"/>
      <x:c r="N36" s="10"/>
      <x:c r="O36" s="10"/>
      <x:c r="P36" s="9" t="str">
        <x:f>IF(A36="","",IF(COUNTIFS('Shipments'!$A$8:$A$207,A36)&lt;&gt;1,"Duplicate shipment line",IF(OR(B36="",E36="",O36=""),"Set shipment, box and destination",IF(AND(C36&lt;&gt;"Inbound",C36&lt;&gt;"Outbound"),"Choose direction",IF(COUNTIFS('Definitions'!$A$8:$A$207,F36)&lt;&gt;1,"Unknown / duplicate part",IF(VLOOKUP(F36,'Definitions'!$A$8:$J$207,3,FALSE)&lt;&gt;"Part","Ship purchasable parts only",IF(OR(NOT(ISNUMBER(H36)),H36&lt;0,MOD(H36,1)&lt;&gt;0,NOT(ISNUMBER(I36)),I36&lt;0,MOD(I36,1)&lt;&gt;0,NOT(ISNUMBER(J36)),J36&lt;0,MOD(J36,1)&lt;&gt;0),"Invalid shipment quantities",IF(I36+J36&gt;H36,"Receipts exceed dispatch",IF(AND(H36&gt;0,NOT(ISNUMBER(L36))),"Set actual dispatch date",IF(C36="Inbound",IF(COUNTIFS('Orders'!$A$8:$A$207,D36)&lt;&gt;1,"Choose a unique order line",IF(VLOOKUP(D36,'Orders'!$A$8:$L$207,4,FALSE)&lt;&gt;F36,"Order part mismatch","OK")),IF(D36&lt;&gt;"","Clear outbound order line",IF(AND(VLOOKUP(F36,'Definitions'!$A$8:$J$207,7,FALSE)="Yes",OR(G36="",H36&lt;&gt;1)),"Serialized outbound: one asset per row",IF(G36="","OK",IF(COUNTIFS('Assets'!$A$8:$A$207,G36)&lt;&gt;1,"Unknown / duplicate asset",IF(VLOOKUP(G36,'Assets'!$A$8:$K$207,2,FALSE)&lt;&gt;F36,"Asset part mismatch",IF(COUNTIFS($G$8:$G$207,G36,$C$8:$C$207,"Outbound")&lt;&gt;1,"Asset dispatched more than once","OK"))))))))))))))))</x:f>
      </x:c>
    </x:row>
    <x:row r="37" ht="22" customHeight="1">
      <x:c r="A37" s="10"/>
      <x:c r="B37" s="10"/>
      <x:c r="C37" s="10"/>
      <x:c r="D37" s="10"/>
      <x:c r="E37" s="10"/>
      <x:c r="F37" s="10"/>
      <x:c r="G37" s="10"/>
      <x:c r="H37" s="12"/>
      <x:c r="I37" s="12"/>
      <x:c r="J37" s="12"/>
      <x:c r="K37" s="11" t="str">
        <x:f>IF(A37="","",MAX(0,H37-I37-J37))</x:f>
      </x:c>
      <x:c r="L37" s="13"/>
      <x:c r="M37" s="13"/>
      <x:c r="N37" s="10"/>
      <x:c r="O37" s="10"/>
      <x:c r="P37" s="9" t="str">
        <x:f>IF(A37="","",IF(COUNTIFS('Shipments'!$A$8:$A$207,A37)&lt;&gt;1,"Duplicate shipment line",IF(OR(B37="",E37="",O37=""),"Set shipment, box and destination",IF(AND(C37&lt;&gt;"Inbound",C37&lt;&gt;"Outbound"),"Choose direction",IF(COUNTIFS('Definitions'!$A$8:$A$207,F37)&lt;&gt;1,"Unknown / duplicate part",IF(VLOOKUP(F37,'Definitions'!$A$8:$J$207,3,FALSE)&lt;&gt;"Part","Ship purchasable parts only",IF(OR(NOT(ISNUMBER(H37)),H37&lt;0,MOD(H37,1)&lt;&gt;0,NOT(ISNUMBER(I37)),I37&lt;0,MOD(I37,1)&lt;&gt;0,NOT(ISNUMBER(J37)),J37&lt;0,MOD(J37,1)&lt;&gt;0),"Invalid shipment quantities",IF(I37+J37&gt;H37,"Receipts exceed dispatch",IF(AND(H37&gt;0,NOT(ISNUMBER(L37))),"Set actual dispatch date",IF(C37="Inbound",IF(COUNTIFS('Orders'!$A$8:$A$207,D37)&lt;&gt;1,"Choose a unique order line",IF(VLOOKUP(D37,'Orders'!$A$8:$L$207,4,FALSE)&lt;&gt;F37,"Order part mismatch","OK")),IF(D37&lt;&gt;"","Clear outbound order line",IF(AND(VLOOKUP(F37,'Definitions'!$A$8:$J$207,7,FALSE)="Yes",OR(G37="",H37&lt;&gt;1)),"Serialized outbound: one asset per row",IF(G37="","OK",IF(COUNTIFS('Assets'!$A$8:$A$207,G37)&lt;&gt;1,"Unknown / duplicate asset",IF(VLOOKUP(G37,'Assets'!$A$8:$K$207,2,FALSE)&lt;&gt;F37,"Asset part mismatch",IF(COUNTIFS($G$8:$G$207,G37,$C$8:$C$207,"Outbound")&lt;&gt;1,"Asset dispatched more than once","OK"))))))))))))))))</x:f>
      </x:c>
    </x:row>
    <x:row r="38" ht="22" customHeight="1">
      <x:c r="A38" s="10"/>
      <x:c r="B38" s="10"/>
      <x:c r="C38" s="10"/>
      <x:c r="D38" s="10"/>
      <x:c r="E38" s="10"/>
      <x:c r="F38" s="10"/>
      <x:c r="G38" s="10"/>
      <x:c r="H38" s="12"/>
      <x:c r="I38" s="12"/>
      <x:c r="J38" s="12"/>
      <x:c r="K38" s="11" t="str">
        <x:f>IF(A38="","",MAX(0,H38-I38-J38))</x:f>
      </x:c>
      <x:c r="L38" s="13"/>
      <x:c r="M38" s="13"/>
      <x:c r="N38" s="10"/>
      <x:c r="O38" s="10"/>
      <x:c r="P38" s="9" t="str">
        <x:f>IF(A38="","",IF(COUNTIFS('Shipments'!$A$8:$A$207,A38)&lt;&gt;1,"Duplicate shipment line",IF(OR(B38="",E38="",O38=""),"Set shipment, box and destination",IF(AND(C38&lt;&gt;"Inbound",C38&lt;&gt;"Outbound"),"Choose direction",IF(COUNTIFS('Definitions'!$A$8:$A$207,F38)&lt;&gt;1,"Unknown / duplicate part",IF(VLOOKUP(F38,'Definitions'!$A$8:$J$207,3,FALSE)&lt;&gt;"Part","Ship purchasable parts only",IF(OR(NOT(ISNUMBER(H38)),H38&lt;0,MOD(H38,1)&lt;&gt;0,NOT(ISNUMBER(I38)),I38&lt;0,MOD(I38,1)&lt;&gt;0,NOT(ISNUMBER(J38)),J38&lt;0,MOD(J38,1)&lt;&gt;0),"Invalid shipment quantities",IF(I38+J38&gt;H38,"Receipts exceed dispatch",IF(AND(H38&gt;0,NOT(ISNUMBER(L38))),"Set actual dispatch date",IF(C38="Inbound",IF(COUNTIFS('Orders'!$A$8:$A$207,D38)&lt;&gt;1,"Choose a unique order line",IF(VLOOKUP(D38,'Orders'!$A$8:$L$207,4,FALSE)&lt;&gt;F38,"Order part mismatch","OK")),IF(D38&lt;&gt;"","Clear outbound order line",IF(AND(VLOOKUP(F38,'Definitions'!$A$8:$J$207,7,FALSE)="Yes",OR(G38="",H38&lt;&gt;1)),"Serialized outbound: one asset per row",IF(G38="","OK",IF(COUNTIFS('Assets'!$A$8:$A$207,G38)&lt;&gt;1,"Unknown / duplicate asset",IF(VLOOKUP(G38,'Assets'!$A$8:$K$207,2,FALSE)&lt;&gt;F38,"Asset part mismatch",IF(COUNTIFS($G$8:$G$207,G38,$C$8:$C$207,"Outbound")&lt;&gt;1,"Asset dispatched more than once","OK"))))))))))))))))</x:f>
      </x:c>
    </x:row>
    <x:row r="39" ht="22" customHeight="1">
      <x:c r="A39" s="10"/>
      <x:c r="B39" s="10"/>
      <x:c r="C39" s="10"/>
      <x:c r="D39" s="10"/>
      <x:c r="E39" s="10"/>
      <x:c r="F39" s="10"/>
      <x:c r="G39" s="10"/>
      <x:c r="H39" s="12"/>
      <x:c r="I39" s="12"/>
      <x:c r="J39" s="12"/>
      <x:c r="K39" s="11" t="str">
        <x:f>IF(A39="","",MAX(0,H39-I39-J39))</x:f>
      </x:c>
      <x:c r="L39" s="13"/>
      <x:c r="M39" s="13"/>
      <x:c r="N39" s="10"/>
      <x:c r="O39" s="10"/>
      <x:c r="P39" s="9" t="str">
        <x:f>IF(A39="","",IF(COUNTIFS('Shipments'!$A$8:$A$207,A39)&lt;&gt;1,"Duplicate shipment line",IF(OR(B39="",E39="",O39=""),"Set shipment, box and destination",IF(AND(C39&lt;&gt;"Inbound",C39&lt;&gt;"Outbound"),"Choose direction",IF(COUNTIFS('Definitions'!$A$8:$A$207,F39)&lt;&gt;1,"Unknown / duplicate part",IF(VLOOKUP(F39,'Definitions'!$A$8:$J$207,3,FALSE)&lt;&gt;"Part","Ship purchasable parts only",IF(OR(NOT(ISNUMBER(H39)),H39&lt;0,MOD(H39,1)&lt;&gt;0,NOT(ISNUMBER(I39)),I39&lt;0,MOD(I39,1)&lt;&gt;0,NOT(ISNUMBER(J39)),J39&lt;0,MOD(J39,1)&lt;&gt;0),"Invalid shipment quantities",IF(I39+J39&gt;H39,"Receipts exceed dispatch",IF(AND(H39&gt;0,NOT(ISNUMBER(L39))),"Set actual dispatch date",IF(C39="Inbound",IF(COUNTIFS('Orders'!$A$8:$A$207,D39)&lt;&gt;1,"Choose a unique order line",IF(VLOOKUP(D39,'Orders'!$A$8:$L$207,4,FALSE)&lt;&gt;F39,"Order part mismatch","OK")),IF(D39&lt;&gt;"","Clear outbound order line",IF(AND(VLOOKUP(F39,'Definitions'!$A$8:$J$207,7,FALSE)="Yes",OR(G39="",H39&lt;&gt;1)),"Serialized outbound: one asset per row",IF(G39="","OK",IF(COUNTIFS('Assets'!$A$8:$A$207,G39)&lt;&gt;1,"Unknown / duplicate asset",IF(VLOOKUP(G39,'Assets'!$A$8:$K$207,2,FALSE)&lt;&gt;F39,"Asset part mismatch",IF(COUNTIFS($G$8:$G$207,G39,$C$8:$C$207,"Outbound")&lt;&gt;1,"Asset dispatched more than once","OK"))))))))))))))))</x:f>
      </x:c>
    </x:row>
    <x:row r="40" ht="22" customHeight="1">
      <x:c r="A40" s="10"/>
      <x:c r="B40" s="10"/>
      <x:c r="C40" s="10"/>
      <x:c r="D40" s="10"/>
      <x:c r="E40" s="10"/>
      <x:c r="F40" s="10"/>
      <x:c r="G40" s="10"/>
      <x:c r="H40" s="12"/>
      <x:c r="I40" s="12"/>
      <x:c r="J40" s="12"/>
      <x:c r="K40" s="11" t="str">
        <x:f>IF(A40="","",MAX(0,H40-I40-J40))</x:f>
      </x:c>
      <x:c r="L40" s="13"/>
      <x:c r="M40" s="13"/>
      <x:c r="N40" s="10"/>
      <x:c r="O40" s="10"/>
      <x:c r="P40" s="9" t="str">
        <x:f>IF(A40="","",IF(COUNTIFS('Shipments'!$A$8:$A$207,A40)&lt;&gt;1,"Duplicate shipment line",IF(OR(B40="",E40="",O40=""),"Set shipment, box and destination",IF(AND(C40&lt;&gt;"Inbound",C40&lt;&gt;"Outbound"),"Choose direction",IF(COUNTIFS('Definitions'!$A$8:$A$207,F40)&lt;&gt;1,"Unknown / duplicate part",IF(VLOOKUP(F40,'Definitions'!$A$8:$J$207,3,FALSE)&lt;&gt;"Part","Ship purchasable parts only",IF(OR(NOT(ISNUMBER(H40)),H40&lt;0,MOD(H40,1)&lt;&gt;0,NOT(ISNUMBER(I40)),I40&lt;0,MOD(I40,1)&lt;&gt;0,NOT(ISNUMBER(J40)),J40&lt;0,MOD(J40,1)&lt;&gt;0),"Invalid shipment quantities",IF(I40+J40&gt;H40,"Receipts exceed dispatch",IF(AND(H40&gt;0,NOT(ISNUMBER(L40))),"Set actual dispatch date",IF(C40="Inbound",IF(COUNTIFS('Orders'!$A$8:$A$207,D40)&lt;&gt;1,"Choose a unique order line",IF(VLOOKUP(D40,'Orders'!$A$8:$L$207,4,FALSE)&lt;&gt;F40,"Order part mismatch","OK")),IF(D40&lt;&gt;"","Clear outbound order line",IF(AND(VLOOKUP(F40,'Definitions'!$A$8:$J$207,7,FALSE)="Yes",OR(G40="",H40&lt;&gt;1)),"Serialized outbound: one asset per row",IF(G40="","OK",IF(COUNTIFS('Assets'!$A$8:$A$207,G40)&lt;&gt;1,"Unknown / duplicate asset",IF(VLOOKUP(G40,'Assets'!$A$8:$K$207,2,FALSE)&lt;&gt;F40,"Asset part mismatch",IF(COUNTIFS($G$8:$G$207,G40,$C$8:$C$207,"Outbound")&lt;&gt;1,"Asset dispatched more than once","OK"))))))))))))))))</x:f>
      </x:c>
    </x:row>
    <x:row r="41" ht="22" customHeight="1">
      <x:c r="A41" s="10"/>
      <x:c r="B41" s="10"/>
      <x:c r="C41" s="10"/>
      <x:c r="D41" s="10"/>
      <x:c r="E41" s="10"/>
      <x:c r="F41" s="10"/>
      <x:c r="G41" s="10"/>
      <x:c r="H41" s="12"/>
      <x:c r="I41" s="12"/>
      <x:c r="J41" s="12"/>
      <x:c r="K41" s="11" t="str">
        <x:f>IF(A41="","",MAX(0,H41-I41-J41))</x:f>
      </x:c>
      <x:c r="L41" s="13"/>
      <x:c r="M41" s="13"/>
      <x:c r="N41" s="10"/>
      <x:c r="O41" s="10"/>
      <x:c r="P41" s="9" t="str">
        <x:f>IF(A41="","",IF(COUNTIFS('Shipments'!$A$8:$A$207,A41)&lt;&gt;1,"Duplicate shipment line",IF(OR(B41="",E41="",O41=""),"Set shipment, box and destination",IF(AND(C41&lt;&gt;"Inbound",C41&lt;&gt;"Outbound"),"Choose direction",IF(COUNTIFS('Definitions'!$A$8:$A$207,F41)&lt;&gt;1,"Unknown / duplicate part",IF(VLOOKUP(F41,'Definitions'!$A$8:$J$207,3,FALSE)&lt;&gt;"Part","Ship purchasable parts only",IF(OR(NOT(ISNUMBER(H41)),H41&lt;0,MOD(H41,1)&lt;&gt;0,NOT(ISNUMBER(I41)),I41&lt;0,MOD(I41,1)&lt;&gt;0,NOT(ISNUMBER(J41)),J41&lt;0,MOD(J41,1)&lt;&gt;0),"Invalid shipment quantities",IF(I41+J41&gt;H41,"Receipts exceed dispatch",IF(AND(H41&gt;0,NOT(ISNUMBER(L41))),"Set actual dispatch date",IF(C41="Inbound",IF(COUNTIFS('Orders'!$A$8:$A$207,D41)&lt;&gt;1,"Choose a unique order line",IF(VLOOKUP(D41,'Orders'!$A$8:$L$207,4,FALSE)&lt;&gt;F41,"Order part mismatch","OK")),IF(D41&lt;&gt;"","Clear outbound order line",IF(AND(VLOOKUP(F41,'Definitions'!$A$8:$J$207,7,FALSE)="Yes",OR(G41="",H41&lt;&gt;1)),"Serialized outbound: one asset per row",IF(G41="","OK",IF(COUNTIFS('Assets'!$A$8:$A$207,G41)&lt;&gt;1,"Unknown / duplicate asset",IF(VLOOKUP(G41,'Assets'!$A$8:$K$207,2,FALSE)&lt;&gt;F41,"Asset part mismatch",IF(COUNTIFS($G$8:$G$207,G41,$C$8:$C$207,"Outbound")&lt;&gt;1,"Asset dispatched more than once","OK"))))))))))))))))</x:f>
      </x:c>
    </x:row>
    <x:row r="42" ht="22" customHeight="1">
      <x:c r="A42" s="10"/>
      <x:c r="B42" s="10"/>
      <x:c r="C42" s="10"/>
      <x:c r="D42" s="10"/>
      <x:c r="E42" s="10"/>
      <x:c r="F42" s="10"/>
      <x:c r="G42" s="10"/>
      <x:c r="H42" s="12"/>
      <x:c r="I42" s="12"/>
      <x:c r="J42" s="12"/>
      <x:c r="K42" s="11" t="str">
        <x:f>IF(A42="","",MAX(0,H42-I42-J42))</x:f>
      </x:c>
      <x:c r="L42" s="13"/>
      <x:c r="M42" s="13"/>
      <x:c r="N42" s="10"/>
      <x:c r="O42" s="10"/>
      <x:c r="P42" s="9" t="str">
        <x:f>IF(A42="","",IF(COUNTIFS('Shipments'!$A$8:$A$207,A42)&lt;&gt;1,"Duplicate shipment line",IF(OR(B42="",E42="",O42=""),"Set shipment, box and destination",IF(AND(C42&lt;&gt;"Inbound",C42&lt;&gt;"Outbound"),"Choose direction",IF(COUNTIFS('Definitions'!$A$8:$A$207,F42)&lt;&gt;1,"Unknown / duplicate part",IF(VLOOKUP(F42,'Definitions'!$A$8:$J$207,3,FALSE)&lt;&gt;"Part","Ship purchasable parts only",IF(OR(NOT(ISNUMBER(H42)),H42&lt;0,MOD(H42,1)&lt;&gt;0,NOT(ISNUMBER(I42)),I42&lt;0,MOD(I42,1)&lt;&gt;0,NOT(ISNUMBER(J42)),J42&lt;0,MOD(J42,1)&lt;&gt;0),"Invalid shipment quantities",IF(I42+J42&gt;H42,"Receipts exceed dispatch",IF(AND(H42&gt;0,NOT(ISNUMBER(L42))),"Set actual dispatch date",IF(C42="Inbound",IF(COUNTIFS('Orders'!$A$8:$A$207,D42)&lt;&gt;1,"Choose a unique order line",IF(VLOOKUP(D42,'Orders'!$A$8:$L$207,4,FALSE)&lt;&gt;F42,"Order part mismatch","OK")),IF(D42&lt;&gt;"","Clear outbound order line",IF(AND(VLOOKUP(F42,'Definitions'!$A$8:$J$207,7,FALSE)="Yes",OR(G42="",H42&lt;&gt;1)),"Serialized outbound: one asset per row",IF(G42="","OK",IF(COUNTIFS('Assets'!$A$8:$A$207,G42)&lt;&gt;1,"Unknown / duplicate asset",IF(VLOOKUP(G42,'Assets'!$A$8:$K$207,2,FALSE)&lt;&gt;F42,"Asset part mismatch",IF(COUNTIFS($G$8:$G$207,G42,$C$8:$C$207,"Outbound")&lt;&gt;1,"Asset dispatched more than once","OK"))))))))))))))))</x:f>
      </x:c>
    </x:row>
    <x:row r="43" ht="22" customHeight="1">
      <x:c r="A43" s="10"/>
      <x:c r="B43" s="10"/>
      <x:c r="C43" s="10"/>
      <x:c r="D43" s="10"/>
      <x:c r="E43" s="10"/>
      <x:c r="F43" s="10"/>
      <x:c r="G43" s="10"/>
      <x:c r="H43" s="12"/>
      <x:c r="I43" s="12"/>
      <x:c r="J43" s="12"/>
      <x:c r="K43" s="11" t="str">
        <x:f>IF(A43="","",MAX(0,H43-I43-J43))</x:f>
      </x:c>
      <x:c r="L43" s="13"/>
      <x:c r="M43" s="13"/>
      <x:c r="N43" s="10"/>
      <x:c r="O43" s="10"/>
      <x:c r="P43" s="9" t="str">
        <x:f>IF(A43="","",IF(COUNTIFS('Shipments'!$A$8:$A$207,A43)&lt;&gt;1,"Duplicate shipment line",IF(OR(B43="",E43="",O43=""),"Set shipment, box and destination",IF(AND(C43&lt;&gt;"Inbound",C43&lt;&gt;"Outbound"),"Choose direction",IF(COUNTIFS('Definitions'!$A$8:$A$207,F43)&lt;&gt;1,"Unknown / duplicate part",IF(VLOOKUP(F43,'Definitions'!$A$8:$J$207,3,FALSE)&lt;&gt;"Part","Ship purchasable parts only",IF(OR(NOT(ISNUMBER(H43)),H43&lt;0,MOD(H43,1)&lt;&gt;0,NOT(ISNUMBER(I43)),I43&lt;0,MOD(I43,1)&lt;&gt;0,NOT(ISNUMBER(J43)),J43&lt;0,MOD(J43,1)&lt;&gt;0),"Invalid shipment quantities",IF(I43+J43&gt;H43,"Receipts exceed dispatch",IF(AND(H43&gt;0,NOT(ISNUMBER(L43))),"Set actual dispatch date",IF(C43="Inbound",IF(COUNTIFS('Orders'!$A$8:$A$207,D43)&lt;&gt;1,"Choose a unique order line",IF(VLOOKUP(D43,'Orders'!$A$8:$L$207,4,FALSE)&lt;&gt;F43,"Order part mismatch","OK")),IF(D43&lt;&gt;"","Clear outbound order line",IF(AND(VLOOKUP(F43,'Definitions'!$A$8:$J$207,7,FALSE)="Yes",OR(G43="",H43&lt;&gt;1)),"Serialized outbound: one asset per row",IF(G43="","OK",IF(COUNTIFS('Assets'!$A$8:$A$207,G43)&lt;&gt;1,"Unknown / duplicate asset",IF(VLOOKUP(G43,'Assets'!$A$8:$K$207,2,FALSE)&lt;&gt;F43,"Asset part mismatch",IF(COUNTIFS($G$8:$G$207,G43,$C$8:$C$207,"Outbound")&lt;&gt;1,"Asset dispatched more than once","OK"))))))))))))))))</x:f>
      </x:c>
    </x:row>
    <x:row r="44" ht="22" customHeight="1">
      <x:c r="A44" s="10"/>
      <x:c r="B44" s="10"/>
      <x:c r="C44" s="10"/>
      <x:c r="D44" s="10"/>
      <x:c r="E44" s="10"/>
      <x:c r="F44" s="10"/>
      <x:c r="G44" s="10"/>
      <x:c r="H44" s="12"/>
      <x:c r="I44" s="12"/>
      <x:c r="J44" s="12"/>
      <x:c r="K44" s="11" t="str">
        <x:f>IF(A44="","",MAX(0,H44-I44-J44))</x:f>
      </x:c>
      <x:c r="L44" s="13"/>
      <x:c r="M44" s="13"/>
      <x:c r="N44" s="10"/>
      <x:c r="O44" s="10"/>
      <x:c r="P44" s="9" t="str">
        <x:f>IF(A44="","",IF(COUNTIFS('Shipments'!$A$8:$A$207,A44)&lt;&gt;1,"Duplicate shipment line",IF(OR(B44="",E44="",O44=""),"Set shipment, box and destination",IF(AND(C44&lt;&gt;"Inbound",C44&lt;&gt;"Outbound"),"Choose direction",IF(COUNTIFS('Definitions'!$A$8:$A$207,F44)&lt;&gt;1,"Unknown / duplicate part",IF(VLOOKUP(F44,'Definitions'!$A$8:$J$207,3,FALSE)&lt;&gt;"Part","Ship purchasable parts only",IF(OR(NOT(ISNUMBER(H44)),H44&lt;0,MOD(H44,1)&lt;&gt;0,NOT(ISNUMBER(I44)),I44&lt;0,MOD(I44,1)&lt;&gt;0,NOT(ISNUMBER(J44)),J44&lt;0,MOD(J44,1)&lt;&gt;0),"Invalid shipment quantities",IF(I44+J44&gt;H44,"Receipts exceed dispatch",IF(AND(H44&gt;0,NOT(ISNUMBER(L44))),"Set actual dispatch date",IF(C44="Inbound",IF(COUNTIFS('Orders'!$A$8:$A$207,D44)&lt;&gt;1,"Choose a unique order line",IF(VLOOKUP(D44,'Orders'!$A$8:$L$207,4,FALSE)&lt;&gt;F44,"Order part mismatch","OK")),IF(D44&lt;&gt;"","Clear outbound order line",IF(AND(VLOOKUP(F44,'Definitions'!$A$8:$J$207,7,FALSE)="Yes",OR(G44="",H44&lt;&gt;1)),"Serialized outbound: one asset per row",IF(G44="","OK",IF(COUNTIFS('Assets'!$A$8:$A$207,G44)&lt;&gt;1,"Unknown / duplicate asset",IF(VLOOKUP(G44,'Assets'!$A$8:$K$207,2,FALSE)&lt;&gt;F44,"Asset part mismatch",IF(COUNTIFS($G$8:$G$207,G44,$C$8:$C$207,"Outbound")&lt;&gt;1,"Asset dispatched more than once","OK"))))))))))))))))</x:f>
      </x:c>
    </x:row>
    <x:row r="45" ht="22" customHeight="1">
      <x:c r="A45" s="10"/>
      <x:c r="B45" s="10"/>
      <x:c r="C45" s="10"/>
      <x:c r="D45" s="10"/>
      <x:c r="E45" s="10"/>
      <x:c r="F45" s="10"/>
      <x:c r="G45" s="10"/>
      <x:c r="H45" s="12"/>
      <x:c r="I45" s="12"/>
      <x:c r="J45" s="12"/>
      <x:c r="K45" s="11" t="str">
        <x:f>IF(A45="","",MAX(0,H45-I45-J45))</x:f>
      </x:c>
      <x:c r="L45" s="13"/>
      <x:c r="M45" s="13"/>
      <x:c r="N45" s="10"/>
      <x:c r="O45" s="10"/>
      <x:c r="P45" s="9" t="str">
        <x:f>IF(A45="","",IF(COUNTIFS('Shipments'!$A$8:$A$207,A45)&lt;&gt;1,"Duplicate shipment line",IF(OR(B45="",E45="",O45=""),"Set shipment, box and destination",IF(AND(C45&lt;&gt;"Inbound",C45&lt;&gt;"Outbound"),"Choose direction",IF(COUNTIFS('Definitions'!$A$8:$A$207,F45)&lt;&gt;1,"Unknown / duplicate part",IF(VLOOKUP(F45,'Definitions'!$A$8:$J$207,3,FALSE)&lt;&gt;"Part","Ship purchasable parts only",IF(OR(NOT(ISNUMBER(H45)),H45&lt;0,MOD(H45,1)&lt;&gt;0,NOT(ISNUMBER(I45)),I45&lt;0,MOD(I45,1)&lt;&gt;0,NOT(ISNUMBER(J45)),J45&lt;0,MOD(J45,1)&lt;&gt;0),"Invalid shipment quantities",IF(I45+J45&gt;H45,"Receipts exceed dispatch",IF(AND(H45&gt;0,NOT(ISNUMBER(L45))),"Set actual dispatch date",IF(C45="Inbound",IF(COUNTIFS('Orders'!$A$8:$A$207,D45)&lt;&gt;1,"Choose a unique order line",IF(VLOOKUP(D45,'Orders'!$A$8:$L$207,4,FALSE)&lt;&gt;F45,"Order part mismatch","OK")),IF(D45&lt;&gt;"","Clear outbound order line",IF(AND(VLOOKUP(F45,'Definitions'!$A$8:$J$207,7,FALSE)="Yes",OR(G45="",H45&lt;&gt;1)),"Serialized outbound: one asset per row",IF(G45="","OK",IF(COUNTIFS('Assets'!$A$8:$A$207,G45)&lt;&gt;1,"Unknown / duplicate asset",IF(VLOOKUP(G45,'Assets'!$A$8:$K$207,2,FALSE)&lt;&gt;F45,"Asset part mismatch",IF(COUNTIFS($G$8:$G$207,G45,$C$8:$C$207,"Outbound")&lt;&gt;1,"Asset dispatched more than once","OK"))))))))))))))))</x:f>
      </x:c>
    </x:row>
    <x:row r="46" ht="22" customHeight="1">
      <x:c r="A46" s="10"/>
      <x:c r="B46" s="10"/>
      <x:c r="C46" s="10"/>
      <x:c r="D46" s="10"/>
      <x:c r="E46" s="10"/>
      <x:c r="F46" s="10"/>
      <x:c r="G46" s="10"/>
      <x:c r="H46" s="12"/>
      <x:c r="I46" s="12"/>
      <x:c r="J46" s="12"/>
      <x:c r="K46" s="11" t="str">
        <x:f>IF(A46="","",MAX(0,H46-I46-J46))</x:f>
      </x:c>
      <x:c r="L46" s="13"/>
      <x:c r="M46" s="13"/>
      <x:c r="N46" s="10"/>
      <x:c r="O46" s="10"/>
      <x:c r="P46" s="9" t="str">
        <x:f>IF(A46="","",IF(COUNTIFS('Shipments'!$A$8:$A$207,A46)&lt;&gt;1,"Duplicate shipment line",IF(OR(B46="",E46="",O46=""),"Set shipment, box and destination",IF(AND(C46&lt;&gt;"Inbound",C46&lt;&gt;"Outbound"),"Choose direction",IF(COUNTIFS('Definitions'!$A$8:$A$207,F46)&lt;&gt;1,"Unknown / duplicate part",IF(VLOOKUP(F46,'Definitions'!$A$8:$J$207,3,FALSE)&lt;&gt;"Part","Ship purchasable parts only",IF(OR(NOT(ISNUMBER(H46)),H46&lt;0,MOD(H46,1)&lt;&gt;0,NOT(ISNUMBER(I46)),I46&lt;0,MOD(I46,1)&lt;&gt;0,NOT(ISNUMBER(J46)),J46&lt;0,MOD(J46,1)&lt;&gt;0),"Invalid shipment quantities",IF(I46+J46&gt;H46,"Receipts exceed dispatch",IF(AND(H46&gt;0,NOT(ISNUMBER(L46))),"Set actual dispatch date",IF(C46="Inbound",IF(COUNTIFS('Orders'!$A$8:$A$207,D46)&lt;&gt;1,"Choose a unique order line",IF(VLOOKUP(D46,'Orders'!$A$8:$L$207,4,FALSE)&lt;&gt;F46,"Order part mismatch","OK")),IF(D46&lt;&gt;"","Clear outbound order line",IF(AND(VLOOKUP(F46,'Definitions'!$A$8:$J$207,7,FALSE)="Yes",OR(G46="",H46&lt;&gt;1)),"Serialized outbound: one asset per row",IF(G46="","OK",IF(COUNTIFS('Assets'!$A$8:$A$207,G46)&lt;&gt;1,"Unknown / duplicate asset",IF(VLOOKUP(G46,'Assets'!$A$8:$K$207,2,FALSE)&lt;&gt;F46,"Asset part mismatch",IF(COUNTIFS($G$8:$G$207,G46,$C$8:$C$207,"Outbound")&lt;&gt;1,"Asset dispatched more than once","OK"))))))))))))))))</x:f>
      </x:c>
    </x:row>
    <x:row r="47" ht="22" customHeight="1">
      <x:c r="A47" s="10"/>
      <x:c r="B47" s="10"/>
      <x:c r="C47" s="10"/>
      <x:c r="D47" s="10"/>
      <x:c r="E47" s="10"/>
      <x:c r="F47" s="10"/>
      <x:c r="G47" s="10"/>
      <x:c r="H47" s="12"/>
      <x:c r="I47" s="12"/>
      <x:c r="J47" s="12"/>
      <x:c r="K47" s="11" t="str">
        <x:f>IF(A47="","",MAX(0,H47-I47-J47))</x:f>
      </x:c>
      <x:c r="L47" s="13"/>
      <x:c r="M47" s="13"/>
      <x:c r="N47" s="10"/>
      <x:c r="O47" s="10"/>
      <x:c r="P47" s="9" t="str">
        <x:f>IF(A47="","",IF(COUNTIFS('Shipments'!$A$8:$A$207,A47)&lt;&gt;1,"Duplicate shipment line",IF(OR(B47="",E47="",O47=""),"Set shipment, box and destination",IF(AND(C47&lt;&gt;"Inbound",C47&lt;&gt;"Outbound"),"Choose direction",IF(COUNTIFS('Definitions'!$A$8:$A$207,F47)&lt;&gt;1,"Unknown / duplicate part",IF(VLOOKUP(F47,'Definitions'!$A$8:$J$207,3,FALSE)&lt;&gt;"Part","Ship purchasable parts only",IF(OR(NOT(ISNUMBER(H47)),H47&lt;0,MOD(H47,1)&lt;&gt;0,NOT(ISNUMBER(I47)),I47&lt;0,MOD(I47,1)&lt;&gt;0,NOT(ISNUMBER(J47)),J47&lt;0,MOD(J47,1)&lt;&gt;0),"Invalid shipment quantities",IF(I47+J47&gt;H47,"Receipts exceed dispatch",IF(AND(H47&gt;0,NOT(ISNUMBER(L47))),"Set actual dispatch date",IF(C47="Inbound",IF(COUNTIFS('Orders'!$A$8:$A$207,D47)&lt;&gt;1,"Choose a unique order line",IF(VLOOKUP(D47,'Orders'!$A$8:$L$207,4,FALSE)&lt;&gt;F47,"Order part mismatch","OK")),IF(D47&lt;&gt;"","Clear outbound order line",IF(AND(VLOOKUP(F47,'Definitions'!$A$8:$J$207,7,FALSE)="Yes",OR(G47="",H47&lt;&gt;1)),"Serialized outbound: one asset per row",IF(G47="","OK",IF(COUNTIFS('Assets'!$A$8:$A$207,G47)&lt;&gt;1,"Unknown / duplicate asset",IF(VLOOKUP(G47,'Assets'!$A$8:$K$207,2,FALSE)&lt;&gt;F47,"Asset part mismatch",IF(COUNTIFS($G$8:$G$207,G47,$C$8:$C$207,"Outbound")&lt;&gt;1,"Asset dispatched more than once","OK"))))))))))))))))</x:f>
      </x:c>
    </x:row>
    <x:row r="48" ht="22" customHeight="1">
      <x:c r="A48" s="10"/>
      <x:c r="B48" s="10"/>
      <x:c r="C48" s="10"/>
      <x:c r="D48" s="10"/>
      <x:c r="E48" s="10"/>
      <x:c r="F48" s="10"/>
      <x:c r="G48" s="10"/>
      <x:c r="H48" s="12"/>
      <x:c r="I48" s="12"/>
      <x:c r="J48" s="12"/>
      <x:c r="K48" s="11" t="str">
        <x:f>IF(A48="","",MAX(0,H48-I48-J48))</x:f>
      </x:c>
      <x:c r="L48" s="13"/>
      <x:c r="M48" s="13"/>
      <x:c r="N48" s="10"/>
      <x:c r="O48" s="10"/>
      <x:c r="P48" s="9" t="str">
        <x:f>IF(A48="","",IF(COUNTIFS('Shipments'!$A$8:$A$207,A48)&lt;&gt;1,"Duplicate shipment line",IF(OR(B48="",E48="",O48=""),"Set shipment, box and destination",IF(AND(C48&lt;&gt;"Inbound",C48&lt;&gt;"Outbound"),"Choose direction",IF(COUNTIFS('Definitions'!$A$8:$A$207,F48)&lt;&gt;1,"Unknown / duplicate part",IF(VLOOKUP(F48,'Definitions'!$A$8:$J$207,3,FALSE)&lt;&gt;"Part","Ship purchasable parts only",IF(OR(NOT(ISNUMBER(H48)),H48&lt;0,MOD(H48,1)&lt;&gt;0,NOT(ISNUMBER(I48)),I48&lt;0,MOD(I48,1)&lt;&gt;0,NOT(ISNUMBER(J48)),J48&lt;0,MOD(J48,1)&lt;&gt;0),"Invalid shipment quantities",IF(I48+J48&gt;H48,"Receipts exceed dispatch",IF(AND(H48&gt;0,NOT(ISNUMBER(L48))),"Set actual dispatch date",IF(C48="Inbound",IF(COUNTIFS('Orders'!$A$8:$A$207,D48)&lt;&gt;1,"Choose a unique order line",IF(VLOOKUP(D48,'Orders'!$A$8:$L$207,4,FALSE)&lt;&gt;F48,"Order part mismatch","OK")),IF(D48&lt;&gt;"","Clear outbound order line",IF(AND(VLOOKUP(F48,'Definitions'!$A$8:$J$207,7,FALSE)="Yes",OR(G48="",H48&lt;&gt;1)),"Serialized outbound: one asset per row",IF(G48="","OK",IF(COUNTIFS('Assets'!$A$8:$A$207,G48)&lt;&gt;1,"Unknown / duplicate asset",IF(VLOOKUP(G48,'Assets'!$A$8:$K$207,2,FALSE)&lt;&gt;F48,"Asset part mismatch",IF(COUNTIFS($G$8:$G$207,G48,$C$8:$C$207,"Outbound")&lt;&gt;1,"Asset dispatched more than once","OK"))))))))))))))))</x:f>
      </x:c>
    </x:row>
    <x:row r="49" ht="22" customHeight="1">
      <x:c r="A49" s="10"/>
      <x:c r="B49" s="10"/>
      <x:c r="C49" s="10"/>
      <x:c r="D49" s="10"/>
      <x:c r="E49" s="10"/>
      <x:c r="F49" s="10"/>
      <x:c r="G49" s="10"/>
      <x:c r="H49" s="12"/>
      <x:c r="I49" s="12"/>
      <x:c r="J49" s="12"/>
      <x:c r="K49" s="11" t="str">
        <x:f>IF(A49="","",MAX(0,H49-I49-J49))</x:f>
      </x:c>
      <x:c r="L49" s="13"/>
      <x:c r="M49" s="13"/>
      <x:c r="N49" s="10"/>
      <x:c r="O49" s="10"/>
      <x:c r="P49" s="9" t="str">
        <x:f>IF(A49="","",IF(COUNTIFS('Shipments'!$A$8:$A$207,A49)&lt;&gt;1,"Duplicate shipment line",IF(OR(B49="",E49="",O49=""),"Set shipment, box and destination",IF(AND(C49&lt;&gt;"Inbound",C49&lt;&gt;"Outbound"),"Choose direction",IF(COUNTIFS('Definitions'!$A$8:$A$207,F49)&lt;&gt;1,"Unknown / duplicate part",IF(VLOOKUP(F49,'Definitions'!$A$8:$J$207,3,FALSE)&lt;&gt;"Part","Ship purchasable parts only",IF(OR(NOT(ISNUMBER(H49)),H49&lt;0,MOD(H49,1)&lt;&gt;0,NOT(ISNUMBER(I49)),I49&lt;0,MOD(I49,1)&lt;&gt;0,NOT(ISNUMBER(J49)),J49&lt;0,MOD(J49,1)&lt;&gt;0),"Invalid shipment quantities",IF(I49+J49&gt;H49,"Receipts exceed dispatch",IF(AND(H49&gt;0,NOT(ISNUMBER(L49))),"Set actual dispatch date",IF(C49="Inbound",IF(COUNTIFS('Orders'!$A$8:$A$207,D49)&lt;&gt;1,"Choose a unique order line",IF(VLOOKUP(D49,'Orders'!$A$8:$L$207,4,FALSE)&lt;&gt;F49,"Order part mismatch","OK")),IF(D49&lt;&gt;"","Clear outbound order line",IF(AND(VLOOKUP(F49,'Definitions'!$A$8:$J$207,7,FALSE)="Yes",OR(G49="",H49&lt;&gt;1)),"Serialized outbound: one asset per row",IF(G49="","OK",IF(COUNTIFS('Assets'!$A$8:$A$207,G49)&lt;&gt;1,"Unknown / duplicate asset",IF(VLOOKUP(G49,'Assets'!$A$8:$K$207,2,FALSE)&lt;&gt;F49,"Asset part mismatch",IF(COUNTIFS($G$8:$G$207,G49,$C$8:$C$207,"Outbound")&lt;&gt;1,"Asset dispatched more than once","OK"))))))))))))))))</x:f>
      </x:c>
    </x:row>
    <x:row r="50" ht="22" customHeight="1">
      <x:c r="A50" s="10"/>
      <x:c r="B50" s="10"/>
      <x:c r="C50" s="10"/>
      <x:c r="D50" s="10"/>
      <x:c r="E50" s="10"/>
      <x:c r="F50" s="10"/>
      <x:c r="G50" s="10"/>
      <x:c r="H50" s="12"/>
      <x:c r="I50" s="12"/>
      <x:c r="J50" s="12"/>
      <x:c r="K50" s="11" t="str">
        <x:f>IF(A50="","",MAX(0,H50-I50-J50))</x:f>
      </x:c>
      <x:c r="L50" s="13"/>
      <x:c r="M50" s="13"/>
      <x:c r="N50" s="10"/>
      <x:c r="O50" s="10"/>
      <x:c r="P50" s="9" t="str">
        <x:f>IF(A50="","",IF(COUNTIFS('Shipments'!$A$8:$A$207,A50)&lt;&gt;1,"Duplicate shipment line",IF(OR(B50="",E50="",O50=""),"Set shipment, box and destination",IF(AND(C50&lt;&gt;"Inbound",C50&lt;&gt;"Outbound"),"Choose direction",IF(COUNTIFS('Definitions'!$A$8:$A$207,F50)&lt;&gt;1,"Unknown / duplicate part",IF(VLOOKUP(F50,'Definitions'!$A$8:$J$207,3,FALSE)&lt;&gt;"Part","Ship purchasable parts only",IF(OR(NOT(ISNUMBER(H50)),H50&lt;0,MOD(H50,1)&lt;&gt;0,NOT(ISNUMBER(I50)),I50&lt;0,MOD(I50,1)&lt;&gt;0,NOT(ISNUMBER(J50)),J50&lt;0,MOD(J50,1)&lt;&gt;0),"Invalid shipment quantities",IF(I50+J50&gt;H50,"Receipts exceed dispatch",IF(AND(H50&gt;0,NOT(ISNUMBER(L50))),"Set actual dispatch date",IF(C50="Inbound",IF(COUNTIFS('Orders'!$A$8:$A$207,D50)&lt;&gt;1,"Choose a unique order line",IF(VLOOKUP(D50,'Orders'!$A$8:$L$207,4,FALSE)&lt;&gt;F50,"Order part mismatch","OK")),IF(D50&lt;&gt;"","Clear outbound order line",IF(AND(VLOOKUP(F50,'Definitions'!$A$8:$J$207,7,FALSE)="Yes",OR(G50="",H50&lt;&gt;1)),"Serialized outbound: one asset per row",IF(G50="","OK",IF(COUNTIFS('Assets'!$A$8:$A$207,G50)&lt;&gt;1,"Unknown / duplicate asset",IF(VLOOKUP(G50,'Assets'!$A$8:$K$207,2,FALSE)&lt;&gt;F50,"Asset part mismatch",IF(COUNTIFS($G$8:$G$207,G50,$C$8:$C$207,"Outbound")&lt;&gt;1,"Asset dispatched more than once","OK"))))))))))))))))</x:f>
      </x:c>
    </x:row>
    <x:row r="51" ht="22" customHeight="1">
      <x:c r="A51" s="10"/>
      <x:c r="B51" s="10"/>
      <x:c r="C51" s="10"/>
      <x:c r="D51" s="10"/>
      <x:c r="E51" s="10"/>
      <x:c r="F51" s="10"/>
      <x:c r="G51" s="10"/>
      <x:c r="H51" s="12"/>
      <x:c r="I51" s="12"/>
      <x:c r="J51" s="12"/>
      <x:c r="K51" s="11" t="str">
        <x:f>IF(A51="","",MAX(0,H51-I51-J51))</x:f>
      </x:c>
      <x:c r="L51" s="13"/>
      <x:c r="M51" s="13"/>
      <x:c r="N51" s="10"/>
      <x:c r="O51" s="10"/>
      <x:c r="P51" s="9" t="str">
        <x:f>IF(A51="","",IF(COUNTIFS('Shipments'!$A$8:$A$207,A51)&lt;&gt;1,"Duplicate shipment line",IF(OR(B51="",E51="",O51=""),"Set shipment, box and destination",IF(AND(C51&lt;&gt;"Inbound",C51&lt;&gt;"Outbound"),"Choose direction",IF(COUNTIFS('Definitions'!$A$8:$A$207,F51)&lt;&gt;1,"Unknown / duplicate part",IF(VLOOKUP(F51,'Definitions'!$A$8:$J$207,3,FALSE)&lt;&gt;"Part","Ship purchasable parts only",IF(OR(NOT(ISNUMBER(H51)),H51&lt;0,MOD(H51,1)&lt;&gt;0,NOT(ISNUMBER(I51)),I51&lt;0,MOD(I51,1)&lt;&gt;0,NOT(ISNUMBER(J51)),J51&lt;0,MOD(J51,1)&lt;&gt;0),"Invalid shipment quantities",IF(I51+J51&gt;H51,"Receipts exceed dispatch",IF(AND(H51&gt;0,NOT(ISNUMBER(L51))),"Set actual dispatch date",IF(C51="Inbound",IF(COUNTIFS('Orders'!$A$8:$A$207,D51)&lt;&gt;1,"Choose a unique order line",IF(VLOOKUP(D51,'Orders'!$A$8:$L$207,4,FALSE)&lt;&gt;F51,"Order part mismatch","OK")),IF(D51&lt;&gt;"","Clear outbound order line",IF(AND(VLOOKUP(F51,'Definitions'!$A$8:$J$207,7,FALSE)="Yes",OR(G51="",H51&lt;&gt;1)),"Serialized outbound: one asset per row",IF(G51="","OK",IF(COUNTIFS('Assets'!$A$8:$A$207,G51)&lt;&gt;1,"Unknown / duplicate asset",IF(VLOOKUP(G51,'Assets'!$A$8:$K$207,2,FALSE)&lt;&gt;F51,"Asset part mismatch",IF(COUNTIFS($G$8:$G$207,G51,$C$8:$C$207,"Outbound")&lt;&gt;1,"Asset dispatched more than once","OK"))))))))))))))))</x:f>
      </x:c>
    </x:row>
    <x:row r="52" ht="22" customHeight="1">
      <x:c r="A52" s="10"/>
      <x:c r="B52" s="10"/>
      <x:c r="C52" s="10"/>
      <x:c r="D52" s="10"/>
      <x:c r="E52" s="10"/>
      <x:c r="F52" s="10"/>
      <x:c r="G52" s="10"/>
      <x:c r="H52" s="12"/>
      <x:c r="I52" s="12"/>
      <x:c r="J52" s="12"/>
      <x:c r="K52" s="11" t="str">
        <x:f>IF(A52="","",MAX(0,H52-I52-J52))</x:f>
      </x:c>
      <x:c r="L52" s="13"/>
      <x:c r="M52" s="13"/>
      <x:c r="N52" s="10"/>
      <x:c r="O52" s="10"/>
      <x:c r="P52" s="9" t="str">
        <x:f>IF(A52="","",IF(COUNTIFS('Shipments'!$A$8:$A$207,A52)&lt;&gt;1,"Duplicate shipment line",IF(OR(B52="",E52="",O52=""),"Set shipment, box and destination",IF(AND(C52&lt;&gt;"Inbound",C52&lt;&gt;"Outbound"),"Choose direction",IF(COUNTIFS('Definitions'!$A$8:$A$207,F52)&lt;&gt;1,"Unknown / duplicate part",IF(VLOOKUP(F52,'Definitions'!$A$8:$J$207,3,FALSE)&lt;&gt;"Part","Ship purchasable parts only",IF(OR(NOT(ISNUMBER(H52)),H52&lt;0,MOD(H52,1)&lt;&gt;0,NOT(ISNUMBER(I52)),I52&lt;0,MOD(I52,1)&lt;&gt;0,NOT(ISNUMBER(J52)),J52&lt;0,MOD(J52,1)&lt;&gt;0),"Invalid shipment quantities",IF(I52+J52&gt;H52,"Receipts exceed dispatch",IF(AND(H52&gt;0,NOT(ISNUMBER(L52))),"Set actual dispatch date",IF(C52="Inbound",IF(COUNTIFS('Orders'!$A$8:$A$207,D52)&lt;&gt;1,"Choose a unique order line",IF(VLOOKUP(D52,'Orders'!$A$8:$L$207,4,FALSE)&lt;&gt;F52,"Order part mismatch","OK")),IF(D52&lt;&gt;"","Clear outbound order line",IF(AND(VLOOKUP(F52,'Definitions'!$A$8:$J$207,7,FALSE)="Yes",OR(G52="",H52&lt;&gt;1)),"Serialized outbound: one asset per row",IF(G52="","OK",IF(COUNTIFS('Assets'!$A$8:$A$207,G52)&lt;&gt;1,"Unknown / duplicate asset",IF(VLOOKUP(G52,'Assets'!$A$8:$K$207,2,FALSE)&lt;&gt;F52,"Asset part mismatch",IF(COUNTIFS($G$8:$G$207,G52,$C$8:$C$207,"Outbound")&lt;&gt;1,"Asset dispatched more than once","OK"))))))))))))))))</x:f>
      </x:c>
    </x:row>
    <x:row r="53" ht="22" customHeight="1">
      <x:c r="A53" s="10"/>
      <x:c r="B53" s="10"/>
      <x:c r="C53" s="10"/>
      <x:c r="D53" s="10"/>
      <x:c r="E53" s="10"/>
      <x:c r="F53" s="10"/>
      <x:c r="G53" s="10"/>
      <x:c r="H53" s="12"/>
      <x:c r="I53" s="12"/>
      <x:c r="J53" s="12"/>
      <x:c r="K53" s="11" t="str">
        <x:f>IF(A53="","",MAX(0,H53-I53-J53))</x:f>
      </x:c>
      <x:c r="L53" s="13"/>
      <x:c r="M53" s="13"/>
      <x:c r="N53" s="10"/>
      <x:c r="O53" s="10"/>
      <x:c r="P53" s="9" t="str">
        <x:f>IF(A53="","",IF(COUNTIFS('Shipments'!$A$8:$A$207,A53)&lt;&gt;1,"Duplicate shipment line",IF(OR(B53="",E53="",O53=""),"Set shipment, box and destination",IF(AND(C53&lt;&gt;"Inbound",C53&lt;&gt;"Outbound"),"Choose direction",IF(COUNTIFS('Definitions'!$A$8:$A$207,F53)&lt;&gt;1,"Unknown / duplicate part",IF(VLOOKUP(F53,'Definitions'!$A$8:$J$207,3,FALSE)&lt;&gt;"Part","Ship purchasable parts only",IF(OR(NOT(ISNUMBER(H53)),H53&lt;0,MOD(H53,1)&lt;&gt;0,NOT(ISNUMBER(I53)),I53&lt;0,MOD(I53,1)&lt;&gt;0,NOT(ISNUMBER(J53)),J53&lt;0,MOD(J53,1)&lt;&gt;0),"Invalid shipment quantities",IF(I53+J53&gt;H53,"Receipts exceed dispatch",IF(AND(H53&gt;0,NOT(ISNUMBER(L53))),"Set actual dispatch date",IF(C53="Inbound",IF(COUNTIFS('Orders'!$A$8:$A$207,D53)&lt;&gt;1,"Choose a unique order line",IF(VLOOKUP(D53,'Orders'!$A$8:$L$207,4,FALSE)&lt;&gt;F53,"Order part mismatch","OK")),IF(D53&lt;&gt;"","Clear outbound order line",IF(AND(VLOOKUP(F53,'Definitions'!$A$8:$J$207,7,FALSE)="Yes",OR(G53="",H53&lt;&gt;1)),"Serialized outbound: one asset per row",IF(G53="","OK",IF(COUNTIFS('Assets'!$A$8:$A$207,G53)&lt;&gt;1,"Unknown / duplicate asset",IF(VLOOKUP(G53,'Assets'!$A$8:$K$207,2,FALSE)&lt;&gt;F53,"Asset part mismatch",IF(COUNTIFS($G$8:$G$207,G53,$C$8:$C$207,"Outbound")&lt;&gt;1,"Asset dispatched more than once","OK"))))))))))))))))</x:f>
      </x:c>
    </x:row>
    <x:row r="54" ht="22" customHeight="1">
      <x:c r="A54" s="10"/>
      <x:c r="B54" s="10"/>
      <x:c r="C54" s="10"/>
      <x:c r="D54" s="10"/>
      <x:c r="E54" s="10"/>
      <x:c r="F54" s="10"/>
      <x:c r="G54" s="10"/>
      <x:c r="H54" s="12"/>
      <x:c r="I54" s="12"/>
      <x:c r="J54" s="12"/>
      <x:c r="K54" s="11" t="str">
        <x:f>IF(A54="","",MAX(0,H54-I54-J54))</x:f>
      </x:c>
      <x:c r="L54" s="13"/>
      <x:c r="M54" s="13"/>
      <x:c r="N54" s="10"/>
      <x:c r="O54" s="10"/>
      <x:c r="P54" s="9" t="str">
        <x:f>IF(A54="","",IF(COUNTIFS('Shipments'!$A$8:$A$207,A54)&lt;&gt;1,"Duplicate shipment line",IF(OR(B54="",E54="",O54=""),"Set shipment, box and destination",IF(AND(C54&lt;&gt;"Inbound",C54&lt;&gt;"Outbound"),"Choose direction",IF(COUNTIFS('Definitions'!$A$8:$A$207,F54)&lt;&gt;1,"Unknown / duplicate part",IF(VLOOKUP(F54,'Definitions'!$A$8:$J$207,3,FALSE)&lt;&gt;"Part","Ship purchasable parts only",IF(OR(NOT(ISNUMBER(H54)),H54&lt;0,MOD(H54,1)&lt;&gt;0,NOT(ISNUMBER(I54)),I54&lt;0,MOD(I54,1)&lt;&gt;0,NOT(ISNUMBER(J54)),J54&lt;0,MOD(J54,1)&lt;&gt;0),"Invalid shipment quantities",IF(I54+J54&gt;H54,"Receipts exceed dispatch",IF(AND(H54&gt;0,NOT(ISNUMBER(L54))),"Set actual dispatch date",IF(C54="Inbound",IF(COUNTIFS('Orders'!$A$8:$A$207,D54)&lt;&gt;1,"Choose a unique order line",IF(VLOOKUP(D54,'Orders'!$A$8:$L$207,4,FALSE)&lt;&gt;F54,"Order part mismatch","OK")),IF(D54&lt;&gt;"","Clear outbound order line",IF(AND(VLOOKUP(F54,'Definitions'!$A$8:$J$207,7,FALSE)="Yes",OR(G54="",H54&lt;&gt;1)),"Serialized outbound: one asset per row",IF(G54="","OK",IF(COUNTIFS('Assets'!$A$8:$A$207,G54)&lt;&gt;1,"Unknown / duplicate asset",IF(VLOOKUP(G54,'Assets'!$A$8:$K$207,2,FALSE)&lt;&gt;F54,"Asset part mismatch",IF(COUNTIFS($G$8:$G$207,G54,$C$8:$C$207,"Outbound")&lt;&gt;1,"Asset dispatched more than once","OK"))))))))))))))))</x:f>
      </x:c>
    </x:row>
    <x:row r="55" ht="22" customHeight="1">
      <x:c r="A55" s="10"/>
      <x:c r="B55" s="10"/>
      <x:c r="C55" s="10"/>
      <x:c r="D55" s="10"/>
      <x:c r="E55" s="10"/>
      <x:c r="F55" s="10"/>
      <x:c r="G55" s="10"/>
      <x:c r="H55" s="12"/>
      <x:c r="I55" s="12"/>
      <x:c r="J55" s="12"/>
      <x:c r="K55" s="11" t="str">
        <x:f>IF(A55="","",MAX(0,H55-I55-J55))</x:f>
      </x:c>
      <x:c r="L55" s="13"/>
      <x:c r="M55" s="13"/>
      <x:c r="N55" s="10"/>
      <x:c r="O55" s="10"/>
      <x:c r="P55" s="9" t="str">
        <x:f>IF(A55="","",IF(COUNTIFS('Shipments'!$A$8:$A$207,A55)&lt;&gt;1,"Duplicate shipment line",IF(OR(B55="",E55="",O55=""),"Set shipment, box and destination",IF(AND(C55&lt;&gt;"Inbound",C55&lt;&gt;"Outbound"),"Choose direction",IF(COUNTIFS('Definitions'!$A$8:$A$207,F55)&lt;&gt;1,"Unknown / duplicate part",IF(VLOOKUP(F55,'Definitions'!$A$8:$J$207,3,FALSE)&lt;&gt;"Part","Ship purchasable parts only",IF(OR(NOT(ISNUMBER(H55)),H55&lt;0,MOD(H55,1)&lt;&gt;0,NOT(ISNUMBER(I55)),I55&lt;0,MOD(I55,1)&lt;&gt;0,NOT(ISNUMBER(J55)),J55&lt;0,MOD(J55,1)&lt;&gt;0),"Invalid shipment quantities",IF(I55+J55&gt;H55,"Receipts exceed dispatch",IF(AND(H55&gt;0,NOT(ISNUMBER(L55))),"Set actual dispatch date",IF(C55="Inbound",IF(COUNTIFS('Orders'!$A$8:$A$207,D55)&lt;&gt;1,"Choose a unique order line",IF(VLOOKUP(D55,'Orders'!$A$8:$L$207,4,FALSE)&lt;&gt;F55,"Order part mismatch","OK")),IF(D55&lt;&gt;"","Clear outbound order line",IF(AND(VLOOKUP(F55,'Definitions'!$A$8:$J$207,7,FALSE)="Yes",OR(G55="",H55&lt;&gt;1)),"Serialized outbound: one asset per row",IF(G55="","OK",IF(COUNTIFS('Assets'!$A$8:$A$207,G55)&lt;&gt;1,"Unknown / duplicate asset",IF(VLOOKUP(G55,'Assets'!$A$8:$K$207,2,FALSE)&lt;&gt;F55,"Asset part mismatch",IF(COUNTIFS($G$8:$G$207,G55,$C$8:$C$207,"Outbound")&lt;&gt;1,"Asset dispatched more than once","OK"))))))))))))))))</x:f>
      </x:c>
    </x:row>
    <x:row r="56" ht="22" customHeight="1">
      <x:c r="A56" s="10"/>
      <x:c r="B56" s="10"/>
      <x:c r="C56" s="10"/>
      <x:c r="D56" s="10"/>
      <x:c r="E56" s="10"/>
      <x:c r="F56" s="10"/>
      <x:c r="G56" s="10"/>
      <x:c r="H56" s="12"/>
      <x:c r="I56" s="12"/>
      <x:c r="J56" s="12"/>
      <x:c r="K56" s="11" t="str">
        <x:f>IF(A56="","",MAX(0,H56-I56-J56))</x:f>
      </x:c>
      <x:c r="L56" s="13"/>
      <x:c r="M56" s="13"/>
      <x:c r="N56" s="10"/>
      <x:c r="O56" s="10"/>
      <x:c r="P56" s="9" t="str">
        <x:f>IF(A56="","",IF(COUNTIFS('Shipments'!$A$8:$A$207,A56)&lt;&gt;1,"Duplicate shipment line",IF(OR(B56="",E56="",O56=""),"Set shipment, box and destination",IF(AND(C56&lt;&gt;"Inbound",C56&lt;&gt;"Outbound"),"Choose direction",IF(COUNTIFS('Definitions'!$A$8:$A$207,F56)&lt;&gt;1,"Unknown / duplicate part",IF(VLOOKUP(F56,'Definitions'!$A$8:$J$207,3,FALSE)&lt;&gt;"Part","Ship purchasable parts only",IF(OR(NOT(ISNUMBER(H56)),H56&lt;0,MOD(H56,1)&lt;&gt;0,NOT(ISNUMBER(I56)),I56&lt;0,MOD(I56,1)&lt;&gt;0,NOT(ISNUMBER(J56)),J56&lt;0,MOD(J56,1)&lt;&gt;0),"Invalid shipment quantities",IF(I56+J56&gt;H56,"Receipts exceed dispatch",IF(AND(H56&gt;0,NOT(ISNUMBER(L56))),"Set actual dispatch date",IF(C56="Inbound",IF(COUNTIFS('Orders'!$A$8:$A$207,D56)&lt;&gt;1,"Choose a unique order line",IF(VLOOKUP(D56,'Orders'!$A$8:$L$207,4,FALSE)&lt;&gt;F56,"Order part mismatch","OK")),IF(D56&lt;&gt;"","Clear outbound order line",IF(AND(VLOOKUP(F56,'Definitions'!$A$8:$J$207,7,FALSE)="Yes",OR(G56="",H56&lt;&gt;1)),"Serialized outbound: one asset per row",IF(G56="","OK",IF(COUNTIFS('Assets'!$A$8:$A$207,G56)&lt;&gt;1,"Unknown / duplicate asset",IF(VLOOKUP(G56,'Assets'!$A$8:$K$207,2,FALSE)&lt;&gt;F56,"Asset part mismatch",IF(COUNTIFS($G$8:$G$207,G56,$C$8:$C$207,"Outbound")&lt;&gt;1,"Asset dispatched more than once","OK"))))))))))))))))</x:f>
      </x:c>
    </x:row>
    <x:row r="57" ht="22" customHeight="1">
      <x:c r="A57" s="10"/>
      <x:c r="B57" s="10"/>
      <x:c r="C57" s="10"/>
      <x:c r="D57" s="10"/>
      <x:c r="E57" s="10"/>
      <x:c r="F57" s="10"/>
      <x:c r="G57" s="10"/>
      <x:c r="H57" s="12"/>
      <x:c r="I57" s="12"/>
      <x:c r="J57" s="12"/>
      <x:c r="K57" s="11" t="str">
        <x:f>IF(A57="","",MAX(0,H57-I57-J57))</x:f>
      </x:c>
      <x:c r="L57" s="13"/>
      <x:c r="M57" s="13"/>
      <x:c r="N57" s="10"/>
      <x:c r="O57" s="10"/>
      <x:c r="P57" s="9" t="str">
        <x:f>IF(A57="","",IF(COUNTIFS('Shipments'!$A$8:$A$207,A57)&lt;&gt;1,"Duplicate shipment line",IF(OR(B57="",E57="",O57=""),"Set shipment, box and destination",IF(AND(C57&lt;&gt;"Inbound",C57&lt;&gt;"Outbound"),"Choose direction",IF(COUNTIFS('Definitions'!$A$8:$A$207,F57)&lt;&gt;1,"Unknown / duplicate part",IF(VLOOKUP(F57,'Definitions'!$A$8:$J$207,3,FALSE)&lt;&gt;"Part","Ship purchasable parts only",IF(OR(NOT(ISNUMBER(H57)),H57&lt;0,MOD(H57,1)&lt;&gt;0,NOT(ISNUMBER(I57)),I57&lt;0,MOD(I57,1)&lt;&gt;0,NOT(ISNUMBER(J57)),J57&lt;0,MOD(J57,1)&lt;&gt;0),"Invalid shipment quantities",IF(I57+J57&gt;H57,"Receipts exceed dispatch",IF(AND(H57&gt;0,NOT(ISNUMBER(L57))),"Set actual dispatch date",IF(C57="Inbound",IF(COUNTIFS('Orders'!$A$8:$A$207,D57)&lt;&gt;1,"Choose a unique order line",IF(VLOOKUP(D57,'Orders'!$A$8:$L$207,4,FALSE)&lt;&gt;F57,"Order part mismatch","OK")),IF(D57&lt;&gt;"","Clear outbound order line",IF(AND(VLOOKUP(F57,'Definitions'!$A$8:$J$207,7,FALSE)="Yes",OR(G57="",H57&lt;&gt;1)),"Serialized outbound: one asset per row",IF(G57="","OK",IF(COUNTIFS('Assets'!$A$8:$A$207,G57)&lt;&gt;1,"Unknown / duplicate asset",IF(VLOOKUP(G57,'Assets'!$A$8:$K$207,2,FALSE)&lt;&gt;F57,"Asset part mismatch",IF(COUNTIFS($G$8:$G$207,G57,$C$8:$C$207,"Outbound")&lt;&gt;1,"Asset dispatched more than once","OK"))))))))))))))))</x:f>
      </x:c>
    </x:row>
    <x:row r="58" ht="22" customHeight="1">
      <x:c r="A58" s="10"/>
      <x:c r="B58" s="10"/>
      <x:c r="C58" s="10"/>
      <x:c r="D58" s="10"/>
      <x:c r="E58" s="10"/>
      <x:c r="F58" s="10"/>
      <x:c r="G58" s="10"/>
      <x:c r="H58" s="12"/>
      <x:c r="I58" s="12"/>
      <x:c r="J58" s="12"/>
      <x:c r="K58" s="11" t="str">
        <x:f>IF(A58="","",MAX(0,H58-I58-J58))</x:f>
      </x:c>
      <x:c r="L58" s="13"/>
      <x:c r="M58" s="13"/>
      <x:c r="N58" s="10"/>
      <x:c r="O58" s="10"/>
      <x:c r="P58" s="9" t="str">
        <x:f>IF(A58="","",IF(COUNTIFS('Shipments'!$A$8:$A$207,A58)&lt;&gt;1,"Duplicate shipment line",IF(OR(B58="",E58="",O58=""),"Set shipment, box and destination",IF(AND(C58&lt;&gt;"Inbound",C58&lt;&gt;"Outbound"),"Choose direction",IF(COUNTIFS('Definitions'!$A$8:$A$207,F58)&lt;&gt;1,"Unknown / duplicate part",IF(VLOOKUP(F58,'Definitions'!$A$8:$J$207,3,FALSE)&lt;&gt;"Part","Ship purchasable parts only",IF(OR(NOT(ISNUMBER(H58)),H58&lt;0,MOD(H58,1)&lt;&gt;0,NOT(ISNUMBER(I58)),I58&lt;0,MOD(I58,1)&lt;&gt;0,NOT(ISNUMBER(J58)),J58&lt;0,MOD(J58,1)&lt;&gt;0),"Invalid shipment quantities",IF(I58+J58&gt;H58,"Receipts exceed dispatch",IF(AND(H58&gt;0,NOT(ISNUMBER(L58))),"Set actual dispatch date",IF(C58="Inbound",IF(COUNTIFS('Orders'!$A$8:$A$207,D58)&lt;&gt;1,"Choose a unique order line",IF(VLOOKUP(D58,'Orders'!$A$8:$L$207,4,FALSE)&lt;&gt;F58,"Order part mismatch","OK")),IF(D58&lt;&gt;"","Clear outbound order line",IF(AND(VLOOKUP(F58,'Definitions'!$A$8:$J$207,7,FALSE)="Yes",OR(G58="",H58&lt;&gt;1)),"Serialized outbound: one asset per row",IF(G58="","OK",IF(COUNTIFS('Assets'!$A$8:$A$207,G58)&lt;&gt;1,"Unknown / duplicate asset",IF(VLOOKUP(G58,'Assets'!$A$8:$K$207,2,FALSE)&lt;&gt;F58,"Asset part mismatch",IF(COUNTIFS($G$8:$G$207,G58,$C$8:$C$207,"Outbound")&lt;&gt;1,"Asset dispatched more than once","OK"))))))))))))))))</x:f>
      </x:c>
    </x:row>
    <x:row r="59" ht="22" customHeight="1">
      <x:c r="A59" s="10"/>
      <x:c r="B59" s="10"/>
      <x:c r="C59" s="10"/>
      <x:c r="D59" s="10"/>
      <x:c r="E59" s="10"/>
      <x:c r="F59" s="10"/>
      <x:c r="G59" s="10"/>
      <x:c r="H59" s="12"/>
      <x:c r="I59" s="12"/>
      <x:c r="J59" s="12"/>
      <x:c r="K59" s="11" t="str">
        <x:f>IF(A59="","",MAX(0,H59-I59-J59))</x:f>
      </x:c>
      <x:c r="L59" s="13"/>
      <x:c r="M59" s="13"/>
      <x:c r="N59" s="10"/>
      <x:c r="O59" s="10"/>
      <x:c r="P59" s="9" t="str">
        <x:f>IF(A59="","",IF(COUNTIFS('Shipments'!$A$8:$A$207,A59)&lt;&gt;1,"Duplicate shipment line",IF(OR(B59="",E59="",O59=""),"Set shipment, box and destination",IF(AND(C59&lt;&gt;"Inbound",C59&lt;&gt;"Outbound"),"Choose direction",IF(COUNTIFS('Definitions'!$A$8:$A$207,F59)&lt;&gt;1,"Unknown / duplicate part",IF(VLOOKUP(F59,'Definitions'!$A$8:$J$207,3,FALSE)&lt;&gt;"Part","Ship purchasable parts only",IF(OR(NOT(ISNUMBER(H59)),H59&lt;0,MOD(H59,1)&lt;&gt;0,NOT(ISNUMBER(I59)),I59&lt;0,MOD(I59,1)&lt;&gt;0,NOT(ISNUMBER(J59)),J59&lt;0,MOD(J59,1)&lt;&gt;0),"Invalid shipment quantities",IF(I59+J59&gt;H59,"Receipts exceed dispatch",IF(AND(H59&gt;0,NOT(ISNUMBER(L59))),"Set actual dispatch date",IF(C59="Inbound",IF(COUNTIFS('Orders'!$A$8:$A$207,D59)&lt;&gt;1,"Choose a unique order line",IF(VLOOKUP(D59,'Orders'!$A$8:$L$207,4,FALSE)&lt;&gt;F59,"Order part mismatch","OK")),IF(D59&lt;&gt;"","Clear outbound order line",IF(AND(VLOOKUP(F59,'Definitions'!$A$8:$J$207,7,FALSE)="Yes",OR(G59="",H59&lt;&gt;1)),"Serialized outbound: one asset per row",IF(G59="","OK",IF(COUNTIFS('Assets'!$A$8:$A$207,G59)&lt;&gt;1,"Unknown / duplicate asset",IF(VLOOKUP(G59,'Assets'!$A$8:$K$207,2,FALSE)&lt;&gt;F59,"Asset part mismatch",IF(COUNTIFS($G$8:$G$207,G59,$C$8:$C$207,"Outbound")&lt;&gt;1,"Asset dispatched more than once","OK"))))))))))))))))</x:f>
      </x:c>
    </x:row>
    <x:row r="60" ht="22" customHeight="1">
      <x:c r="A60" s="10"/>
      <x:c r="B60" s="10"/>
      <x:c r="C60" s="10"/>
      <x:c r="D60" s="10"/>
      <x:c r="E60" s="10"/>
      <x:c r="F60" s="10"/>
      <x:c r="G60" s="10"/>
      <x:c r="H60" s="12"/>
      <x:c r="I60" s="12"/>
      <x:c r="J60" s="12"/>
      <x:c r="K60" s="11" t="str">
        <x:f>IF(A60="","",MAX(0,H60-I60-J60))</x:f>
      </x:c>
      <x:c r="L60" s="13"/>
      <x:c r="M60" s="13"/>
      <x:c r="N60" s="10"/>
      <x:c r="O60" s="10"/>
      <x:c r="P60" s="9" t="str">
        <x:f>IF(A60="","",IF(COUNTIFS('Shipments'!$A$8:$A$207,A60)&lt;&gt;1,"Duplicate shipment line",IF(OR(B60="",E60="",O60=""),"Set shipment, box and destination",IF(AND(C60&lt;&gt;"Inbound",C60&lt;&gt;"Outbound"),"Choose direction",IF(COUNTIFS('Definitions'!$A$8:$A$207,F60)&lt;&gt;1,"Unknown / duplicate part",IF(VLOOKUP(F60,'Definitions'!$A$8:$J$207,3,FALSE)&lt;&gt;"Part","Ship purchasable parts only",IF(OR(NOT(ISNUMBER(H60)),H60&lt;0,MOD(H60,1)&lt;&gt;0,NOT(ISNUMBER(I60)),I60&lt;0,MOD(I60,1)&lt;&gt;0,NOT(ISNUMBER(J60)),J60&lt;0,MOD(J60,1)&lt;&gt;0),"Invalid shipment quantities",IF(I60+J60&gt;H60,"Receipts exceed dispatch",IF(AND(H60&gt;0,NOT(ISNUMBER(L60))),"Set actual dispatch date",IF(C60="Inbound",IF(COUNTIFS('Orders'!$A$8:$A$207,D60)&lt;&gt;1,"Choose a unique order line",IF(VLOOKUP(D60,'Orders'!$A$8:$L$207,4,FALSE)&lt;&gt;F60,"Order part mismatch","OK")),IF(D60&lt;&gt;"","Clear outbound order line",IF(AND(VLOOKUP(F60,'Definitions'!$A$8:$J$207,7,FALSE)="Yes",OR(G60="",H60&lt;&gt;1)),"Serialized outbound: one asset per row",IF(G60="","OK",IF(COUNTIFS('Assets'!$A$8:$A$207,G60)&lt;&gt;1,"Unknown / duplicate asset",IF(VLOOKUP(G60,'Assets'!$A$8:$K$207,2,FALSE)&lt;&gt;F60,"Asset part mismatch",IF(COUNTIFS($G$8:$G$207,G60,$C$8:$C$207,"Outbound")&lt;&gt;1,"Asset dispatched more than once","OK"))))))))))))))))</x:f>
      </x:c>
    </x:row>
    <x:row r="61" ht="22" customHeight="1">
      <x:c r="A61" s="10"/>
      <x:c r="B61" s="10"/>
      <x:c r="C61" s="10"/>
      <x:c r="D61" s="10"/>
      <x:c r="E61" s="10"/>
      <x:c r="F61" s="10"/>
      <x:c r="G61" s="10"/>
      <x:c r="H61" s="12"/>
      <x:c r="I61" s="12"/>
      <x:c r="J61" s="12"/>
      <x:c r="K61" s="11" t="str">
        <x:f>IF(A61="","",MAX(0,H61-I61-J61))</x:f>
      </x:c>
      <x:c r="L61" s="13"/>
      <x:c r="M61" s="13"/>
      <x:c r="N61" s="10"/>
      <x:c r="O61" s="10"/>
      <x:c r="P61" s="9" t="str">
        <x:f>IF(A61="","",IF(COUNTIFS('Shipments'!$A$8:$A$207,A61)&lt;&gt;1,"Duplicate shipment line",IF(OR(B61="",E61="",O61=""),"Set shipment, box and destination",IF(AND(C61&lt;&gt;"Inbound",C61&lt;&gt;"Outbound"),"Choose direction",IF(COUNTIFS('Definitions'!$A$8:$A$207,F61)&lt;&gt;1,"Unknown / duplicate part",IF(VLOOKUP(F61,'Definitions'!$A$8:$J$207,3,FALSE)&lt;&gt;"Part","Ship purchasable parts only",IF(OR(NOT(ISNUMBER(H61)),H61&lt;0,MOD(H61,1)&lt;&gt;0,NOT(ISNUMBER(I61)),I61&lt;0,MOD(I61,1)&lt;&gt;0,NOT(ISNUMBER(J61)),J61&lt;0,MOD(J61,1)&lt;&gt;0),"Invalid shipment quantities",IF(I61+J61&gt;H61,"Receipts exceed dispatch",IF(AND(H61&gt;0,NOT(ISNUMBER(L61))),"Set actual dispatch date",IF(C61="Inbound",IF(COUNTIFS('Orders'!$A$8:$A$207,D61)&lt;&gt;1,"Choose a unique order line",IF(VLOOKUP(D61,'Orders'!$A$8:$L$207,4,FALSE)&lt;&gt;F61,"Order part mismatch","OK")),IF(D61&lt;&gt;"","Clear outbound order line",IF(AND(VLOOKUP(F61,'Definitions'!$A$8:$J$207,7,FALSE)="Yes",OR(G61="",H61&lt;&gt;1)),"Serialized outbound: one asset per row",IF(G61="","OK",IF(COUNTIFS('Assets'!$A$8:$A$207,G61)&lt;&gt;1,"Unknown / duplicate asset",IF(VLOOKUP(G61,'Assets'!$A$8:$K$207,2,FALSE)&lt;&gt;F61,"Asset part mismatch",IF(COUNTIFS($G$8:$G$207,G61,$C$8:$C$207,"Outbound")&lt;&gt;1,"Asset dispatched more than once","OK"))))))))))))))))</x:f>
      </x:c>
    </x:row>
    <x:row r="62" ht="22" customHeight="1">
      <x:c r="A62" s="10"/>
      <x:c r="B62" s="10"/>
      <x:c r="C62" s="10"/>
      <x:c r="D62" s="10"/>
      <x:c r="E62" s="10"/>
      <x:c r="F62" s="10"/>
      <x:c r="G62" s="10"/>
      <x:c r="H62" s="12"/>
      <x:c r="I62" s="12"/>
      <x:c r="J62" s="12"/>
      <x:c r="K62" s="11" t="str">
        <x:f>IF(A62="","",MAX(0,H62-I62-J62))</x:f>
      </x:c>
      <x:c r="L62" s="13"/>
      <x:c r="M62" s="13"/>
      <x:c r="N62" s="10"/>
      <x:c r="O62" s="10"/>
      <x:c r="P62" s="9" t="str">
        <x:f>IF(A62="","",IF(COUNTIFS('Shipments'!$A$8:$A$207,A62)&lt;&gt;1,"Duplicate shipment line",IF(OR(B62="",E62="",O62=""),"Set shipment, box and destination",IF(AND(C62&lt;&gt;"Inbound",C62&lt;&gt;"Outbound"),"Choose direction",IF(COUNTIFS('Definitions'!$A$8:$A$207,F62)&lt;&gt;1,"Unknown / duplicate part",IF(VLOOKUP(F62,'Definitions'!$A$8:$J$207,3,FALSE)&lt;&gt;"Part","Ship purchasable parts only",IF(OR(NOT(ISNUMBER(H62)),H62&lt;0,MOD(H62,1)&lt;&gt;0,NOT(ISNUMBER(I62)),I62&lt;0,MOD(I62,1)&lt;&gt;0,NOT(ISNUMBER(J62)),J62&lt;0,MOD(J62,1)&lt;&gt;0),"Invalid shipment quantities",IF(I62+J62&gt;H62,"Receipts exceed dispatch",IF(AND(H62&gt;0,NOT(ISNUMBER(L62))),"Set actual dispatch date",IF(C62="Inbound",IF(COUNTIFS('Orders'!$A$8:$A$207,D62)&lt;&gt;1,"Choose a unique order line",IF(VLOOKUP(D62,'Orders'!$A$8:$L$207,4,FALSE)&lt;&gt;F62,"Order part mismatch","OK")),IF(D62&lt;&gt;"","Clear outbound order line",IF(AND(VLOOKUP(F62,'Definitions'!$A$8:$J$207,7,FALSE)="Yes",OR(G62="",H62&lt;&gt;1)),"Serialized outbound: one asset per row",IF(G62="","OK",IF(COUNTIFS('Assets'!$A$8:$A$207,G62)&lt;&gt;1,"Unknown / duplicate asset",IF(VLOOKUP(G62,'Assets'!$A$8:$K$207,2,FALSE)&lt;&gt;F62,"Asset part mismatch",IF(COUNTIFS($G$8:$G$207,G62,$C$8:$C$207,"Outbound")&lt;&gt;1,"Asset dispatched more than once","OK"))))))))))))))))</x:f>
      </x:c>
    </x:row>
    <x:row r="63" ht="22" customHeight="1">
      <x:c r="A63" s="10"/>
      <x:c r="B63" s="10"/>
      <x:c r="C63" s="10"/>
      <x:c r="D63" s="10"/>
      <x:c r="E63" s="10"/>
      <x:c r="F63" s="10"/>
      <x:c r="G63" s="10"/>
      <x:c r="H63" s="12"/>
      <x:c r="I63" s="12"/>
      <x:c r="J63" s="12"/>
      <x:c r="K63" s="11" t="str">
        <x:f>IF(A63="","",MAX(0,H63-I63-J63))</x:f>
      </x:c>
      <x:c r="L63" s="13"/>
      <x:c r="M63" s="13"/>
      <x:c r="N63" s="10"/>
      <x:c r="O63" s="10"/>
      <x:c r="P63" s="9" t="str">
        <x:f>IF(A63="","",IF(COUNTIFS('Shipments'!$A$8:$A$207,A63)&lt;&gt;1,"Duplicate shipment line",IF(OR(B63="",E63="",O63=""),"Set shipment, box and destination",IF(AND(C63&lt;&gt;"Inbound",C63&lt;&gt;"Outbound"),"Choose direction",IF(COUNTIFS('Definitions'!$A$8:$A$207,F63)&lt;&gt;1,"Unknown / duplicate part",IF(VLOOKUP(F63,'Definitions'!$A$8:$J$207,3,FALSE)&lt;&gt;"Part","Ship purchasable parts only",IF(OR(NOT(ISNUMBER(H63)),H63&lt;0,MOD(H63,1)&lt;&gt;0,NOT(ISNUMBER(I63)),I63&lt;0,MOD(I63,1)&lt;&gt;0,NOT(ISNUMBER(J63)),J63&lt;0,MOD(J63,1)&lt;&gt;0),"Invalid shipment quantities",IF(I63+J63&gt;H63,"Receipts exceed dispatch",IF(AND(H63&gt;0,NOT(ISNUMBER(L63))),"Set actual dispatch date",IF(C63="Inbound",IF(COUNTIFS('Orders'!$A$8:$A$207,D63)&lt;&gt;1,"Choose a unique order line",IF(VLOOKUP(D63,'Orders'!$A$8:$L$207,4,FALSE)&lt;&gt;F63,"Order part mismatch","OK")),IF(D63&lt;&gt;"","Clear outbound order line",IF(AND(VLOOKUP(F63,'Definitions'!$A$8:$J$207,7,FALSE)="Yes",OR(G63="",H63&lt;&gt;1)),"Serialized outbound: one asset per row",IF(G63="","OK",IF(COUNTIFS('Assets'!$A$8:$A$207,G63)&lt;&gt;1,"Unknown / duplicate asset",IF(VLOOKUP(G63,'Assets'!$A$8:$K$207,2,FALSE)&lt;&gt;F63,"Asset part mismatch",IF(COUNTIFS($G$8:$G$207,G63,$C$8:$C$207,"Outbound")&lt;&gt;1,"Asset dispatched more than once","OK"))))))))))))))))</x:f>
      </x:c>
    </x:row>
    <x:row r="64" ht="22" customHeight="1">
      <x:c r="A64" s="10"/>
      <x:c r="B64" s="10"/>
      <x:c r="C64" s="10"/>
      <x:c r="D64" s="10"/>
      <x:c r="E64" s="10"/>
      <x:c r="F64" s="10"/>
      <x:c r="G64" s="10"/>
      <x:c r="H64" s="12"/>
      <x:c r="I64" s="12"/>
      <x:c r="J64" s="12"/>
      <x:c r="K64" s="11" t="str">
        <x:f>IF(A64="","",MAX(0,H64-I64-J64))</x:f>
      </x:c>
      <x:c r="L64" s="13"/>
      <x:c r="M64" s="13"/>
      <x:c r="N64" s="10"/>
      <x:c r="O64" s="10"/>
      <x:c r="P64" s="9" t="str">
        <x:f>IF(A64="","",IF(COUNTIFS('Shipments'!$A$8:$A$207,A64)&lt;&gt;1,"Duplicate shipment line",IF(OR(B64="",E64="",O64=""),"Set shipment, box and destination",IF(AND(C64&lt;&gt;"Inbound",C64&lt;&gt;"Outbound"),"Choose direction",IF(COUNTIFS('Definitions'!$A$8:$A$207,F64)&lt;&gt;1,"Unknown / duplicate part",IF(VLOOKUP(F64,'Definitions'!$A$8:$J$207,3,FALSE)&lt;&gt;"Part","Ship purchasable parts only",IF(OR(NOT(ISNUMBER(H64)),H64&lt;0,MOD(H64,1)&lt;&gt;0,NOT(ISNUMBER(I64)),I64&lt;0,MOD(I64,1)&lt;&gt;0,NOT(ISNUMBER(J64)),J64&lt;0,MOD(J64,1)&lt;&gt;0),"Invalid shipment quantities",IF(I64+J64&gt;H64,"Receipts exceed dispatch",IF(AND(H64&gt;0,NOT(ISNUMBER(L64))),"Set actual dispatch date",IF(C64="Inbound",IF(COUNTIFS('Orders'!$A$8:$A$207,D64)&lt;&gt;1,"Choose a unique order line",IF(VLOOKUP(D64,'Orders'!$A$8:$L$207,4,FALSE)&lt;&gt;F64,"Order part mismatch","OK")),IF(D64&lt;&gt;"","Clear outbound order line",IF(AND(VLOOKUP(F64,'Definitions'!$A$8:$J$207,7,FALSE)="Yes",OR(G64="",H64&lt;&gt;1)),"Serialized outbound: one asset per row",IF(G64="","OK",IF(COUNTIFS('Assets'!$A$8:$A$207,G64)&lt;&gt;1,"Unknown / duplicate asset",IF(VLOOKUP(G64,'Assets'!$A$8:$K$207,2,FALSE)&lt;&gt;F64,"Asset part mismatch",IF(COUNTIFS($G$8:$G$207,G64,$C$8:$C$207,"Outbound")&lt;&gt;1,"Asset dispatched more than once","OK"))))))))))))))))</x:f>
      </x:c>
    </x:row>
    <x:row r="65" ht="22" customHeight="1">
      <x:c r="A65" s="10"/>
      <x:c r="B65" s="10"/>
      <x:c r="C65" s="10"/>
      <x:c r="D65" s="10"/>
      <x:c r="E65" s="10"/>
      <x:c r="F65" s="10"/>
      <x:c r="G65" s="10"/>
      <x:c r="H65" s="12"/>
      <x:c r="I65" s="12"/>
      <x:c r="J65" s="12"/>
      <x:c r="K65" s="11" t="str">
        <x:f>IF(A65="","",MAX(0,H65-I65-J65))</x:f>
      </x:c>
      <x:c r="L65" s="13"/>
      <x:c r="M65" s="13"/>
      <x:c r="N65" s="10"/>
      <x:c r="O65" s="10"/>
      <x:c r="P65" s="9" t="str">
        <x:f>IF(A65="","",IF(COUNTIFS('Shipments'!$A$8:$A$207,A65)&lt;&gt;1,"Duplicate shipment line",IF(OR(B65="",E65="",O65=""),"Set shipment, box and destination",IF(AND(C65&lt;&gt;"Inbound",C65&lt;&gt;"Outbound"),"Choose direction",IF(COUNTIFS('Definitions'!$A$8:$A$207,F65)&lt;&gt;1,"Unknown / duplicate part",IF(VLOOKUP(F65,'Definitions'!$A$8:$J$207,3,FALSE)&lt;&gt;"Part","Ship purchasable parts only",IF(OR(NOT(ISNUMBER(H65)),H65&lt;0,MOD(H65,1)&lt;&gt;0,NOT(ISNUMBER(I65)),I65&lt;0,MOD(I65,1)&lt;&gt;0,NOT(ISNUMBER(J65)),J65&lt;0,MOD(J65,1)&lt;&gt;0),"Invalid shipment quantities",IF(I65+J65&gt;H65,"Receipts exceed dispatch",IF(AND(H65&gt;0,NOT(ISNUMBER(L65))),"Set actual dispatch date",IF(C65="Inbound",IF(COUNTIFS('Orders'!$A$8:$A$207,D65)&lt;&gt;1,"Choose a unique order line",IF(VLOOKUP(D65,'Orders'!$A$8:$L$207,4,FALSE)&lt;&gt;F65,"Order part mismatch","OK")),IF(D65&lt;&gt;"","Clear outbound order line",IF(AND(VLOOKUP(F65,'Definitions'!$A$8:$J$207,7,FALSE)="Yes",OR(G65="",H65&lt;&gt;1)),"Serialized outbound: one asset per row",IF(G65="","OK",IF(COUNTIFS('Assets'!$A$8:$A$207,G65)&lt;&gt;1,"Unknown / duplicate asset",IF(VLOOKUP(G65,'Assets'!$A$8:$K$207,2,FALSE)&lt;&gt;F65,"Asset part mismatch",IF(COUNTIFS($G$8:$G$207,G65,$C$8:$C$207,"Outbound")&lt;&gt;1,"Asset dispatched more than once","OK"))))))))))))))))</x:f>
      </x:c>
    </x:row>
    <x:row r="66" ht="22" customHeight="1">
      <x:c r="A66" s="10"/>
      <x:c r="B66" s="10"/>
      <x:c r="C66" s="10"/>
      <x:c r="D66" s="10"/>
      <x:c r="E66" s="10"/>
      <x:c r="F66" s="10"/>
      <x:c r="G66" s="10"/>
      <x:c r="H66" s="12"/>
      <x:c r="I66" s="12"/>
      <x:c r="J66" s="12"/>
      <x:c r="K66" s="11" t="str">
        <x:f>IF(A66="","",MAX(0,H66-I66-J66))</x:f>
      </x:c>
      <x:c r="L66" s="13"/>
      <x:c r="M66" s="13"/>
      <x:c r="N66" s="10"/>
      <x:c r="O66" s="10"/>
      <x:c r="P66" s="9" t="str">
        <x:f>IF(A66="","",IF(COUNTIFS('Shipments'!$A$8:$A$207,A66)&lt;&gt;1,"Duplicate shipment line",IF(OR(B66="",E66="",O66=""),"Set shipment, box and destination",IF(AND(C66&lt;&gt;"Inbound",C66&lt;&gt;"Outbound"),"Choose direction",IF(COUNTIFS('Definitions'!$A$8:$A$207,F66)&lt;&gt;1,"Unknown / duplicate part",IF(VLOOKUP(F66,'Definitions'!$A$8:$J$207,3,FALSE)&lt;&gt;"Part","Ship purchasable parts only",IF(OR(NOT(ISNUMBER(H66)),H66&lt;0,MOD(H66,1)&lt;&gt;0,NOT(ISNUMBER(I66)),I66&lt;0,MOD(I66,1)&lt;&gt;0,NOT(ISNUMBER(J66)),J66&lt;0,MOD(J66,1)&lt;&gt;0),"Invalid shipment quantities",IF(I66+J66&gt;H66,"Receipts exceed dispatch",IF(AND(H66&gt;0,NOT(ISNUMBER(L66))),"Set actual dispatch date",IF(C66="Inbound",IF(COUNTIFS('Orders'!$A$8:$A$207,D66)&lt;&gt;1,"Choose a unique order line",IF(VLOOKUP(D66,'Orders'!$A$8:$L$207,4,FALSE)&lt;&gt;F66,"Order part mismatch","OK")),IF(D66&lt;&gt;"","Clear outbound order line",IF(AND(VLOOKUP(F66,'Definitions'!$A$8:$J$207,7,FALSE)="Yes",OR(G66="",H66&lt;&gt;1)),"Serialized outbound: one asset per row",IF(G66="","OK",IF(COUNTIFS('Assets'!$A$8:$A$207,G66)&lt;&gt;1,"Unknown / duplicate asset",IF(VLOOKUP(G66,'Assets'!$A$8:$K$207,2,FALSE)&lt;&gt;F66,"Asset part mismatch",IF(COUNTIFS($G$8:$G$207,G66,$C$8:$C$207,"Outbound")&lt;&gt;1,"Asset dispatched more than once","OK"))))))))))))))))</x:f>
      </x:c>
    </x:row>
    <x:row r="67" ht="22" customHeight="1">
      <x:c r="A67" s="10"/>
      <x:c r="B67" s="10"/>
      <x:c r="C67" s="10"/>
      <x:c r="D67" s="10"/>
      <x:c r="E67" s="10"/>
      <x:c r="F67" s="10"/>
      <x:c r="G67" s="10"/>
      <x:c r="H67" s="12"/>
      <x:c r="I67" s="12"/>
      <x:c r="J67" s="12"/>
      <x:c r="K67" s="11" t="str">
        <x:f>IF(A67="","",MAX(0,H67-I67-J67))</x:f>
      </x:c>
      <x:c r="L67" s="13"/>
      <x:c r="M67" s="13"/>
      <x:c r="N67" s="10"/>
      <x:c r="O67" s="10"/>
      <x:c r="P67" s="9" t="str">
        <x:f>IF(A67="","",IF(COUNTIFS('Shipments'!$A$8:$A$207,A67)&lt;&gt;1,"Duplicate shipment line",IF(OR(B67="",E67="",O67=""),"Set shipment, box and destination",IF(AND(C67&lt;&gt;"Inbound",C67&lt;&gt;"Outbound"),"Choose direction",IF(COUNTIFS('Definitions'!$A$8:$A$207,F67)&lt;&gt;1,"Unknown / duplicate part",IF(VLOOKUP(F67,'Definitions'!$A$8:$J$207,3,FALSE)&lt;&gt;"Part","Ship purchasable parts only",IF(OR(NOT(ISNUMBER(H67)),H67&lt;0,MOD(H67,1)&lt;&gt;0,NOT(ISNUMBER(I67)),I67&lt;0,MOD(I67,1)&lt;&gt;0,NOT(ISNUMBER(J67)),J67&lt;0,MOD(J67,1)&lt;&gt;0),"Invalid shipment quantities",IF(I67+J67&gt;H67,"Receipts exceed dispatch",IF(AND(H67&gt;0,NOT(ISNUMBER(L67))),"Set actual dispatch date",IF(C67="Inbound",IF(COUNTIFS('Orders'!$A$8:$A$207,D67)&lt;&gt;1,"Choose a unique order line",IF(VLOOKUP(D67,'Orders'!$A$8:$L$207,4,FALSE)&lt;&gt;F67,"Order part mismatch","OK")),IF(D67&lt;&gt;"","Clear outbound order line",IF(AND(VLOOKUP(F67,'Definitions'!$A$8:$J$207,7,FALSE)="Yes",OR(G67="",H67&lt;&gt;1)),"Serialized outbound: one asset per row",IF(G67="","OK",IF(COUNTIFS('Assets'!$A$8:$A$207,G67)&lt;&gt;1,"Unknown / duplicate asset",IF(VLOOKUP(G67,'Assets'!$A$8:$K$207,2,FALSE)&lt;&gt;F67,"Asset part mismatch",IF(COUNTIFS($G$8:$G$207,G67,$C$8:$C$207,"Outbound")&lt;&gt;1,"Asset dispatched more than once","OK"))))))))))))))))</x:f>
      </x:c>
    </x:row>
    <x:row r="68" ht="22" customHeight="1">
      <x:c r="A68" s="10"/>
      <x:c r="B68" s="10"/>
      <x:c r="C68" s="10"/>
      <x:c r="D68" s="10"/>
      <x:c r="E68" s="10"/>
      <x:c r="F68" s="10"/>
      <x:c r="G68" s="10"/>
      <x:c r="H68" s="12"/>
      <x:c r="I68" s="12"/>
      <x:c r="J68" s="12"/>
      <x:c r="K68" s="11" t="str">
        <x:f>IF(A68="","",MAX(0,H68-I68-J68))</x:f>
      </x:c>
      <x:c r="L68" s="13"/>
      <x:c r="M68" s="13"/>
      <x:c r="N68" s="10"/>
      <x:c r="O68" s="10"/>
      <x:c r="P68" s="9" t="str">
        <x:f>IF(A68="","",IF(COUNTIFS('Shipments'!$A$8:$A$207,A68)&lt;&gt;1,"Duplicate shipment line",IF(OR(B68="",E68="",O68=""),"Set shipment, box and destination",IF(AND(C68&lt;&gt;"Inbound",C68&lt;&gt;"Outbound"),"Choose direction",IF(COUNTIFS('Definitions'!$A$8:$A$207,F68)&lt;&gt;1,"Unknown / duplicate part",IF(VLOOKUP(F68,'Definitions'!$A$8:$J$207,3,FALSE)&lt;&gt;"Part","Ship purchasable parts only",IF(OR(NOT(ISNUMBER(H68)),H68&lt;0,MOD(H68,1)&lt;&gt;0,NOT(ISNUMBER(I68)),I68&lt;0,MOD(I68,1)&lt;&gt;0,NOT(ISNUMBER(J68)),J68&lt;0,MOD(J68,1)&lt;&gt;0),"Invalid shipment quantities",IF(I68+J68&gt;H68,"Receipts exceed dispatch",IF(AND(H68&gt;0,NOT(ISNUMBER(L68))),"Set actual dispatch date",IF(C68="Inbound",IF(COUNTIFS('Orders'!$A$8:$A$207,D68)&lt;&gt;1,"Choose a unique order line",IF(VLOOKUP(D68,'Orders'!$A$8:$L$207,4,FALSE)&lt;&gt;F68,"Order part mismatch","OK")),IF(D68&lt;&gt;"","Clear outbound order line",IF(AND(VLOOKUP(F68,'Definitions'!$A$8:$J$207,7,FALSE)="Yes",OR(G68="",H68&lt;&gt;1)),"Serialized outbound: one asset per row",IF(G68="","OK",IF(COUNTIFS('Assets'!$A$8:$A$207,G68)&lt;&gt;1,"Unknown / duplicate asset",IF(VLOOKUP(G68,'Assets'!$A$8:$K$207,2,FALSE)&lt;&gt;F68,"Asset part mismatch",IF(COUNTIFS($G$8:$G$207,G68,$C$8:$C$207,"Outbound")&lt;&gt;1,"Asset dispatched more than once","OK"))))))))))))))))</x:f>
      </x:c>
    </x:row>
    <x:row r="69" ht="22" customHeight="1">
      <x:c r="A69" s="10"/>
      <x:c r="B69" s="10"/>
      <x:c r="C69" s="10"/>
      <x:c r="D69" s="10"/>
      <x:c r="E69" s="10"/>
      <x:c r="F69" s="10"/>
      <x:c r="G69" s="10"/>
      <x:c r="H69" s="12"/>
      <x:c r="I69" s="12"/>
      <x:c r="J69" s="12"/>
      <x:c r="K69" s="11" t="str">
        <x:f>IF(A69="","",MAX(0,H69-I69-J69))</x:f>
      </x:c>
      <x:c r="L69" s="13"/>
      <x:c r="M69" s="13"/>
      <x:c r="N69" s="10"/>
      <x:c r="O69" s="10"/>
      <x:c r="P69" s="9" t="str">
        <x:f>IF(A69="","",IF(COUNTIFS('Shipments'!$A$8:$A$207,A69)&lt;&gt;1,"Duplicate shipment line",IF(OR(B69="",E69="",O69=""),"Set shipment, box and destination",IF(AND(C69&lt;&gt;"Inbound",C69&lt;&gt;"Outbound"),"Choose direction",IF(COUNTIFS('Definitions'!$A$8:$A$207,F69)&lt;&gt;1,"Unknown / duplicate part",IF(VLOOKUP(F69,'Definitions'!$A$8:$J$207,3,FALSE)&lt;&gt;"Part","Ship purchasable parts only",IF(OR(NOT(ISNUMBER(H69)),H69&lt;0,MOD(H69,1)&lt;&gt;0,NOT(ISNUMBER(I69)),I69&lt;0,MOD(I69,1)&lt;&gt;0,NOT(ISNUMBER(J69)),J69&lt;0,MOD(J69,1)&lt;&gt;0),"Invalid shipment quantities",IF(I69+J69&gt;H69,"Receipts exceed dispatch",IF(AND(H69&gt;0,NOT(ISNUMBER(L69))),"Set actual dispatch date",IF(C69="Inbound",IF(COUNTIFS('Orders'!$A$8:$A$207,D69)&lt;&gt;1,"Choose a unique order line",IF(VLOOKUP(D69,'Orders'!$A$8:$L$207,4,FALSE)&lt;&gt;F69,"Order part mismatch","OK")),IF(D69&lt;&gt;"","Clear outbound order line",IF(AND(VLOOKUP(F69,'Definitions'!$A$8:$J$207,7,FALSE)="Yes",OR(G69="",H69&lt;&gt;1)),"Serialized outbound: one asset per row",IF(G69="","OK",IF(COUNTIFS('Assets'!$A$8:$A$207,G69)&lt;&gt;1,"Unknown / duplicate asset",IF(VLOOKUP(G69,'Assets'!$A$8:$K$207,2,FALSE)&lt;&gt;F69,"Asset part mismatch",IF(COUNTIFS($G$8:$G$207,G69,$C$8:$C$207,"Outbound")&lt;&gt;1,"Asset dispatched more than once","OK"))))))))))))))))</x:f>
      </x:c>
    </x:row>
    <x:row r="70" ht="22" customHeight="1">
      <x:c r="A70" s="10"/>
      <x:c r="B70" s="10"/>
      <x:c r="C70" s="10"/>
      <x:c r="D70" s="10"/>
      <x:c r="E70" s="10"/>
      <x:c r="F70" s="10"/>
      <x:c r="G70" s="10"/>
      <x:c r="H70" s="12"/>
      <x:c r="I70" s="12"/>
      <x:c r="J70" s="12"/>
      <x:c r="K70" s="11" t="str">
        <x:f>IF(A70="","",MAX(0,H70-I70-J70))</x:f>
      </x:c>
      <x:c r="L70" s="13"/>
      <x:c r="M70" s="13"/>
      <x:c r="N70" s="10"/>
      <x:c r="O70" s="10"/>
      <x:c r="P70" s="9" t="str">
        <x:f>IF(A70="","",IF(COUNTIFS('Shipments'!$A$8:$A$207,A70)&lt;&gt;1,"Duplicate shipment line",IF(OR(B70="",E70="",O70=""),"Set shipment, box and destination",IF(AND(C70&lt;&gt;"Inbound",C70&lt;&gt;"Outbound"),"Choose direction",IF(COUNTIFS('Definitions'!$A$8:$A$207,F70)&lt;&gt;1,"Unknown / duplicate part",IF(VLOOKUP(F70,'Definitions'!$A$8:$J$207,3,FALSE)&lt;&gt;"Part","Ship purchasable parts only",IF(OR(NOT(ISNUMBER(H70)),H70&lt;0,MOD(H70,1)&lt;&gt;0,NOT(ISNUMBER(I70)),I70&lt;0,MOD(I70,1)&lt;&gt;0,NOT(ISNUMBER(J70)),J70&lt;0,MOD(J70,1)&lt;&gt;0),"Invalid shipment quantities",IF(I70+J70&gt;H70,"Receipts exceed dispatch",IF(AND(H70&gt;0,NOT(ISNUMBER(L70))),"Set actual dispatch date",IF(C70="Inbound",IF(COUNTIFS('Orders'!$A$8:$A$207,D70)&lt;&gt;1,"Choose a unique order line",IF(VLOOKUP(D70,'Orders'!$A$8:$L$207,4,FALSE)&lt;&gt;F70,"Order part mismatch","OK")),IF(D70&lt;&gt;"","Clear outbound order line",IF(AND(VLOOKUP(F70,'Definitions'!$A$8:$J$207,7,FALSE)="Yes",OR(G70="",H70&lt;&gt;1)),"Serialized outbound: one asset per row",IF(G70="","OK",IF(COUNTIFS('Assets'!$A$8:$A$207,G70)&lt;&gt;1,"Unknown / duplicate asset",IF(VLOOKUP(G70,'Assets'!$A$8:$K$207,2,FALSE)&lt;&gt;F70,"Asset part mismatch",IF(COUNTIFS($G$8:$G$207,G70,$C$8:$C$207,"Outbound")&lt;&gt;1,"Asset dispatched more than once","OK"))))))))))))))))</x:f>
      </x:c>
    </x:row>
    <x:row r="71" ht="22" customHeight="1">
      <x:c r="A71" s="10"/>
      <x:c r="B71" s="10"/>
      <x:c r="C71" s="10"/>
      <x:c r="D71" s="10"/>
      <x:c r="E71" s="10"/>
      <x:c r="F71" s="10"/>
      <x:c r="G71" s="10"/>
      <x:c r="H71" s="12"/>
      <x:c r="I71" s="12"/>
      <x:c r="J71" s="12"/>
      <x:c r="K71" s="11" t="str">
        <x:f>IF(A71="","",MAX(0,H71-I71-J71))</x:f>
      </x:c>
      <x:c r="L71" s="13"/>
      <x:c r="M71" s="13"/>
      <x:c r="N71" s="10"/>
      <x:c r="O71" s="10"/>
      <x:c r="P71" s="9" t="str">
        <x:f>IF(A71="","",IF(COUNTIFS('Shipments'!$A$8:$A$207,A71)&lt;&gt;1,"Duplicate shipment line",IF(OR(B71="",E71="",O71=""),"Set shipment, box and destination",IF(AND(C71&lt;&gt;"Inbound",C71&lt;&gt;"Outbound"),"Choose direction",IF(COUNTIFS('Definitions'!$A$8:$A$207,F71)&lt;&gt;1,"Unknown / duplicate part",IF(VLOOKUP(F71,'Definitions'!$A$8:$J$207,3,FALSE)&lt;&gt;"Part","Ship purchasable parts only",IF(OR(NOT(ISNUMBER(H71)),H71&lt;0,MOD(H71,1)&lt;&gt;0,NOT(ISNUMBER(I71)),I71&lt;0,MOD(I71,1)&lt;&gt;0,NOT(ISNUMBER(J71)),J71&lt;0,MOD(J71,1)&lt;&gt;0),"Invalid shipment quantities",IF(I71+J71&gt;H71,"Receipts exceed dispatch",IF(AND(H71&gt;0,NOT(ISNUMBER(L71))),"Set actual dispatch date",IF(C71="Inbound",IF(COUNTIFS('Orders'!$A$8:$A$207,D71)&lt;&gt;1,"Choose a unique order line",IF(VLOOKUP(D71,'Orders'!$A$8:$L$207,4,FALSE)&lt;&gt;F71,"Order part mismatch","OK")),IF(D71&lt;&gt;"","Clear outbound order line",IF(AND(VLOOKUP(F71,'Definitions'!$A$8:$J$207,7,FALSE)="Yes",OR(G71="",H71&lt;&gt;1)),"Serialized outbound: one asset per row",IF(G71="","OK",IF(COUNTIFS('Assets'!$A$8:$A$207,G71)&lt;&gt;1,"Unknown / duplicate asset",IF(VLOOKUP(G71,'Assets'!$A$8:$K$207,2,FALSE)&lt;&gt;F71,"Asset part mismatch",IF(COUNTIFS($G$8:$G$207,G71,$C$8:$C$207,"Outbound")&lt;&gt;1,"Asset dispatched more than once","OK"))))))))))))))))</x:f>
      </x:c>
    </x:row>
    <x:row r="72" ht="22" customHeight="1">
      <x:c r="A72" s="10"/>
      <x:c r="B72" s="10"/>
      <x:c r="C72" s="10"/>
      <x:c r="D72" s="10"/>
      <x:c r="E72" s="10"/>
      <x:c r="F72" s="10"/>
      <x:c r="G72" s="10"/>
      <x:c r="H72" s="12"/>
      <x:c r="I72" s="12"/>
      <x:c r="J72" s="12"/>
      <x:c r="K72" s="11" t="str">
        <x:f>IF(A72="","",MAX(0,H72-I72-J72))</x:f>
      </x:c>
      <x:c r="L72" s="13"/>
      <x:c r="M72" s="13"/>
      <x:c r="N72" s="10"/>
      <x:c r="O72" s="10"/>
      <x:c r="P72" s="9" t="str">
        <x:f>IF(A72="","",IF(COUNTIFS('Shipments'!$A$8:$A$207,A72)&lt;&gt;1,"Duplicate shipment line",IF(OR(B72="",E72="",O72=""),"Set shipment, box and destination",IF(AND(C72&lt;&gt;"Inbound",C72&lt;&gt;"Outbound"),"Choose direction",IF(COUNTIFS('Definitions'!$A$8:$A$207,F72)&lt;&gt;1,"Unknown / duplicate part",IF(VLOOKUP(F72,'Definitions'!$A$8:$J$207,3,FALSE)&lt;&gt;"Part","Ship purchasable parts only",IF(OR(NOT(ISNUMBER(H72)),H72&lt;0,MOD(H72,1)&lt;&gt;0,NOT(ISNUMBER(I72)),I72&lt;0,MOD(I72,1)&lt;&gt;0,NOT(ISNUMBER(J72)),J72&lt;0,MOD(J72,1)&lt;&gt;0),"Invalid shipment quantities",IF(I72+J72&gt;H72,"Receipts exceed dispatch",IF(AND(H72&gt;0,NOT(ISNUMBER(L72))),"Set actual dispatch date",IF(C72="Inbound",IF(COUNTIFS('Orders'!$A$8:$A$207,D72)&lt;&gt;1,"Choose a unique order line",IF(VLOOKUP(D72,'Orders'!$A$8:$L$207,4,FALSE)&lt;&gt;F72,"Order part mismatch","OK")),IF(D72&lt;&gt;"","Clear outbound order line",IF(AND(VLOOKUP(F72,'Definitions'!$A$8:$J$207,7,FALSE)="Yes",OR(G72="",H72&lt;&gt;1)),"Serialized outbound: one asset per row",IF(G72="","OK",IF(COUNTIFS('Assets'!$A$8:$A$207,G72)&lt;&gt;1,"Unknown / duplicate asset",IF(VLOOKUP(G72,'Assets'!$A$8:$K$207,2,FALSE)&lt;&gt;F72,"Asset part mismatch",IF(COUNTIFS($G$8:$G$207,G72,$C$8:$C$207,"Outbound")&lt;&gt;1,"Asset dispatched more than once","OK"))))))))))))))))</x:f>
      </x:c>
    </x:row>
    <x:row r="73" ht="22" customHeight="1">
      <x:c r="A73" s="10"/>
      <x:c r="B73" s="10"/>
      <x:c r="C73" s="10"/>
      <x:c r="D73" s="10"/>
      <x:c r="E73" s="10"/>
      <x:c r="F73" s="10"/>
      <x:c r="G73" s="10"/>
      <x:c r="H73" s="12"/>
      <x:c r="I73" s="12"/>
      <x:c r="J73" s="12"/>
      <x:c r="K73" s="11" t="str">
        <x:f>IF(A73="","",MAX(0,H73-I73-J73))</x:f>
      </x:c>
      <x:c r="L73" s="13"/>
      <x:c r="M73" s="13"/>
      <x:c r="N73" s="10"/>
      <x:c r="O73" s="10"/>
      <x:c r="P73" s="9" t="str">
        <x:f>IF(A73="","",IF(COUNTIFS('Shipments'!$A$8:$A$207,A73)&lt;&gt;1,"Duplicate shipment line",IF(OR(B73="",E73="",O73=""),"Set shipment, box and destination",IF(AND(C73&lt;&gt;"Inbound",C73&lt;&gt;"Outbound"),"Choose direction",IF(COUNTIFS('Definitions'!$A$8:$A$207,F73)&lt;&gt;1,"Unknown / duplicate part",IF(VLOOKUP(F73,'Definitions'!$A$8:$J$207,3,FALSE)&lt;&gt;"Part","Ship purchasable parts only",IF(OR(NOT(ISNUMBER(H73)),H73&lt;0,MOD(H73,1)&lt;&gt;0,NOT(ISNUMBER(I73)),I73&lt;0,MOD(I73,1)&lt;&gt;0,NOT(ISNUMBER(J73)),J73&lt;0,MOD(J73,1)&lt;&gt;0),"Invalid shipment quantities",IF(I73+J73&gt;H73,"Receipts exceed dispatch",IF(AND(H73&gt;0,NOT(ISNUMBER(L73))),"Set actual dispatch date",IF(C73="Inbound",IF(COUNTIFS('Orders'!$A$8:$A$207,D73)&lt;&gt;1,"Choose a unique order line",IF(VLOOKUP(D73,'Orders'!$A$8:$L$207,4,FALSE)&lt;&gt;F73,"Order part mismatch","OK")),IF(D73&lt;&gt;"","Clear outbound order line",IF(AND(VLOOKUP(F73,'Definitions'!$A$8:$J$207,7,FALSE)="Yes",OR(G73="",H73&lt;&gt;1)),"Serialized outbound: one asset per row",IF(G73="","OK",IF(COUNTIFS('Assets'!$A$8:$A$207,G73)&lt;&gt;1,"Unknown / duplicate asset",IF(VLOOKUP(G73,'Assets'!$A$8:$K$207,2,FALSE)&lt;&gt;F73,"Asset part mismatch",IF(COUNTIFS($G$8:$G$207,G73,$C$8:$C$207,"Outbound")&lt;&gt;1,"Asset dispatched more than once","OK"))))))))))))))))</x:f>
      </x:c>
    </x:row>
    <x:row r="74" ht="22" customHeight="1">
      <x:c r="A74" s="10"/>
      <x:c r="B74" s="10"/>
      <x:c r="C74" s="10"/>
      <x:c r="D74" s="10"/>
      <x:c r="E74" s="10"/>
      <x:c r="F74" s="10"/>
      <x:c r="G74" s="10"/>
      <x:c r="H74" s="12"/>
      <x:c r="I74" s="12"/>
      <x:c r="J74" s="12"/>
      <x:c r="K74" s="11" t="str">
        <x:f>IF(A74="","",MAX(0,H74-I74-J74))</x:f>
      </x:c>
      <x:c r="L74" s="13"/>
      <x:c r="M74" s="13"/>
      <x:c r="N74" s="10"/>
      <x:c r="O74" s="10"/>
      <x:c r="P74" s="9" t="str">
        <x:f>IF(A74="","",IF(COUNTIFS('Shipments'!$A$8:$A$207,A74)&lt;&gt;1,"Duplicate shipment line",IF(OR(B74="",E74="",O74=""),"Set shipment, box and destination",IF(AND(C74&lt;&gt;"Inbound",C74&lt;&gt;"Outbound"),"Choose direction",IF(COUNTIFS('Definitions'!$A$8:$A$207,F74)&lt;&gt;1,"Unknown / duplicate part",IF(VLOOKUP(F74,'Definitions'!$A$8:$J$207,3,FALSE)&lt;&gt;"Part","Ship purchasable parts only",IF(OR(NOT(ISNUMBER(H74)),H74&lt;0,MOD(H74,1)&lt;&gt;0,NOT(ISNUMBER(I74)),I74&lt;0,MOD(I74,1)&lt;&gt;0,NOT(ISNUMBER(J74)),J74&lt;0,MOD(J74,1)&lt;&gt;0),"Invalid shipment quantities",IF(I74+J74&gt;H74,"Receipts exceed dispatch",IF(AND(H74&gt;0,NOT(ISNUMBER(L74))),"Set actual dispatch date",IF(C74="Inbound",IF(COUNTIFS('Orders'!$A$8:$A$207,D74)&lt;&gt;1,"Choose a unique order line",IF(VLOOKUP(D74,'Orders'!$A$8:$L$207,4,FALSE)&lt;&gt;F74,"Order part mismatch","OK")),IF(D74&lt;&gt;"","Clear outbound order line",IF(AND(VLOOKUP(F74,'Definitions'!$A$8:$J$207,7,FALSE)="Yes",OR(G74="",H74&lt;&gt;1)),"Serialized outbound: one asset per row",IF(G74="","OK",IF(COUNTIFS('Assets'!$A$8:$A$207,G74)&lt;&gt;1,"Unknown / duplicate asset",IF(VLOOKUP(G74,'Assets'!$A$8:$K$207,2,FALSE)&lt;&gt;F74,"Asset part mismatch",IF(COUNTIFS($G$8:$G$207,G74,$C$8:$C$207,"Outbound")&lt;&gt;1,"Asset dispatched more than once","OK"))))))))))))))))</x:f>
      </x:c>
    </x:row>
    <x:row r="75" ht="22" customHeight="1">
      <x:c r="A75" s="10"/>
      <x:c r="B75" s="10"/>
      <x:c r="C75" s="10"/>
      <x:c r="D75" s="10"/>
      <x:c r="E75" s="10"/>
      <x:c r="F75" s="10"/>
      <x:c r="G75" s="10"/>
      <x:c r="H75" s="12"/>
      <x:c r="I75" s="12"/>
      <x:c r="J75" s="12"/>
      <x:c r="K75" s="11" t="str">
        <x:f>IF(A75="","",MAX(0,H75-I75-J75))</x:f>
      </x:c>
      <x:c r="L75" s="13"/>
      <x:c r="M75" s="13"/>
      <x:c r="N75" s="10"/>
      <x:c r="O75" s="10"/>
      <x:c r="P75" s="9" t="str">
        <x:f>IF(A75="","",IF(COUNTIFS('Shipments'!$A$8:$A$207,A75)&lt;&gt;1,"Duplicate shipment line",IF(OR(B75="",E75="",O75=""),"Set shipment, box and destination",IF(AND(C75&lt;&gt;"Inbound",C75&lt;&gt;"Outbound"),"Choose direction",IF(COUNTIFS('Definitions'!$A$8:$A$207,F75)&lt;&gt;1,"Unknown / duplicate part",IF(VLOOKUP(F75,'Definitions'!$A$8:$J$207,3,FALSE)&lt;&gt;"Part","Ship purchasable parts only",IF(OR(NOT(ISNUMBER(H75)),H75&lt;0,MOD(H75,1)&lt;&gt;0,NOT(ISNUMBER(I75)),I75&lt;0,MOD(I75,1)&lt;&gt;0,NOT(ISNUMBER(J75)),J75&lt;0,MOD(J75,1)&lt;&gt;0),"Invalid shipment quantities",IF(I75+J75&gt;H75,"Receipts exceed dispatch",IF(AND(H75&gt;0,NOT(ISNUMBER(L75))),"Set actual dispatch date",IF(C75="Inbound",IF(COUNTIFS('Orders'!$A$8:$A$207,D75)&lt;&gt;1,"Choose a unique order line",IF(VLOOKUP(D75,'Orders'!$A$8:$L$207,4,FALSE)&lt;&gt;F75,"Order part mismatch","OK")),IF(D75&lt;&gt;"","Clear outbound order line",IF(AND(VLOOKUP(F75,'Definitions'!$A$8:$J$207,7,FALSE)="Yes",OR(G75="",H75&lt;&gt;1)),"Serialized outbound: one asset per row",IF(G75="","OK",IF(COUNTIFS('Assets'!$A$8:$A$207,G75)&lt;&gt;1,"Unknown / duplicate asset",IF(VLOOKUP(G75,'Assets'!$A$8:$K$207,2,FALSE)&lt;&gt;F75,"Asset part mismatch",IF(COUNTIFS($G$8:$G$207,G75,$C$8:$C$207,"Outbound")&lt;&gt;1,"Asset dispatched more than once","OK"))))))))))))))))</x:f>
      </x:c>
    </x:row>
    <x:row r="76" ht="22" customHeight="1">
      <x:c r="A76" s="10"/>
      <x:c r="B76" s="10"/>
      <x:c r="C76" s="10"/>
      <x:c r="D76" s="10"/>
      <x:c r="E76" s="10"/>
      <x:c r="F76" s="10"/>
      <x:c r="G76" s="10"/>
      <x:c r="H76" s="12"/>
      <x:c r="I76" s="12"/>
      <x:c r="J76" s="12"/>
      <x:c r="K76" s="11" t="str">
        <x:f>IF(A76="","",MAX(0,H76-I76-J76))</x:f>
      </x:c>
      <x:c r="L76" s="13"/>
      <x:c r="M76" s="13"/>
      <x:c r="N76" s="10"/>
      <x:c r="O76" s="10"/>
      <x:c r="P76" s="9" t="str">
        <x:f>IF(A76="","",IF(COUNTIFS('Shipments'!$A$8:$A$207,A76)&lt;&gt;1,"Duplicate shipment line",IF(OR(B76="",E76="",O76=""),"Set shipment, box and destination",IF(AND(C76&lt;&gt;"Inbound",C76&lt;&gt;"Outbound"),"Choose direction",IF(COUNTIFS('Definitions'!$A$8:$A$207,F76)&lt;&gt;1,"Unknown / duplicate part",IF(VLOOKUP(F76,'Definitions'!$A$8:$J$207,3,FALSE)&lt;&gt;"Part","Ship purchasable parts only",IF(OR(NOT(ISNUMBER(H76)),H76&lt;0,MOD(H76,1)&lt;&gt;0,NOT(ISNUMBER(I76)),I76&lt;0,MOD(I76,1)&lt;&gt;0,NOT(ISNUMBER(J76)),J76&lt;0,MOD(J76,1)&lt;&gt;0),"Invalid shipment quantities",IF(I76+J76&gt;H76,"Receipts exceed dispatch",IF(AND(H76&gt;0,NOT(ISNUMBER(L76))),"Set actual dispatch date",IF(C76="Inbound",IF(COUNTIFS('Orders'!$A$8:$A$207,D76)&lt;&gt;1,"Choose a unique order line",IF(VLOOKUP(D76,'Orders'!$A$8:$L$207,4,FALSE)&lt;&gt;F76,"Order part mismatch","OK")),IF(D76&lt;&gt;"","Clear outbound order line",IF(AND(VLOOKUP(F76,'Definitions'!$A$8:$J$207,7,FALSE)="Yes",OR(G76="",H76&lt;&gt;1)),"Serialized outbound: one asset per row",IF(G76="","OK",IF(COUNTIFS('Assets'!$A$8:$A$207,G76)&lt;&gt;1,"Unknown / duplicate asset",IF(VLOOKUP(G76,'Assets'!$A$8:$K$207,2,FALSE)&lt;&gt;F76,"Asset part mismatch",IF(COUNTIFS($G$8:$G$207,G76,$C$8:$C$207,"Outbound")&lt;&gt;1,"Asset dispatched more than once","OK"))))))))))))))))</x:f>
      </x:c>
    </x:row>
    <x:row r="77" ht="22" customHeight="1">
      <x:c r="A77" s="10"/>
      <x:c r="B77" s="10"/>
      <x:c r="C77" s="10"/>
      <x:c r="D77" s="10"/>
      <x:c r="E77" s="10"/>
      <x:c r="F77" s="10"/>
      <x:c r="G77" s="10"/>
      <x:c r="H77" s="12"/>
      <x:c r="I77" s="12"/>
      <x:c r="J77" s="12"/>
      <x:c r="K77" s="11" t="str">
        <x:f>IF(A77="","",MAX(0,H77-I77-J77))</x:f>
      </x:c>
      <x:c r="L77" s="13"/>
      <x:c r="M77" s="13"/>
      <x:c r="N77" s="10"/>
      <x:c r="O77" s="10"/>
      <x:c r="P77" s="9" t="str">
        <x:f>IF(A77="","",IF(COUNTIFS('Shipments'!$A$8:$A$207,A77)&lt;&gt;1,"Duplicate shipment line",IF(OR(B77="",E77="",O77=""),"Set shipment, box and destination",IF(AND(C77&lt;&gt;"Inbound",C77&lt;&gt;"Outbound"),"Choose direction",IF(COUNTIFS('Definitions'!$A$8:$A$207,F77)&lt;&gt;1,"Unknown / duplicate part",IF(VLOOKUP(F77,'Definitions'!$A$8:$J$207,3,FALSE)&lt;&gt;"Part","Ship purchasable parts only",IF(OR(NOT(ISNUMBER(H77)),H77&lt;0,MOD(H77,1)&lt;&gt;0,NOT(ISNUMBER(I77)),I77&lt;0,MOD(I77,1)&lt;&gt;0,NOT(ISNUMBER(J77)),J77&lt;0,MOD(J77,1)&lt;&gt;0),"Invalid shipment quantities",IF(I77+J77&gt;H77,"Receipts exceed dispatch",IF(AND(H77&gt;0,NOT(ISNUMBER(L77))),"Set actual dispatch date",IF(C77="Inbound",IF(COUNTIFS('Orders'!$A$8:$A$207,D77)&lt;&gt;1,"Choose a unique order line",IF(VLOOKUP(D77,'Orders'!$A$8:$L$207,4,FALSE)&lt;&gt;F77,"Order part mismatch","OK")),IF(D77&lt;&gt;"","Clear outbound order line",IF(AND(VLOOKUP(F77,'Definitions'!$A$8:$J$207,7,FALSE)="Yes",OR(G77="",H77&lt;&gt;1)),"Serialized outbound: one asset per row",IF(G77="","OK",IF(COUNTIFS('Assets'!$A$8:$A$207,G77)&lt;&gt;1,"Unknown / duplicate asset",IF(VLOOKUP(G77,'Assets'!$A$8:$K$207,2,FALSE)&lt;&gt;F77,"Asset part mismatch",IF(COUNTIFS($G$8:$G$207,G77,$C$8:$C$207,"Outbound")&lt;&gt;1,"Asset dispatched more than once","OK"))))))))))))))))</x:f>
      </x:c>
    </x:row>
    <x:row r="78" ht="22" customHeight="1">
      <x:c r="A78" s="10"/>
      <x:c r="B78" s="10"/>
      <x:c r="C78" s="10"/>
      <x:c r="D78" s="10"/>
      <x:c r="E78" s="10"/>
      <x:c r="F78" s="10"/>
      <x:c r="G78" s="10"/>
      <x:c r="H78" s="12"/>
      <x:c r="I78" s="12"/>
      <x:c r="J78" s="12"/>
      <x:c r="K78" s="11" t="str">
        <x:f>IF(A78="","",MAX(0,H78-I78-J78))</x:f>
      </x:c>
      <x:c r="L78" s="13"/>
      <x:c r="M78" s="13"/>
      <x:c r="N78" s="10"/>
      <x:c r="O78" s="10"/>
      <x:c r="P78" s="9" t="str">
        <x:f>IF(A78="","",IF(COUNTIFS('Shipments'!$A$8:$A$207,A78)&lt;&gt;1,"Duplicate shipment line",IF(OR(B78="",E78="",O78=""),"Set shipment, box and destination",IF(AND(C78&lt;&gt;"Inbound",C78&lt;&gt;"Outbound"),"Choose direction",IF(COUNTIFS('Definitions'!$A$8:$A$207,F78)&lt;&gt;1,"Unknown / duplicate part",IF(VLOOKUP(F78,'Definitions'!$A$8:$J$207,3,FALSE)&lt;&gt;"Part","Ship purchasable parts only",IF(OR(NOT(ISNUMBER(H78)),H78&lt;0,MOD(H78,1)&lt;&gt;0,NOT(ISNUMBER(I78)),I78&lt;0,MOD(I78,1)&lt;&gt;0,NOT(ISNUMBER(J78)),J78&lt;0,MOD(J78,1)&lt;&gt;0),"Invalid shipment quantities",IF(I78+J78&gt;H78,"Receipts exceed dispatch",IF(AND(H78&gt;0,NOT(ISNUMBER(L78))),"Set actual dispatch date",IF(C78="Inbound",IF(COUNTIFS('Orders'!$A$8:$A$207,D78)&lt;&gt;1,"Choose a unique order line",IF(VLOOKUP(D78,'Orders'!$A$8:$L$207,4,FALSE)&lt;&gt;F78,"Order part mismatch","OK")),IF(D78&lt;&gt;"","Clear outbound order line",IF(AND(VLOOKUP(F78,'Definitions'!$A$8:$J$207,7,FALSE)="Yes",OR(G78="",H78&lt;&gt;1)),"Serialized outbound: one asset per row",IF(G78="","OK",IF(COUNTIFS('Assets'!$A$8:$A$207,G78)&lt;&gt;1,"Unknown / duplicate asset",IF(VLOOKUP(G78,'Assets'!$A$8:$K$207,2,FALSE)&lt;&gt;F78,"Asset part mismatch",IF(COUNTIFS($G$8:$G$207,G78,$C$8:$C$207,"Outbound")&lt;&gt;1,"Asset dispatched more than once","OK"))))))))))))))))</x:f>
      </x:c>
    </x:row>
    <x:row r="79" ht="22" customHeight="1">
      <x:c r="A79" s="10"/>
      <x:c r="B79" s="10"/>
      <x:c r="C79" s="10"/>
      <x:c r="D79" s="10"/>
      <x:c r="E79" s="10"/>
      <x:c r="F79" s="10"/>
      <x:c r="G79" s="10"/>
      <x:c r="H79" s="12"/>
      <x:c r="I79" s="12"/>
      <x:c r="J79" s="12"/>
      <x:c r="K79" s="11" t="str">
        <x:f>IF(A79="","",MAX(0,H79-I79-J79))</x:f>
      </x:c>
      <x:c r="L79" s="13"/>
      <x:c r="M79" s="13"/>
      <x:c r="N79" s="10"/>
      <x:c r="O79" s="10"/>
      <x:c r="P79" s="9" t="str">
        <x:f>IF(A79="","",IF(COUNTIFS('Shipments'!$A$8:$A$207,A79)&lt;&gt;1,"Duplicate shipment line",IF(OR(B79="",E79="",O79=""),"Set shipment, box and destination",IF(AND(C79&lt;&gt;"Inbound",C79&lt;&gt;"Outbound"),"Choose direction",IF(COUNTIFS('Definitions'!$A$8:$A$207,F79)&lt;&gt;1,"Unknown / duplicate part",IF(VLOOKUP(F79,'Definitions'!$A$8:$J$207,3,FALSE)&lt;&gt;"Part","Ship purchasable parts only",IF(OR(NOT(ISNUMBER(H79)),H79&lt;0,MOD(H79,1)&lt;&gt;0,NOT(ISNUMBER(I79)),I79&lt;0,MOD(I79,1)&lt;&gt;0,NOT(ISNUMBER(J79)),J79&lt;0,MOD(J79,1)&lt;&gt;0),"Invalid shipment quantities",IF(I79+J79&gt;H79,"Receipts exceed dispatch",IF(AND(H79&gt;0,NOT(ISNUMBER(L79))),"Set actual dispatch date",IF(C79="Inbound",IF(COUNTIFS('Orders'!$A$8:$A$207,D79)&lt;&gt;1,"Choose a unique order line",IF(VLOOKUP(D79,'Orders'!$A$8:$L$207,4,FALSE)&lt;&gt;F79,"Order part mismatch","OK")),IF(D79&lt;&gt;"","Clear outbound order line",IF(AND(VLOOKUP(F79,'Definitions'!$A$8:$J$207,7,FALSE)="Yes",OR(G79="",H79&lt;&gt;1)),"Serialized outbound: one asset per row",IF(G79="","OK",IF(COUNTIFS('Assets'!$A$8:$A$207,G79)&lt;&gt;1,"Unknown / duplicate asset",IF(VLOOKUP(G79,'Assets'!$A$8:$K$207,2,FALSE)&lt;&gt;F79,"Asset part mismatch",IF(COUNTIFS($G$8:$G$207,G79,$C$8:$C$207,"Outbound")&lt;&gt;1,"Asset dispatched more than once","OK"))))))))))))))))</x:f>
      </x:c>
    </x:row>
    <x:row r="80" ht="22" customHeight="1">
      <x:c r="A80" s="10"/>
      <x:c r="B80" s="10"/>
      <x:c r="C80" s="10"/>
      <x:c r="D80" s="10"/>
      <x:c r="E80" s="10"/>
      <x:c r="F80" s="10"/>
      <x:c r="G80" s="10"/>
      <x:c r="H80" s="12"/>
      <x:c r="I80" s="12"/>
      <x:c r="J80" s="12"/>
      <x:c r="K80" s="11" t="str">
        <x:f>IF(A80="","",MAX(0,H80-I80-J80))</x:f>
      </x:c>
      <x:c r="L80" s="13"/>
      <x:c r="M80" s="13"/>
      <x:c r="N80" s="10"/>
      <x:c r="O80" s="10"/>
      <x:c r="P80" s="9" t="str">
        <x:f>IF(A80="","",IF(COUNTIFS('Shipments'!$A$8:$A$207,A80)&lt;&gt;1,"Duplicate shipment line",IF(OR(B80="",E80="",O80=""),"Set shipment, box and destination",IF(AND(C80&lt;&gt;"Inbound",C80&lt;&gt;"Outbound"),"Choose direction",IF(COUNTIFS('Definitions'!$A$8:$A$207,F80)&lt;&gt;1,"Unknown / duplicate part",IF(VLOOKUP(F80,'Definitions'!$A$8:$J$207,3,FALSE)&lt;&gt;"Part","Ship purchasable parts only",IF(OR(NOT(ISNUMBER(H80)),H80&lt;0,MOD(H80,1)&lt;&gt;0,NOT(ISNUMBER(I80)),I80&lt;0,MOD(I80,1)&lt;&gt;0,NOT(ISNUMBER(J80)),J80&lt;0,MOD(J80,1)&lt;&gt;0),"Invalid shipment quantities",IF(I80+J80&gt;H80,"Receipts exceed dispatch",IF(AND(H80&gt;0,NOT(ISNUMBER(L80))),"Set actual dispatch date",IF(C80="Inbound",IF(COUNTIFS('Orders'!$A$8:$A$207,D80)&lt;&gt;1,"Choose a unique order line",IF(VLOOKUP(D80,'Orders'!$A$8:$L$207,4,FALSE)&lt;&gt;F80,"Order part mismatch","OK")),IF(D80&lt;&gt;"","Clear outbound order line",IF(AND(VLOOKUP(F80,'Definitions'!$A$8:$J$207,7,FALSE)="Yes",OR(G80="",H80&lt;&gt;1)),"Serialized outbound: one asset per row",IF(G80="","OK",IF(COUNTIFS('Assets'!$A$8:$A$207,G80)&lt;&gt;1,"Unknown / duplicate asset",IF(VLOOKUP(G80,'Assets'!$A$8:$K$207,2,FALSE)&lt;&gt;F80,"Asset part mismatch",IF(COUNTIFS($G$8:$G$207,G80,$C$8:$C$207,"Outbound")&lt;&gt;1,"Asset dispatched more than once","OK"))))))))))))))))</x:f>
      </x:c>
    </x:row>
    <x:row r="81" ht="22" customHeight="1">
      <x:c r="A81" s="10"/>
      <x:c r="B81" s="10"/>
      <x:c r="C81" s="10"/>
      <x:c r="D81" s="10"/>
      <x:c r="E81" s="10"/>
      <x:c r="F81" s="10"/>
      <x:c r="G81" s="10"/>
      <x:c r="H81" s="12"/>
      <x:c r="I81" s="12"/>
      <x:c r="J81" s="12"/>
      <x:c r="K81" s="11" t="str">
        <x:f>IF(A81="","",MAX(0,H81-I81-J81))</x:f>
      </x:c>
      <x:c r="L81" s="13"/>
      <x:c r="M81" s="13"/>
      <x:c r="N81" s="10"/>
      <x:c r="O81" s="10"/>
      <x:c r="P81" s="9" t="str">
        <x:f>IF(A81="","",IF(COUNTIFS('Shipments'!$A$8:$A$207,A81)&lt;&gt;1,"Duplicate shipment line",IF(OR(B81="",E81="",O81=""),"Set shipment, box and destination",IF(AND(C81&lt;&gt;"Inbound",C81&lt;&gt;"Outbound"),"Choose direction",IF(COUNTIFS('Definitions'!$A$8:$A$207,F81)&lt;&gt;1,"Unknown / duplicate part",IF(VLOOKUP(F81,'Definitions'!$A$8:$J$207,3,FALSE)&lt;&gt;"Part","Ship purchasable parts only",IF(OR(NOT(ISNUMBER(H81)),H81&lt;0,MOD(H81,1)&lt;&gt;0,NOT(ISNUMBER(I81)),I81&lt;0,MOD(I81,1)&lt;&gt;0,NOT(ISNUMBER(J81)),J81&lt;0,MOD(J81,1)&lt;&gt;0),"Invalid shipment quantities",IF(I81+J81&gt;H81,"Receipts exceed dispatch",IF(AND(H81&gt;0,NOT(ISNUMBER(L81))),"Set actual dispatch date",IF(C81="Inbound",IF(COUNTIFS('Orders'!$A$8:$A$207,D81)&lt;&gt;1,"Choose a unique order line",IF(VLOOKUP(D81,'Orders'!$A$8:$L$207,4,FALSE)&lt;&gt;F81,"Order part mismatch","OK")),IF(D81&lt;&gt;"","Clear outbound order line",IF(AND(VLOOKUP(F81,'Definitions'!$A$8:$J$207,7,FALSE)="Yes",OR(G81="",H81&lt;&gt;1)),"Serialized outbound: one asset per row",IF(G81="","OK",IF(COUNTIFS('Assets'!$A$8:$A$207,G81)&lt;&gt;1,"Unknown / duplicate asset",IF(VLOOKUP(G81,'Assets'!$A$8:$K$207,2,FALSE)&lt;&gt;F81,"Asset part mismatch",IF(COUNTIFS($G$8:$G$207,G81,$C$8:$C$207,"Outbound")&lt;&gt;1,"Asset dispatched more than once","OK"))))))))))))))))</x:f>
      </x:c>
    </x:row>
    <x:row r="82" ht="22" customHeight="1">
      <x:c r="A82" s="10"/>
      <x:c r="B82" s="10"/>
      <x:c r="C82" s="10"/>
      <x:c r="D82" s="10"/>
      <x:c r="E82" s="10"/>
      <x:c r="F82" s="10"/>
      <x:c r="G82" s="10"/>
      <x:c r="H82" s="12"/>
      <x:c r="I82" s="12"/>
      <x:c r="J82" s="12"/>
      <x:c r="K82" s="11" t="str">
        <x:f>IF(A82="","",MAX(0,H82-I82-J82))</x:f>
      </x:c>
      <x:c r="L82" s="13"/>
      <x:c r="M82" s="13"/>
      <x:c r="N82" s="10"/>
      <x:c r="O82" s="10"/>
      <x:c r="P82" s="9" t="str">
        <x:f>IF(A82="","",IF(COUNTIFS('Shipments'!$A$8:$A$207,A82)&lt;&gt;1,"Duplicate shipment line",IF(OR(B82="",E82="",O82=""),"Set shipment, box and destination",IF(AND(C82&lt;&gt;"Inbound",C82&lt;&gt;"Outbound"),"Choose direction",IF(COUNTIFS('Definitions'!$A$8:$A$207,F82)&lt;&gt;1,"Unknown / duplicate part",IF(VLOOKUP(F82,'Definitions'!$A$8:$J$207,3,FALSE)&lt;&gt;"Part","Ship purchasable parts only",IF(OR(NOT(ISNUMBER(H82)),H82&lt;0,MOD(H82,1)&lt;&gt;0,NOT(ISNUMBER(I82)),I82&lt;0,MOD(I82,1)&lt;&gt;0,NOT(ISNUMBER(J82)),J82&lt;0,MOD(J82,1)&lt;&gt;0),"Invalid shipment quantities",IF(I82+J82&gt;H82,"Receipts exceed dispatch",IF(AND(H82&gt;0,NOT(ISNUMBER(L82))),"Set actual dispatch date",IF(C82="Inbound",IF(COUNTIFS('Orders'!$A$8:$A$207,D82)&lt;&gt;1,"Choose a unique order line",IF(VLOOKUP(D82,'Orders'!$A$8:$L$207,4,FALSE)&lt;&gt;F82,"Order part mismatch","OK")),IF(D82&lt;&gt;"","Clear outbound order line",IF(AND(VLOOKUP(F82,'Definitions'!$A$8:$J$207,7,FALSE)="Yes",OR(G82="",H82&lt;&gt;1)),"Serialized outbound: one asset per row",IF(G82="","OK",IF(COUNTIFS('Assets'!$A$8:$A$207,G82)&lt;&gt;1,"Unknown / duplicate asset",IF(VLOOKUP(G82,'Assets'!$A$8:$K$207,2,FALSE)&lt;&gt;F82,"Asset part mismatch",IF(COUNTIFS($G$8:$G$207,G82,$C$8:$C$207,"Outbound")&lt;&gt;1,"Asset dispatched more than once","OK"))))))))))))))))</x:f>
      </x:c>
    </x:row>
    <x:row r="83" ht="22" customHeight="1">
      <x:c r="A83" s="10"/>
      <x:c r="B83" s="10"/>
      <x:c r="C83" s="10"/>
      <x:c r="D83" s="10"/>
      <x:c r="E83" s="10"/>
      <x:c r="F83" s="10"/>
      <x:c r="G83" s="10"/>
      <x:c r="H83" s="12"/>
      <x:c r="I83" s="12"/>
      <x:c r="J83" s="12"/>
      <x:c r="K83" s="11" t="str">
        <x:f>IF(A83="","",MAX(0,H83-I83-J83))</x:f>
      </x:c>
      <x:c r="L83" s="13"/>
      <x:c r="M83" s="13"/>
      <x:c r="N83" s="10"/>
      <x:c r="O83" s="10"/>
      <x:c r="P83" s="9" t="str">
        <x:f>IF(A83="","",IF(COUNTIFS('Shipments'!$A$8:$A$207,A83)&lt;&gt;1,"Duplicate shipment line",IF(OR(B83="",E83="",O83=""),"Set shipment, box and destination",IF(AND(C83&lt;&gt;"Inbound",C83&lt;&gt;"Outbound"),"Choose direction",IF(COUNTIFS('Definitions'!$A$8:$A$207,F83)&lt;&gt;1,"Unknown / duplicate part",IF(VLOOKUP(F83,'Definitions'!$A$8:$J$207,3,FALSE)&lt;&gt;"Part","Ship purchasable parts only",IF(OR(NOT(ISNUMBER(H83)),H83&lt;0,MOD(H83,1)&lt;&gt;0,NOT(ISNUMBER(I83)),I83&lt;0,MOD(I83,1)&lt;&gt;0,NOT(ISNUMBER(J83)),J83&lt;0,MOD(J83,1)&lt;&gt;0),"Invalid shipment quantities",IF(I83+J83&gt;H83,"Receipts exceed dispatch",IF(AND(H83&gt;0,NOT(ISNUMBER(L83))),"Set actual dispatch date",IF(C83="Inbound",IF(COUNTIFS('Orders'!$A$8:$A$207,D83)&lt;&gt;1,"Choose a unique order line",IF(VLOOKUP(D83,'Orders'!$A$8:$L$207,4,FALSE)&lt;&gt;F83,"Order part mismatch","OK")),IF(D83&lt;&gt;"","Clear outbound order line",IF(AND(VLOOKUP(F83,'Definitions'!$A$8:$J$207,7,FALSE)="Yes",OR(G83="",H83&lt;&gt;1)),"Serialized outbound: one asset per row",IF(G83="","OK",IF(COUNTIFS('Assets'!$A$8:$A$207,G83)&lt;&gt;1,"Unknown / duplicate asset",IF(VLOOKUP(G83,'Assets'!$A$8:$K$207,2,FALSE)&lt;&gt;F83,"Asset part mismatch",IF(COUNTIFS($G$8:$G$207,G83,$C$8:$C$207,"Outbound")&lt;&gt;1,"Asset dispatched more than once","OK"))))))))))))))))</x:f>
      </x:c>
    </x:row>
    <x:row r="84" ht="22" customHeight="1">
      <x:c r="A84" s="10"/>
      <x:c r="B84" s="10"/>
      <x:c r="C84" s="10"/>
      <x:c r="D84" s="10"/>
      <x:c r="E84" s="10"/>
      <x:c r="F84" s="10"/>
      <x:c r="G84" s="10"/>
      <x:c r="H84" s="12"/>
      <x:c r="I84" s="12"/>
      <x:c r="J84" s="12"/>
      <x:c r="K84" s="11" t="str">
        <x:f>IF(A84="","",MAX(0,H84-I84-J84))</x:f>
      </x:c>
      <x:c r="L84" s="13"/>
      <x:c r="M84" s="13"/>
      <x:c r="N84" s="10"/>
      <x:c r="O84" s="10"/>
      <x:c r="P84" s="9" t="str">
        <x:f>IF(A84="","",IF(COUNTIFS('Shipments'!$A$8:$A$207,A84)&lt;&gt;1,"Duplicate shipment line",IF(OR(B84="",E84="",O84=""),"Set shipment, box and destination",IF(AND(C84&lt;&gt;"Inbound",C84&lt;&gt;"Outbound"),"Choose direction",IF(COUNTIFS('Definitions'!$A$8:$A$207,F84)&lt;&gt;1,"Unknown / duplicate part",IF(VLOOKUP(F84,'Definitions'!$A$8:$J$207,3,FALSE)&lt;&gt;"Part","Ship purchasable parts only",IF(OR(NOT(ISNUMBER(H84)),H84&lt;0,MOD(H84,1)&lt;&gt;0,NOT(ISNUMBER(I84)),I84&lt;0,MOD(I84,1)&lt;&gt;0,NOT(ISNUMBER(J84)),J84&lt;0,MOD(J84,1)&lt;&gt;0),"Invalid shipment quantities",IF(I84+J84&gt;H84,"Receipts exceed dispatch",IF(AND(H84&gt;0,NOT(ISNUMBER(L84))),"Set actual dispatch date",IF(C84="Inbound",IF(COUNTIFS('Orders'!$A$8:$A$207,D84)&lt;&gt;1,"Choose a unique order line",IF(VLOOKUP(D84,'Orders'!$A$8:$L$207,4,FALSE)&lt;&gt;F84,"Order part mismatch","OK")),IF(D84&lt;&gt;"","Clear outbound order line",IF(AND(VLOOKUP(F84,'Definitions'!$A$8:$J$207,7,FALSE)="Yes",OR(G84="",H84&lt;&gt;1)),"Serialized outbound: one asset per row",IF(G84="","OK",IF(COUNTIFS('Assets'!$A$8:$A$207,G84)&lt;&gt;1,"Unknown / duplicate asset",IF(VLOOKUP(G84,'Assets'!$A$8:$K$207,2,FALSE)&lt;&gt;F84,"Asset part mismatch",IF(COUNTIFS($G$8:$G$207,G84,$C$8:$C$207,"Outbound")&lt;&gt;1,"Asset dispatched more than once","OK"))))))))))))))))</x:f>
      </x:c>
    </x:row>
    <x:row r="85" ht="22" customHeight="1">
      <x:c r="A85" s="10"/>
      <x:c r="B85" s="10"/>
      <x:c r="C85" s="10"/>
      <x:c r="D85" s="10"/>
      <x:c r="E85" s="10"/>
      <x:c r="F85" s="10"/>
      <x:c r="G85" s="10"/>
      <x:c r="H85" s="12"/>
      <x:c r="I85" s="12"/>
      <x:c r="J85" s="12"/>
      <x:c r="K85" s="11" t="str">
        <x:f>IF(A85="","",MAX(0,H85-I85-J85))</x:f>
      </x:c>
      <x:c r="L85" s="13"/>
      <x:c r="M85" s="13"/>
      <x:c r="N85" s="10"/>
      <x:c r="O85" s="10"/>
      <x:c r="P85" s="9" t="str">
        <x:f>IF(A85="","",IF(COUNTIFS('Shipments'!$A$8:$A$207,A85)&lt;&gt;1,"Duplicate shipment line",IF(OR(B85="",E85="",O85=""),"Set shipment, box and destination",IF(AND(C85&lt;&gt;"Inbound",C85&lt;&gt;"Outbound"),"Choose direction",IF(COUNTIFS('Definitions'!$A$8:$A$207,F85)&lt;&gt;1,"Unknown / duplicate part",IF(VLOOKUP(F85,'Definitions'!$A$8:$J$207,3,FALSE)&lt;&gt;"Part","Ship purchasable parts only",IF(OR(NOT(ISNUMBER(H85)),H85&lt;0,MOD(H85,1)&lt;&gt;0,NOT(ISNUMBER(I85)),I85&lt;0,MOD(I85,1)&lt;&gt;0,NOT(ISNUMBER(J85)),J85&lt;0,MOD(J85,1)&lt;&gt;0),"Invalid shipment quantities",IF(I85+J85&gt;H85,"Receipts exceed dispatch",IF(AND(H85&gt;0,NOT(ISNUMBER(L85))),"Set actual dispatch date",IF(C85="Inbound",IF(COUNTIFS('Orders'!$A$8:$A$207,D85)&lt;&gt;1,"Choose a unique order line",IF(VLOOKUP(D85,'Orders'!$A$8:$L$207,4,FALSE)&lt;&gt;F85,"Order part mismatch","OK")),IF(D85&lt;&gt;"","Clear outbound order line",IF(AND(VLOOKUP(F85,'Definitions'!$A$8:$J$207,7,FALSE)="Yes",OR(G85="",H85&lt;&gt;1)),"Serialized outbound: one asset per row",IF(G85="","OK",IF(COUNTIFS('Assets'!$A$8:$A$207,G85)&lt;&gt;1,"Unknown / duplicate asset",IF(VLOOKUP(G85,'Assets'!$A$8:$K$207,2,FALSE)&lt;&gt;F85,"Asset part mismatch",IF(COUNTIFS($G$8:$G$207,G85,$C$8:$C$207,"Outbound")&lt;&gt;1,"Asset dispatched more than once","OK"))))))))))))))))</x:f>
      </x:c>
    </x:row>
    <x:row r="86" ht="22" customHeight="1">
      <x:c r="A86" s="10"/>
      <x:c r="B86" s="10"/>
      <x:c r="C86" s="10"/>
      <x:c r="D86" s="10"/>
      <x:c r="E86" s="10"/>
      <x:c r="F86" s="10"/>
      <x:c r="G86" s="10"/>
      <x:c r="H86" s="12"/>
      <x:c r="I86" s="12"/>
      <x:c r="J86" s="12"/>
      <x:c r="K86" s="11" t="str">
        <x:f>IF(A86="","",MAX(0,H86-I86-J86))</x:f>
      </x:c>
      <x:c r="L86" s="13"/>
      <x:c r="M86" s="13"/>
      <x:c r="N86" s="10"/>
      <x:c r="O86" s="10"/>
      <x:c r="P86" s="9" t="str">
        <x:f>IF(A86="","",IF(COUNTIFS('Shipments'!$A$8:$A$207,A86)&lt;&gt;1,"Duplicate shipment line",IF(OR(B86="",E86="",O86=""),"Set shipment, box and destination",IF(AND(C86&lt;&gt;"Inbound",C86&lt;&gt;"Outbound"),"Choose direction",IF(COUNTIFS('Definitions'!$A$8:$A$207,F86)&lt;&gt;1,"Unknown / duplicate part",IF(VLOOKUP(F86,'Definitions'!$A$8:$J$207,3,FALSE)&lt;&gt;"Part","Ship purchasable parts only",IF(OR(NOT(ISNUMBER(H86)),H86&lt;0,MOD(H86,1)&lt;&gt;0,NOT(ISNUMBER(I86)),I86&lt;0,MOD(I86,1)&lt;&gt;0,NOT(ISNUMBER(J86)),J86&lt;0,MOD(J86,1)&lt;&gt;0),"Invalid shipment quantities",IF(I86+J86&gt;H86,"Receipts exceed dispatch",IF(AND(H86&gt;0,NOT(ISNUMBER(L86))),"Set actual dispatch date",IF(C86="Inbound",IF(COUNTIFS('Orders'!$A$8:$A$207,D86)&lt;&gt;1,"Choose a unique order line",IF(VLOOKUP(D86,'Orders'!$A$8:$L$207,4,FALSE)&lt;&gt;F86,"Order part mismatch","OK")),IF(D86&lt;&gt;"","Clear outbound order line",IF(AND(VLOOKUP(F86,'Definitions'!$A$8:$J$207,7,FALSE)="Yes",OR(G86="",H86&lt;&gt;1)),"Serialized outbound: one asset per row",IF(G86="","OK",IF(COUNTIFS('Assets'!$A$8:$A$207,G86)&lt;&gt;1,"Unknown / duplicate asset",IF(VLOOKUP(G86,'Assets'!$A$8:$K$207,2,FALSE)&lt;&gt;F86,"Asset part mismatch",IF(COUNTIFS($G$8:$G$207,G86,$C$8:$C$207,"Outbound")&lt;&gt;1,"Asset dispatched more than once","OK"))))))))))))))))</x:f>
      </x:c>
    </x:row>
    <x:row r="87" ht="22" customHeight="1">
      <x:c r="A87" s="10"/>
      <x:c r="B87" s="10"/>
      <x:c r="C87" s="10"/>
      <x:c r="D87" s="10"/>
      <x:c r="E87" s="10"/>
      <x:c r="F87" s="10"/>
      <x:c r="G87" s="10"/>
      <x:c r="H87" s="12"/>
      <x:c r="I87" s="12"/>
      <x:c r="J87" s="12"/>
      <x:c r="K87" s="11" t="str">
        <x:f>IF(A87="","",MAX(0,H87-I87-J87))</x:f>
      </x:c>
      <x:c r="L87" s="13"/>
      <x:c r="M87" s="13"/>
      <x:c r="N87" s="10"/>
      <x:c r="O87" s="10"/>
      <x:c r="P87" s="9" t="str">
        <x:f>IF(A87="","",IF(COUNTIFS('Shipments'!$A$8:$A$207,A87)&lt;&gt;1,"Duplicate shipment line",IF(OR(B87="",E87="",O87=""),"Set shipment, box and destination",IF(AND(C87&lt;&gt;"Inbound",C87&lt;&gt;"Outbound"),"Choose direction",IF(COUNTIFS('Definitions'!$A$8:$A$207,F87)&lt;&gt;1,"Unknown / duplicate part",IF(VLOOKUP(F87,'Definitions'!$A$8:$J$207,3,FALSE)&lt;&gt;"Part","Ship purchasable parts only",IF(OR(NOT(ISNUMBER(H87)),H87&lt;0,MOD(H87,1)&lt;&gt;0,NOT(ISNUMBER(I87)),I87&lt;0,MOD(I87,1)&lt;&gt;0,NOT(ISNUMBER(J87)),J87&lt;0,MOD(J87,1)&lt;&gt;0),"Invalid shipment quantities",IF(I87+J87&gt;H87,"Receipts exceed dispatch",IF(AND(H87&gt;0,NOT(ISNUMBER(L87))),"Set actual dispatch date",IF(C87="Inbound",IF(COUNTIFS('Orders'!$A$8:$A$207,D87)&lt;&gt;1,"Choose a unique order line",IF(VLOOKUP(D87,'Orders'!$A$8:$L$207,4,FALSE)&lt;&gt;F87,"Order part mismatch","OK")),IF(D87&lt;&gt;"","Clear outbound order line",IF(AND(VLOOKUP(F87,'Definitions'!$A$8:$J$207,7,FALSE)="Yes",OR(G87="",H87&lt;&gt;1)),"Serialized outbound: one asset per row",IF(G87="","OK",IF(COUNTIFS('Assets'!$A$8:$A$207,G87)&lt;&gt;1,"Unknown / duplicate asset",IF(VLOOKUP(G87,'Assets'!$A$8:$K$207,2,FALSE)&lt;&gt;F87,"Asset part mismatch",IF(COUNTIFS($G$8:$G$207,G87,$C$8:$C$207,"Outbound")&lt;&gt;1,"Asset dispatched more than once","OK"))))))))))))))))</x:f>
      </x:c>
    </x:row>
    <x:row r="88" ht="22" customHeight="1">
      <x:c r="A88" s="10"/>
      <x:c r="B88" s="10"/>
      <x:c r="C88" s="10"/>
      <x:c r="D88" s="10"/>
      <x:c r="E88" s="10"/>
      <x:c r="F88" s="10"/>
      <x:c r="G88" s="10"/>
      <x:c r="H88" s="12"/>
      <x:c r="I88" s="12"/>
      <x:c r="J88" s="12"/>
      <x:c r="K88" s="11" t="str">
        <x:f>IF(A88="","",MAX(0,H88-I88-J88))</x:f>
      </x:c>
      <x:c r="L88" s="13"/>
      <x:c r="M88" s="13"/>
      <x:c r="N88" s="10"/>
      <x:c r="O88" s="10"/>
      <x:c r="P88" s="9" t="str">
        <x:f>IF(A88="","",IF(COUNTIFS('Shipments'!$A$8:$A$207,A88)&lt;&gt;1,"Duplicate shipment line",IF(OR(B88="",E88="",O88=""),"Set shipment, box and destination",IF(AND(C88&lt;&gt;"Inbound",C88&lt;&gt;"Outbound"),"Choose direction",IF(COUNTIFS('Definitions'!$A$8:$A$207,F88)&lt;&gt;1,"Unknown / duplicate part",IF(VLOOKUP(F88,'Definitions'!$A$8:$J$207,3,FALSE)&lt;&gt;"Part","Ship purchasable parts only",IF(OR(NOT(ISNUMBER(H88)),H88&lt;0,MOD(H88,1)&lt;&gt;0,NOT(ISNUMBER(I88)),I88&lt;0,MOD(I88,1)&lt;&gt;0,NOT(ISNUMBER(J88)),J88&lt;0,MOD(J88,1)&lt;&gt;0),"Invalid shipment quantities",IF(I88+J88&gt;H88,"Receipts exceed dispatch",IF(AND(H88&gt;0,NOT(ISNUMBER(L88))),"Set actual dispatch date",IF(C88="Inbound",IF(COUNTIFS('Orders'!$A$8:$A$207,D88)&lt;&gt;1,"Choose a unique order line",IF(VLOOKUP(D88,'Orders'!$A$8:$L$207,4,FALSE)&lt;&gt;F88,"Order part mismatch","OK")),IF(D88&lt;&gt;"","Clear outbound order line",IF(AND(VLOOKUP(F88,'Definitions'!$A$8:$J$207,7,FALSE)="Yes",OR(G88="",H88&lt;&gt;1)),"Serialized outbound: one asset per row",IF(G88="","OK",IF(COUNTIFS('Assets'!$A$8:$A$207,G88)&lt;&gt;1,"Unknown / duplicate asset",IF(VLOOKUP(G88,'Assets'!$A$8:$K$207,2,FALSE)&lt;&gt;F88,"Asset part mismatch",IF(COUNTIFS($G$8:$G$207,G88,$C$8:$C$207,"Outbound")&lt;&gt;1,"Asset dispatched more than once","OK"))))))))))))))))</x:f>
      </x:c>
    </x:row>
    <x:row r="89" ht="22" customHeight="1">
      <x:c r="A89" s="10"/>
      <x:c r="B89" s="10"/>
      <x:c r="C89" s="10"/>
      <x:c r="D89" s="10"/>
      <x:c r="E89" s="10"/>
      <x:c r="F89" s="10"/>
      <x:c r="G89" s="10"/>
      <x:c r="H89" s="12"/>
      <x:c r="I89" s="12"/>
      <x:c r="J89" s="12"/>
      <x:c r="K89" s="11" t="str">
        <x:f>IF(A89="","",MAX(0,H89-I89-J89))</x:f>
      </x:c>
      <x:c r="L89" s="13"/>
      <x:c r="M89" s="13"/>
      <x:c r="N89" s="10"/>
      <x:c r="O89" s="10"/>
      <x:c r="P89" s="9" t="str">
        <x:f>IF(A89="","",IF(COUNTIFS('Shipments'!$A$8:$A$207,A89)&lt;&gt;1,"Duplicate shipment line",IF(OR(B89="",E89="",O89=""),"Set shipment, box and destination",IF(AND(C89&lt;&gt;"Inbound",C89&lt;&gt;"Outbound"),"Choose direction",IF(COUNTIFS('Definitions'!$A$8:$A$207,F89)&lt;&gt;1,"Unknown / duplicate part",IF(VLOOKUP(F89,'Definitions'!$A$8:$J$207,3,FALSE)&lt;&gt;"Part","Ship purchasable parts only",IF(OR(NOT(ISNUMBER(H89)),H89&lt;0,MOD(H89,1)&lt;&gt;0,NOT(ISNUMBER(I89)),I89&lt;0,MOD(I89,1)&lt;&gt;0,NOT(ISNUMBER(J89)),J89&lt;0,MOD(J89,1)&lt;&gt;0),"Invalid shipment quantities",IF(I89+J89&gt;H89,"Receipts exceed dispatch",IF(AND(H89&gt;0,NOT(ISNUMBER(L89))),"Set actual dispatch date",IF(C89="Inbound",IF(COUNTIFS('Orders'!$A$8:$A$207,D89)&lt;&gt;1,"Choose a unique order line",IF(VLOOKUP(D89,'Orders'!$A$8:$L$207,4,FALSE)&lt;&gt;F89,"Order part mismatch","OK")),IF(D89&lt;&gt;"","Clear outbound order line",IF(AND(VLOOKUP(F89,'Definitions'!$A$8:$J$207,7,FALSE)="Yes",OR(G89="",H89&lt;&gt;1)),"Serialized outbound: one asset per row",IF(G89="","OK",IF(COUNTIFS('Assets'!$A$8:$A$207,G89)&lt;&gt;1,"Unknown / duplicate asset",IF(VLOOKUP(G89,'Assets'!$A$8:$K$207,2,FALSE)&lt;&gt;F89,"Asset part mismatch",IF(COUNTIFS($G$8:$G$207,G89,$C$8:$C$207,"Outbound")&lt;&gt;1,"Asset dispatched more than once","OK"))))))))))))))))</x:f>
      </x:c>
    </x:row>
    <x:row r="90" ht="22" customHeight="1">
      <x:c r="A90" s="10"/>
      <x:c r="B90" s="10"/>
      <x:c r="C90" s="10"/>
      <x:c r="D90" s="10"/>
      <x:c r="E90" s="10"/>
      <x:c r="F90" s="10"/>
      <x:c r="G90" s="10"/>
      <x:c r="H90" s="12"/>
      <x:c r="I90" s="12"/>
      <x:c r="J90" s="12"/>
      <x:c r="K90" s="11" t="str">
        <x:f>IF(A90="","",MAX(0,H90-I90-J90))</x:f>
      </x:c>
      <x:c r="L90" s="13"/>
      <x:c r="M90" s="13"/>
      <x:c r="N90" s="10"/>
      <x:c r="O90" s="10"/>
      <x:c r="P90" s="9" t="str">
        <x:f>IF(A90="","",IF(COUNTIFS('Shipments'!$A$8:$A$207,A90)&lt;&gt;1,"Duplicate shipment line",IF(OR(B90="",E90="",O90=""),"Set shipment, box and destination",IF(AND(C90&lt;&gt;"Inbound",C90&lt;&gt;"Outbound"),"Choose direction",IF(COUNTIFS('Definitions'!$A$8:$A$207,F90)&lt;&gt;1,"Unknown / duplicate part",IF(VLOOKUP(F90,'Definitions'!$A$8:$J$207,3,FALSE)&lt;&gt;"Part","Ship purchasable parts only",IF(OR(NOT(ISNUMBER(H90)),H90&lt;0,MOD(H90,1)&lt;&gt;0,NOT(ISNUMBER(I90)),I90&lt;0,MOD(I90,1)&lt;&gt;0,NOT(ISNUMBER(J90)),J90&lt;0,MOD(J90,1)&lt;&gt;0),"Invalid shipment quantities",IF(I90+J90&gt;H90,"Receipts exceed dispatch",IF(AND(H90&gt;0,NOT(ISNUMBER(L90))),"Set actual dispatch date",IF(C90="Inbound",IF(COUNTIFS('Orders'!$A$8:$A$207,D90)&lt;&gt;1,"Choose a unique order line",IF(VLOOKUP(D90,'Orders'!$A$8:$L$207,4,FALSE)&lt;&gt;F90,"Order part mismatch","OK")),IF(D90&lt;&gt;"","Clear outbound order line",IF(AND(VLOOKUP(F90,'Definitions'!$A$8:$J$207,7,FALSE)="Yes",OR(G90="",H90&lt;&gt;1)),"Serialized outbound: one asset per row",IF(G90="","OK",IF(COUNTIFS('Assets'!$A$8:$A$207,G90)&lt;&gt;1,"Unknown / duplicate asset",IF(VLOOKUP(G90,'Assets'!$A$8:$K$207,2,FALSE)&lt;&gt;F90,"Asset part mismatch",IF(COUNTIFS($G$8:$G$207,G90,$C$8:$C$207,"Outbound")&lt;&gt;1,"Asset dispatched more than once","OK"))))))))))))))))</x:f>
      </x:c>
    </x:row>
    <x:row r="91" ht="22" customHeight="1">
      <x:c r="A91" s="10"/>
      <x:c r="B91" s="10"/>
      <x:c r="C91" s="10"/>
      <x:c r="D91" s="10"/>
      <x:c r="E91" s="10"/>
      <x:c r="F91" s="10"/>
      <x:c r="G91" s="10"/>
      <x:c r="H91" s="12"/>
      <x:c r="I91" s="12"/>
      <x:c r="J91" s="12"/>
      <x:c r="K91" s="11" t="str">
        <x:f>IF(A91="","",MAX(0,H91-I91-J91))</x:f>
      </x:c>
      <x:c r="L91" s="13"/>
      <x:c r="M91" s="13"/>
      <x:c r="N91" s="10"/>
      <x:c r="O91" s="10"/>
      <x:c r="P91" s="9" t="str">
        <x:f>IF(A91="","",IF(COUNTIFS('Shipments'!$A$8:$A$207,A91)&lt;&gt;1,"Duplicate shipment line",IF(OR(B91="",E91="",O91=""),"Set shipment, box and destination",IF(AND(C91&lt;&gt;"Inbound",C91&lt;&gt;"Outbound"),"Choose direction",IF(COUNTIFS('Definitions'!$A$8:$A$207,F91)&lt;&gt;1,"Unknown / duplicate part",IF(VLOOKUP(F91,'Definitions'!$A$8:$J$207,3,FALSE)&lt;&gt;"Part","Ship purchasable parts only",IF(OR(NOT(ISNUMBER(H91)),H91&lt;0,MOD(H91,1)&lt;&gt;0,NOT(ISNUMBER(I91)),I91&lt;0,MOD(I91,1)&lt;&gt;0,NOT(ISNUMBER(J91)),J91&lt;0,MOD(J91,1)&lt;&gt;0),"Invalid shipment quantities",IF(I91+J91&gt;H91,"Receipts exceed dispatch",IF(AND(H91&gt;0,NOT(ISNUMBER(L91))),"Set actual dispatch date",IF(C91="Inbound",IF(COUNTIFS('Orders'!$A$8:$A$207,D91)&lt;&gt;1,"Choose a unique order line",IF(VLOOKUP(D91,'Orders'!$A$8:$L$207,4,FALSE)&lt;&gt;F91,"Order part mismatch","OK")),IF(D91&lt;&gt;"","Clear outbound order line",IF(AND(VLOOKUP(F91,'Definitions'!$A$8:$J$207,7,FALSE)="Yes",OR(G91="",H91&lt;&gt;1)),"Serialized outbound: one asset per row",IF(G91="","OK",IF(COUNTIFS('Assets'!$A$8:$A$207,G91)&lt;&gt;1,"Unknown / duplicate asset",IF(VLOOKUP(G91,'Assets'!$A$8:$K$207,2,FALSE)&lt;&gt;F91,"Asset part mismatch",IF(COUNTIFS($G$8:$G$207,G91,$C$8:$C$207,"Outbound")&lt;&gt;1,"Asset dispatched more than once","OK"))))))))))))))))</x:f>
      </x:c>
    </x:row>
    <x:row r="92" ht="22" customHeight="1">
      <x:c r="A92" s="10"/>
      <x:c r="B92" s="10"/>
      <x:c r="C92" s="10"/>
      <x:c r="D92" s="10"/>
      <x:c r="E92" s="10"/>
      <x:c r="F92" s="10"/>
      <x:c r="G92" s="10"/>
      <x:c r="H92" s="12"/>
      <x:c r="I92" s="12"/>
      <x:c r="J92" s="12"/>
      <x:c r="K92" s="11" t="str">
        <x:f>IF(A92="","",MAX(0,H92-I92-J92))</x:f>
      </x:c>
      <x:c r="L92" s="13"/>
      <x:c r="M92" s="13"/>
      <x:c r="N92" s="10"/>
      <x:c r="O92" s="10"/>
      <x:c r="P92" s="9" t="str">
        <x:f>IF(A92="","",IF(COUNTIFS('Shipments'!$A$8:$A$207,A92)&lt;&gt;1,"Duplicate shipment line",IF(OR(B92="",E92="",O92=""),"Set shipment, box and destination",IF(AND(C92&lt;&gt;"Inbound",C92&lt;&gt;"Outbound"),"Choose direction",IF(COUNTIFS('Definitions'!$A$8:$A$207,F92)&lt;&gt;1,"Unknown / duplicate part",IF(VLOOKUP(F92,'Definitions'!$A$8:$J$207,3,FALSE)&lt;&gt;"Part","Ship purchasable parts only",IF(OR(NOT(ISNUMBER(H92)),H92&lt;0,MOD(H92,1)&lt;&gt;0,NOT(ISNUMBER(I92)),I92&lt;0,MOD(I92,1)&lt;&gt;0,NOT(ISNUMBER(J92)),J92&lt;0,MOD(J92,1)&lt;&gt;0),"Invalid shipment quantities",IF(I92+J92&gt;H92,"Receipts exceed dispatch",IF(AND(H92&gt;0,NOT(ISNUMBER(L92))),"Set actual dispatch date",IF(C92="Inbound",IF(COUNTIFS('Orders'!$A$8:$A$207,D92)&lt;&gt;1,"Choose a unique order line",IF(VLOOKUP(D92,'Orders'!$A$8:$L$207,4,FALSE)&lt;&gt;F92,"Order part mismatch","OK")),IF(D92&lt;&gt;"","Clear outbound order line",IF(AND(VLOOKUP(F92,'Definitions'!$A$8:$J$207,7,FALSE)="Yes",OR(G92="",H92&lt;&gt;1)),"Serialized outbound: one asset per row",IF(G92="","OK",IF(COUNTIFS('Assets'!$A$8:$A$207,G92)&lt;&gt;1,"Unknown / duplicate asset",IF(VLOOKUP(G92,'Assets'!$A$8:$K$207,2,FALSE)&lt;&gt;F92,"Asset part mismatch",IF(COUNTIFS($G$8:$G$207,G92,$C$8:$C$207,"Outbound")&lt;&gt;1,"Asset dispatched more than once","OK"))))))))))))))))</x:f>
      </x:c>
    </x:row>
    <x:row r="93" ht="22" customHeight="1">
      <x:c r="A93" s="10"/>
      <x:c r="B93" s="10"/>
      <x:c r="C93" s="10"/>
      <x:c r="D93" s="10"/>
      <x:c r="E93" s="10"/>
      <x:c r="F93" s="10"/>
      <x:c r="G93" s="10"/>
      <x:c r="H93" s="12"/>
      <x:c r="I93" s="12"/>
      <x:c r="J93" s="12"/>
      <x:c r="K93" s="11" t="str">
        <x:f>IF(A93="","",MAX(0,H93-I93-J93))</x:f>
      </x:c>
      <x:c r="L93" s="13"/>
      <x:c r="M93" s="13"/>
      <x:c r="N93" s="10"/>
      <x:c r="O93" s="10"/>
      <x:c r="P93" s="9" t="str">
        <x:f>IF(A93="","",IF(COUNTIFS('Shipments'!$A$8:$A$207,A93)&lt;&gt;1,"Duplicate shipment line",IF(OR(B93="",E93="",O93=""),"Set shipment, box and destination",IF(AND(C93&lt;&gt;"Inbound",C93&lt;&gt;"Outbound"),"Choose direction",IF(COUNTIFS('Definitions'!$A$8:$A$207,F93)&lt;&gt;1,"Unknown / duplicate part",IF(VLOOKUP(F93,'Definitions'!$A$8:$J$207,3,FALSE)&lt;&gt;"Part","Ship purchasable parts only",IF(OR(NOT(ISNUMBER(H93)),H93&lt;0,MOD(H93,1)&lt;&gt;0,NOT(ISNUMBER(I93)),I93&lt;0,MOD(I93,1)&lt;&gt;0,NOT(ISNUMBER(J93)),J93&lt;0,MOD(J93,1)&lt;&gt;0),"Invalid shipment quantities",IF(I93+J93&gt;H93,"Receipts exceed dispatch",IF(AND(H93&gt;0,NOT(ISNUMBER(L93))),"Set actual dispatch date",IF(C93="Inbound",IF(COUNTIFS('Orders'!$A$8:$A$207,D93)&lt;&gt;1,"Choose a unique order line",IF(VLOOKUP(D93,'Orders'!$A$8:$L$207,4,FALSE)&lt;&gt;F93,"Order part mismatch","OK")),IF(D93&lt;&gt;"","Clear outbound order line",IF(AND(VLOOKUP(F93,'Definitions'!$A$8:$J$207,7,FALSE)="Yes",OR(G93="",H93&lt;&gt;1)),"Serialized outbound: one asset per row",IF(G93="","OK",IF(COUNTIFS('Assets'!$A$8:$A$207,G93)&lt;&gt;1,"Unknown / duplicate asset",IF(VLOOKUP(G93,'Assets'!$A$8:$K$207,2,FALSE)&lt;&gt;F93,"Asset part mismatch",IF(COUNTIFS($G$8:$G$207,G93,$C$8:$C$207,"Outbound")&lt;&gt;1,"Asset dispatched more than once","OK"))))))))))))))))</x:f>
      </x:c>
    </x:row>
    <x:row r="94" ht="22" customHeight="1">
      <x:c r="A94" s="10"/>
      <x:c r="B94" s="10"/>
      <x:c r="C94" s="10"/>
      <x:c r="D94" s="10"/>
      <x:c r="E94" s="10"/>
      <x:c r="F94" s="10"/>
      <x:c r="G94" s="10"/>
      <x:c r="H94" s="12"/>
      <x:c r="I94" s="12"/>
      <x:c r="J94" s="12"/>
      <x:c r="K94" s="11" t="str">
        <x:f>IF(A94="","",MAX(0,H94-I94-J94))</x:f>
      </x:c>
      <x:c r="L94" s="13"/>
      <x:c r="M94" s="13"/>
      <x:c r="N94" s="10"/>
      <x:c r="O94" s="10"/>
      <x:c r="P94" s="9" t="str">
        <x:f>IF(A94="","",IF(COUNTIFS('Shipments'!$A$8:$A$207,A94)&lt;&gt;1,"Duplicate shipment line",IF(OR(B94="",E94="",O94=""),"Set shipment, box and destination",IF(AND(C94&lt;&gt;"Inbound",C94&lt;&gt;"Outbound"),"Choose direction",IF(COUNTIFS('Definitions'!$A$8:$A$207,F94)&lt;&gt;1,"Unknown / duplicate part",IF(VLOOKUP(F94,'Definitions'!$A$8:$J$207,3,FALSE)&lt;&gt;"Part","Ship purchasable parts only",IF(OR(NOT(ISNUMBER(H94)),H94&lt;0,MOD(H94,1)&lt;&gt;0,NOT(ISNUMBER(I94)),I94&lt;0,MOD(I94,1)&lt;&gt;0,NOT(ISNUMBER(J94)),J94&lt;0,MOD(J94,1)&lt;&gt;0),"Invalid shipment quantities",IF(I94+J94&gt;H94,"Receipts exceed dispatch",IF(AND(H94&gt;0,NOT(ISNUMBER(L94))),"Set actual dispatch date",IF(C94="Inbound",IF(COUNTIFS('Orders'!$A$8:$A$207,D94)&lt;&gt;1,"Choose a unique order line",IF(VLOOKUP(D94,'Orders'!$A$8:$L$207,4,FALSE)&lt;&gt;F94,"Order part mismatch","OK")),IF(D94&lt;&gt;"","Clear outbound order line",IF(AND(VLOOKUP(F94,'Definitions'!$A$8:$J$207,7,FALSE)="Yes",OR(G94="",H94&lt;&gt;1)),"Serialized outbound: one asset per row",IF(G94="","OK",IF(COUNTIFS('Assets'!$A$8:$A$207,G94)&lt;&gt;1,"Unknown / duplicate asset",IF(VLOOKUP(G94,'Assets'!$A$8:$K$207,2,FALSE)&lt;&gt;F94,"Asset part mismatch",IF(COUNTIFS($G$8:$G$207,G94,$C$8:$C$207,"Outbound")&lt;&gt;1,"Asset dispatched more than once","OK"))))))))))))))))</x:f>
      </x:c>
    </x:row>
    <x:row r="95" ht="22" customHeight="1">
      <x:c r="A95" s="10"/>
      <x:c r="B95" s="10"/>
      <x:c r="C95" s="10"/>
      <x:c r="D95" s="10"/>
      <x:c r="E95" s="10"/>
      <x:c r="F95" s="10"/>
      <x:c r="G95" s="10"/>
      <x:c r="H95" s="12"/>
      <x:c r="I95" s="12"/>
      <x:c r="J95" s="12"/>
      <x:c r="K95" s="11" t="str">
        <x:f>IF(A95="","",MAX(0,H95-I95-J95))</x:f>
      </x:c>
      <x:c r="L95" s="13"/>
      <x:c r="M95" s="13"/>
      <x:c r="N95" s="10"/>
      <x:c r="O95" s="10"/>
      <x:c r="P95" s="9" t="str">
        <x:f>IF(A95="","",IF(COUNTIFS('Shipments'!$A$8:$A$207,A95)&lt;&gt;1,"Duplicate shipment line",IF(OR(B95="",E95="",O95=""),"Set shipment, box and destination",IF(AND(C95&lt;&gt;"Inbound",C95&lt;&gt;"Outbound"),"Choose direction",IF(COUNTIFS('Definitions'!$A$8:$A$207,F95)&lt;&gt;1,"Unknown / duplicate part",IF(VLOOKUP(F95,'Definitions'!$A$8:$J$207,3,FALSE)&lt;&gt;"Part","Ship purchasable parts only",IF(OR(NOT(ISNUMBER(H95)),H95&lt;0,MOD(H95,1)&lt;&gt;0,NOT(ISNUMBER(I95)),I95&lt;0,MOD(I95,1)&lt;&gt;0,NOT(ISNUMBER(J95)),J95&lt;0,MOD(J95,1)&lt;&gt;0),"Invalid shipment quantities",IF(I95+J95&gt;H95,"Receipts exceed dispatch",IF(AND(H95&gt;0,NOT(ISNUMBER(L95))),"Set actual dispatch date",IF(C95="Inbound",IF(COUNTIFS('Orders'!$A$8:$A$207,D95)&lt;&gt;1,"Choose a unique order line",IF(VLOOKUP(D95,'Orders'!$A$8:$L$207,4,FALSE)&lt;&gt;F95,"Order part mismatch","OK")),IF(D95&lt;&gt;"","Clear outbound order line",IF(AND(VLOOKUP(F95,'Definitions'!$A$8:$J$207,7,FALSE)="Yes",OR(G95="",H95&lt;&gt;1)),"Serialized outbound: one asset per row",IF(G95="","OK",IF(COUNTIFS('Assets'!$A$8:$A$207,G95)&lt;&gt;1,"Unknown / duplicate asset",IF(VLOOKUP(G95,'Assets'!$A$8:$K$207,2,FALSE)&lt;&gt;F95,"Asset part mismatch",IF(COUNTIFS($G$8:$G$207,G95,$C$8:$C$207,"Outbound")&lt;&gt;1,"Asset dispatched more than once","OK"))))))))))))))))</x:f>
      </x:c>
    </x:row>
    <x:row r="96" ht="22" customHeight="1">
      <x:c r="A96" s="10"/>
      <x:c r="B96" s="10"/>
      <x:c r="C96" s="10"/>
      <x:c r="D96" s="10"/>
      <x:c r="E96" s="10"/>
      <x:c r="F96" s="10"/>
      <x:c r="G96" s="10"/>
      <x:c r="H96" s="12"/>
      <x:c r="I96" s="12"/>
      <x:c r="J96" s="12"/>
      <x:c r="K96" s="11" t="str">
        <x:f>IF(A96="","",MAX(0,H96-I96-J96))</x:f>
      </x:c>
      <x:c r="L96" s="13"/>
      <x:c r="M96" s="13"/>
      <x:c r="N96" s="10"/>
      <x:c r="O96" s="10"/>
      <x:c r="P96" s="9" t="str">
        <x:f>IF(A96="","",IF(COUNTIFS('Shipments'!$A$8:$A$207,A96)&lt;&gt;1,"Duplicate shipment line",IF(OR(B96="",E96="",O96=""),"Set shipment, box and destination",IF(AND(C96&lt;&gt;"Inbound",C96&lt;&gt;"Outbound"),"Choose direction",IF(COUNTIFS('Definitions'!$A$8:$A$207,F96)&lt;&gt;1,"Unknown / duplicate part",IF(VLOOKUP(F96,'Definitions'!$A$8:$J$207,3,FALSE)&lt;&gt;"Part","Ship purchasable parts only",IF(OR(NOT(ISNUMBER(H96)),H96&lt;0,MOD(H96,1)&lt;&gt;0,NOT(ISNUMBER(I96)),I96&lt;0,MOD(I96,1)&lt;&gt;0,NOT(ISNUMBER(J96)),J96&lt;0,MOD(J96,1)&lt;&gt;0),"Invalid shipment quantities",IF(I96+J96&gt;H96,"Receipts exceed dispatch",IF(AND(H96&gt;0,NOT(ISNUMBER(L96))),"Set actual dispatch date",IF(C96="Inbound",IF(COUNTIFS('Orders'!$A$8:$A$207,D96)&lt;&gt;1,"Choose a unique order line",IF(VLOOKUP(D96,'Orders'!$A$8:$L$207,4,FALSE)&lt;&gt;F96,"Order part mismatch","OK")),IF(D96&lt;&gt;"","Clear outbound order line",IF(AND(VLOOKUP(F96,'Definitions'!$A$8:$J$207,7,FALSE)="Yes",OR(G96="",H96&lt;&gt;1)),"Serialized outbound: one asset per row",IF(G96="","OK",IF(COUNTIFS('Assets'!$A$8:$A$207,G96)&lt;&gt;1,"Unknown / duplicate asset",IF(VLOOKUP(G96,'Assets'!$A$8:$K$207,2,FALSE)&lt;&gt;F96,"Asset part mismatch",IF(COUNTIFS($G$8:$G$207,G96,$C$8:$C$207,"Outbound")&lt;&gt;1,"Asset dispatched more than once","OK"))))))))))))))))</x:f>
      </x:c>
    </x:row>
    <x:row r="97" ht="22" customHeight="1">
      <x:c r="A97" s="10"/>
      <x:c r="B97" s="10"/>
      <x:c r="C97" s="10"/>
      <x:c r="D97" s="10"/>
      <x:c r="E97" s="10"/>
      <x:c r="F97" s="10"/>
      <x:c r="G97" s="10"/>
      <x:c r="H97" s="12"/>
      <x:c r="I97" s="12"/>
      <x:c r="J97" s="12"/>
      <x:c r="K97" s="11" t="str">
        <x:f>IF(A97="","",MAX(0,H97-I97-J97))</x:f>
      </x:c>
      <x:c r="L97" s="13"/>
      <x:c r="M97" s="13"/>
      <x:c r="N97" s="10"/>
      <x:c r="O97" s="10"/>
      <x:c r="P97" s="9" t="str">
        <x:f>IF(A97="","",IF(COUNTIFS('Shipments'!$A$8:$A$207,A97)&lt;&gt;1,"Duplicate shipment line",IF(OR(B97="",E97="",O97=""),"Set shipment, box and destination",IF(AND(C97&lt;&gt;"Inbound",C97&lt;&gt;"Outbound"),"Choose direction",IF(COUNTIFS('Definitions'!$A$8:$A$207,F97)&lt;&gt;1,"Unknown / duplicate part",IF(VLOOKUP(F97,'Definitions'!$A$8:$J$207,3,FALSE)&lt;&gt;"Part","Ship purchasable parts only",IF(OR(NOT(ISNUMBER(H97)),H97&lt;0,MOD(H97,1)&lt;&gt;0,NOT(ISNUMBER(I97)),I97&lt;0,MOD(I97,1)&lt;&gt;0,NOT(ISNUMBER(J97)),J97&lt;0,MOD(J97,1)&lt;&gt;0),"Invalid shipment quantities",IF(I97+J97&gt;H97,"Receipts exceed dispatch",IF(AND(H97&gt;0,NOT(ISNUMBER(L97))),"Set actual dispatch date",IF(C97="Inbound",IF(COUNTIFS('Orders'!$A$8:$A$207,D97)&lt;&gt;1,"Choose a unique order line",IF(VLOOKUP(D97,'Orders'!$A$8:$L$207,4,FALSE)&lt;&gt;F97,"Order part mismatch","OK")),IF(D97&lt;&gt;"","Clear outbound order line",IF(AND(VLOOKUP(F97,'Definitions'!$A$8:$J$207,7,FALSE)="Yes",OR(G97="",H97&lt;&gt;1)),"Serialized outbound: one asset per row",IF(G97="","OK",IF(COUNTIFS('Assets'!$A$8:$A$207,G97)&lt;&gt;1,"Unknown / duplicate asset",IF(VLOOKUP(G97,'Assets'!$A$8:$K$207,2,FALSE)&lt;&gt;F97,"Asset part mismatch",IF(COUNTIFS($G$8:$G$207,G97,$C$8:$C$207,"Outbound")&lt;&gt;1,"Asset dispatched more than once","OK"))))))))))))))))</x:f>
      </x:c>
    </x:row>
    <x:row r="98" ht="22" customHeight="1">
      <x:c r="A98" s="10"/>
      <x:c r="B98" s="10"/>
      <x:c r="C98" s="10"/>
      <x:c r="D98" s="10"/>
      <x:c r="E98" s="10"/>
      <x:c r="F98" s="10"/>
      <x:c r="G98" s="10"/>
      <x:c r="H98" s="12"/>
      <x:c r="I98" s="12"/>
      <x:c r="J98" s="12"/>
      <x:c r="K98" s="11" t="str">
        <x:f>IF(A98="","",MAX(0,H98-I98-J98))</x:f>
      </x:c>
      <x:c r="L98" s="13"/>
      <x:c r="M98" s="13"/>
      <x:c r="N98" s="10"/>
      <x:c r="O98" s="10"/>
      <x:c r="P98" s="9" t="str">
        <x:f>IF(A98="","",IF(COUNTIFS('Shipments'!$A$8:$A$207,A98)&lt;&gt;1,"Duplicate shipment line",IF(OR(B98="",E98="",O98=""),"Set shipment, box and destination",IF(AND(C98&lt;&gt;"Inbound",C98&lt;&gt;"Outbound"),"Choose direction",IF(COUNTIFS('Definitions'!$A$8:$A$207,F98)&lt;&gt;1,"Unknown / duplicate part",IF(VLOOKUP(F98,'Definitions'!$A$8:$J$207,3,FALSE)&lt;&gt;"Part","Ship purchasable parts only",IF(OR(NOT(ISNUMBER(H98)),H98&lt;0,MOD(H98,1)&lt;&gt;0,NOT(ISNUMBER(I98)),I98&lt;0,MOD(I98,1)&lt;&gt;0,NOT(ISNUMBER(J98)),J98&lt;0,MOD(J98,1)&lt;&gt;0),"Invalid shipment quantities",IF(I98+J98&gt;H98,"Receipts exceed dispatch",IF(AND(H98&gt;0,NOT(ISNUMBER(L98))),"Set actual dispatch date",IF(C98="Inbound",IF(COUNTIFS('Orders'!$A$8:$A$207,D98)&lt;&gt;1,"Choose a unique order line",IF(VLOOKUP(D98,'Orders'!$A$8:$L$207,4,FALSE)&lt;&gt;F98,"Order part mismatch","OK")),IF(D98&lt;&gt;"","Clear outbound order line",IF(AND(VLOOKUP(F98,'Definitions'!$A$8:$J$207,7,FALSE)="Yes",OR(G98="",H98&lt;&gt;1)),"Serialized outbound: one asset per row",IF(G98="","OK",IF(COUNTIFS('Assets'!$A$8:$A$207,G98)&lt;&gt;1,"Unknown / duplicate asset",IF(VLOOKUP(G98,'Assets'!$A$8:$K$207,2,FALSE)&lt;&gt;F98,"Asset part mismatch",IF(COUNTIFS($G$8:$G$207,G98,$C$8:$C$207,"Outbound")&lt;&gt;1,"Asset dispatched more than once","OK"))))))))))))))))</x:f>
      </x:c>
    </x:row>
    <x:row r="99" ht="22" customHeight="1">
      <x:c r="A99" s="10"/>
      <x:c r="B99" s="10"/>
      <x:c r="C99" s="10"/>
      <x:c r="D99" s="10"/>
      <x:c r="E99" s="10"/>
      <x:c r="F99" s="10"/>
      <x:c r="G99" s="10"/>
      <x:c r="H99" s="12"/>
      <x:c r="I99" s="12"/>
      <x:c r="J99" s="12"/>
      <x:c r="K99" s="11" t="str">
        <x:f>IF(A99="","",MAX(0,H99-I99-J99))</x:f>
      </x:c>
      <x:c r="L99" s="13"/>
      <x:c r="M99" s="13"/>
      <x:c r="N99" s="10"/>
      <x:c r="O99" s="10"/>
      <x:c r="P99" s="9" t="str">
        <x:f>IF(A99="","",IF(COUNTIFS('Shipments'!$A$8:$A$207,A99)&lt;&gt;1,"Duplicate shipment line",IF(OR(B99="",E99="",O99=""),"Set shipment, box and destination",IF(AND(C99&lt;&gt;"Inbound",C99&lt;&gt;"Outbound"),"Choose direction",IF(COUNTIFS('Definitions'!$A$8:$A$207,F99)&lt;&gt;1,"Unknown / duplicate part",IF(VLOOKUP(F99,'Definitions'!$A$8:$J$207,3,FALSE)&lt;&gt;"Part","Ship purchasable parts only",IF(OR(NOT(ISNUMBER(H99)),H99&lt;0,MOD(H99,1)&lt;&gt;0,NOT(ISNUMBER(I99)),I99&lt;0,MOD(I99,1)&lt;&gt;0,NOT(ISNUMBER(J99)),J99&lt;0,MOD(J99,1)&lt;&gt;0),"Invalid shipment quantities",IF(I99+J99&gt;H99,"Receipts exceed dispatch",IF(AND(H99&gt;0,NOT(ISNUMBER(L99))),"Set actual dispatch date",IF(C99="Inbound",IF(COUNTIFS('Orders'!$A$8:$A$207,D99)&lt;&gt;1,"Choose a unique order line",IF(VLOOKUP(D99,'Orders'!$A$8:$L$207,4,FALSE)&lt;&gt;F99,"Order part mismatch","OK")),IF(D99&lt;&gt;"","Clear outbound order line",IF(AND(VLOOKUP(F99,'Definitions'!$A$8:$J$207,7,FALSE)="Yes",OR(G99="",H99&lt;&gt;1)),"Serialized outbound: one asset per row",IF(G99="","OK",IF(COUNTIFS('Assets'!$A$8:$A$207,G99)&lt;&gt;1,"Unknown / duplicate asset",IF(VLOOKUP(G99,'Assets'!$A$8:$K$207,2,FALSE)&lt;&gt;F99,"Asset part mismatch",IF(COUNTIFS($G$8:$G$207,G99,$C$8:$C$207,"Outbound")&lt;&gt;1,"Asset dispatched more than once","OK"))))))))))))))))</x:f>
      </x:c>
    </x:row>
    <x:row r="100" ht="22" customHeight="1">
      <x:c r="A100" s="10"/>
      <x:c r="B100" s="10"/>
      <x:c r="C100" s="10"/>
      <x:c r="D100" s="10"/>
      <x:c r="E100" s="10"/>
      <x:c r="F100" s="10"/>
      <x:c r="G100" s="10"/>
      <x:c r="H100" s="12"/>
      <x:c r="I100" s="12"/>
      <x:c r="J100" s="12"/>
      <x:c r="K100" s="11" t="str">
        <x:f>IF(A100="","",MAX(0,H100-I100-J100))</x:f>
      </x:c>
      <x:c r="L100" s="13"/>
      <x:c r="M100" s="13"/>
      <x:c r="N100" s="10"/>
      <x:c r="O100" s="10"/>
      <x:c r="P100" s="9" t="str">
        <x:f>IF(A100="","",IF(COUNTIFS('Shipments'!$A$8:$A$207,A100)&lt;&gt;1,"Duplicate shipment line",IF(OR(B100="",E100="",O100=""),"Set shipment, box and destination",IF(AND(C100&lt;&gt;"Inbound",C100&lt;&gt;"Outbound"),"Choose direction",IF(COUNTIFS('Definitions'!$A$8:$A$207,F100)&lt;&gt;1,"Unknown / duplicate part",IF(VLOOKUP(F100,'Definitions'!$A$8:$J$207,3,FALSE)&lt;&gt;"Part","Ship purchasable parts only",IF(OR(NOT(ISNUMBER(H100)),H100&lt;0,MOD(H100,1)&lt;&gt;0,NOT(ISNUMBER(I100)),I100&lt;0,MOD(I100,1)&lt;&gt;0,NOT(ISNUMBER(J100)),J100&lt;0,MOD(J100,1)&lt;&gt;0),"Invalid shipment quantities",IF(I100+J100&gt;H100,"Receipts exceed dispatch",IF(AND(H100&gt;0,NOT(ISNUMBER(L100))),"Set actual dispatch date",IF(C100="Inbound",IF(COUNTIFS('Orders'!$A$8:$A$207,D100)&lt;&gt;1,"Choose a unique order line",IF(VLOOKUP(D100,'Orders'!$A$8:$L$207,4,FALSE)&lt;&gt;F100,"Order part mismatch","OK")),IF(D100&lt;&gt;"","Clear outbound order line",IF(AND(VLOOKUP(F100,'Definitions'!$A$8:$J$207,7,FALSE)="Yes",OR(G100="",H100&lt;&gt;1)),"Serialized outbound: one asset per row",IF(G100="","OK",IF(COUNTIFS('Assets'!$A$8:$A$207,G100)&lt;&gt;1,"Unknown / duplicate asset",IF(VLOOKUP(G100,'Assets'!$A$8:$K$207,2,FALSE)&lt;&gt;F100,"Asset part mismatch",IF(COUNTIFS($G$8:$G$207,G100,$C$8:$C$207,"Outbound")&lt;&gt;1,"Asset dispatched more than once","OK"))))))))))))))))</x:f>
      </x:c>
    </x:row>
    <x:row r="101" ht="22" customHeight="1">
      <x:c r="A101" s="10"/>
      <x:c r="B101" s="10"/>
      <x:c r="C101" s="10"/>
      <x:c r="D101" s="10"/>
      <x:c r="E101" s="10"/>
      <x:c r="F101" s="10"/>
      <x:c r="G101" s="10"/>
      <x:c r="H101" s="12"/>
      <x:c r="I101" s="12"/>
      <x:c r="J101" s="12"/>
      <x:c r="K101" s="11" t="str">
        <x:f>IF(A101="","",MAX(0,H101-I101-J101))</x:f>
      </x:c>
      <x:c r="L101" s="13"/>
      <x:c r="M101" s="13"/>
      <x:c r="N101" s="10"/>
      <x:c r="O101" s="10"/>
      <x:c r="P101" s="9" t="str">
        <x:f>IF(A101="","",IF(COUNTIFS('Shipments'!$A$8:$A$207,A101)&lt;&gt;1,"Duplicate shipment line",IF(OR(B101="",E101="",O101=""),"Set shipment, box and destination",IF(AND(C101&lt;&gt;"Inbound",C101&lt;&gt;"Outbound"),"Choose direction",IF(COUNTIFS('Definitions'!$A$8:$A$207,F101)&lt;&gt;1,"Unknown / duplicate part",IF(VLOOKUP(F101,'Definitions'!$A$8:$J$207,3,FALSE)&lt;&gt;"Part","Ship purchasable parts only",IF(OR(NOT(ISNUMBER(H101)),H101&lt;0,MOD(H101,1)&lt;&gt;0,NOT(ISNUMBER(I101)),I101&lt;0,MOD(I101,1)&lt;&gt;0,NOT(ISNUMBER(J101)),J101&lt;0,MOD(J101,1)&lt;&gt;0),"Invalid shipment quantities",IF(I101+J101&gt;H101,"Receipts exceed dispatch",IF(AND(H101&gt;0,NOT(ISNUMBER(L101))),"Set actual dispatch date",IF(C101="Inbound",IF(COUNTIFS('Orders'!$A$8:$A$207,D101)&lt;&gt;1,"Choose a unique order line",IF(VLOOKUP(D101,'Orders'!$A$8:$L$207,4,FALSE)&lt;&gt;F101,"Order part mismatch","OK")),IF(D101&lt;&gt;"","Clear outbound order line",IF(AND(VLOOKUP(F101,'Definitions'!$A$8:$J$207,7,FALSE)="Yes",OR(G101="",H101&lt;&gt;1)),"Serialized outbound: one asset per row",IF(G101="","OK",IF(COUNTIFS('Assets'!$A$8:$A$207,G101)&lt;&gt;1,"Unknown / duplicate asset",IF(VLOOKUP(G101,'Assets'!$A$8:$K$207,2,FALSE)&lt;&gt;F101,"Asset part mismatch",IF(COUNTIFS($G$8:$G$207,G101,$C$8:$C$207,"Outbound")&lt;&gt;1,"Asset dispatched more than once","OK"))))))))))))))))</x:f>
      </x:c>
    </x:row>
    <x:row r="102" ht="22" customHeight="1">
      <x:c r="A102" s="10"/>
      <x:c r="B102" s="10"/>
      <x:c r="C102" s="10"/>
      <x:c r="D102" s="10"/>
      <x:c r="E102" s="10"/>
      <x:c r="F102" s="10"/>
      <x:c r="G102" s="10"/>
      <x:c r="H102" s="12"/>
      <x:c r="I102" s="12"/>
      <x:c r="J102" s="12"/>
      <x:c r="K102" s="11" t="str">
        <x:f>IF(A102="","",MAX(0,H102-I102-J102))</x:f>
      </x:c>
      <x:c r="L102" s="13"/>
      <x:c r="M102" s="13"/>
      <x:c r="N102" s="10"/>
      <x:c r="O102" s="10"/>
      <x:c r="P102" s="9" t="str">
        <x:f>IF(A102="","",IF(COUNTIFS('Shipments'!$A$8:$A$207,A102)&lt;&gt;1,"Duplicate shipment line",IF(OR(B102="",E102="",O102=""),"Set shipment, box and destination",IF(AND(C102&lt;&gt;"Inbound",C102&lt;&gt;"Outbound"),"Choose direction",IF(COUNTIFS('Definitions'!$A$8:$A$207,F102)&lt;&gt;1,"Unknown / duplicate part",IF(VLOOKUP(F102,'Definitions'!$A$8:$J$207,3,FALSE)&lt;&gt;"Part","Ship purchasable parts only",IF(OR(NOT(ISNUMBER(H102)),H102&lt;0,MOD(H102,1)&lt;&gt;0,NOT(ISNUMBER(I102)),I102&lt;0,MOD(I102,1)&lt;&gt;0,NOT(ISNUMBER(J102)),J102&lt;0,MOD(J102,1)&lt;&gt;0),"Invalid shipment quantities",IF(I102+J102&gt;H102,"Receipts exceed dispatch",IF(AND(H102&gt;0,NOT(ISNUMBER(L102))),"Set actual dispatch date",IF(C102="Inbound",IF(COUNTIFS('Orders'!$A$8:$A$207,D102)&lt;&gt;1,"Choose a unique order line",IF(VLOOKUP(D102,'Orders'!$A$8:$L$207,4,FALSE)&lt;&gt;F102,"Order part mismatch","OK")),IF(D102&lt;&gt;"","Clear outbound order line",IF(AND(VLOOKUP(F102,'Definitions'!$A$8:$J$207,7,FALSE)="Yes",OR(G102="",H102&lt;&gt;1)),"Serialized outbound: one asset per row",IF(G102="","OK",IF(COUNTIFS('Assets'!$A$8:$A$207,G102)&lt;&gt;1,"Unknown / duplicate asset",IF(VLOOKUP(G102,'Assets'!$A$8:$K$207,2,FALSE)&lt;&gt;F102,"Asset part mismatch",IF(COUNTIFS($G$8:$G$207,G102,$C$8:$C$207,"Outbound")&lt;&gt;1,"Asset dispatched more than once","OK"))))))))))))))))</x:f>
      </x:c>
    </x:row>
    <x:row r="103" ht="22" customHeight="1">
      <x:c r="A103" s="10"/>
      <x:c r="B103" s="10"/>
      <x:c r="C103" s="10"/>
      <x:c r="D103" s="10"/>
      <x:c r="E103" s="10"/>
      <x:c r="F103" s="10"/>
      <x:c r="G103" s="10"/>
      <x:c r="H103" s="12"/>
      <x:c r="I103" s="12"/>
      <x:c r="J103" s="12"/>
      <x:c r="K103" s="11" t="str">
        <x:f>IF(A103="","",MAX(0,H103-I103-J103))</x:f>
      </x:c>
      <x:c r="L103" s="13"/>
      <x:c r="M103" s="13"/>
      <x:c r="N103" s="10"/>
      <x:c r="O103" s="10"/>
      <x:c r="P103" s="9" t="str">
        <x:f>IF(A103="","",IF(COUNTIFS('Shipments'!$A$8:$A$207,A103)&lt;&gt;1,"Duplicate shipment line",IF(OR(B103="",E103="",O103=""),"Set shipment, box and destination",IF(AND(C103&lt;&gt;"Inbound",C103&lt;&gt;"Outbound"),"Choose direction",IF(COUNTIFS('Definitions'!$A$8:$A$207,F103)&lt;&gt;1,"Unknown / duplicate part",IF(VLOOKUP(F103,'Definitions'!$A$8:$J$207,3,FALSE)&lt;&gt;"Part","Ship purchasable parts only",IF(OR(NOT(ISNUMBER(H103)),H103&lt;0,MOD(H103,1)&lt;&gt;0,NOT(ISNUMBER(I103)),I103&lt;0,MOD(I103,1)&lt;&gt;0,NOT(ISNUMBER(J103)),J103&lt;0,MOD(J103,1)&lt;&gt;0),"Invalid shipment quantities",IF(I103+J103&gt;H103,"Receipts exceed dispatch",IF(AND(H103&gt;0,NOT(ISNUMBER(L103))),"Set actual dispatch date",IF(C103="Inbound",IF(COUNTIFS('Orders'!$A$8:$A$207,D103)&lt;&gt;1,"Choose a unique order line",IF(VLOOKUP(D103,'Orders'!$A$8:$L$207,4,FALSE)&lt;&gt;F103,"Order part mismatch","OK")),IF(D103&lt;&gt;"","Clear outbound order line",IF(AND(VLOOKUP(F103,'Definitions'!$A$8:$J$207,7,FALSE)="Yes",OR(G103="",H103&lt;&gt;1)),"Serialized outbound: one asset per row",IF(G103="","OK",IF(COUNTIFS('Assets'!$A$8:$A$207,G103)&lt;&gt;1,"Unknown / duplicate asset",IF(VLOOKUP(G103,'Assets'!$A$8:$K$207,2,FALSE)&lt;&gt;F103,"Asset part mismatch",IF(COUNTIFS($G$8:$G$207,G103,$C$8:$C$207,"Outbound")&lt;&gt;1,"Asset dispatched more than once","OK"))))))))))))))))</x:f>
      </x:c>
    </x:row>
    <x:row r="104" ht="22" customHeight="1">
      <x:c r="A104" s="10"/>
      <x:c r="B104" s="10"/>
      <x:c r="C104" s="10"/>
      <x:c r="D104" s="10"/>
      <x:c r="E104" s="10"/>
      <x:c r="F104" s="10"/>
      <x:c r="G104" s="10"/>
      <x:c r="H104" s="12"/>
      <x:c r="I104" s="12"/>
      <x:c r="J104" s="12"/>
      <x:c r="K104" s="11" t="str">
        <x:f>IF(A104="","",MAX(0,H104-I104-J104))</x:f>
      </x:c>
      <x:c r="L104" s="13"/>
      <x:c r="M104" s="13"/>
      <x:c r="N104" s="10"/>
      <x:c r="O104" s="10"/>
      <x:c r="P104" s="9" t="str">
        <x:f>IF(A104="","",IF(COUNTIFS('Shipments'!$A$8:$A$207,A104)&lt;&gt;1,"Duplicate shipment line",IF(OR(B104="",E104="",O104=""),"Set shipment, box and destination",IF(AND(C104&lt;&gt;"Inbound",C104&lt;&gt;"Outbound"),"Choose direction",IF(COUNTIFS('Definitions'!$A$8:$A$207,F104)&lt;&gt;1,"Unknown / duplicate part",IF(VLOOKUP(F104,'Definitions'!$A$8:$J$207,3,FALSE)&lt;&gt;"Part","Ship purchasable parts only",IF(OR(NOT(ISNUMBER(H104)),H104&lt;0,MOD(H104,1)&lt;&gt;0,NOT(ISNUMBER(I104)),I104&lt;0,MOD(I104,1)&lt;&gt;0,NOT(ISNUMBER(J104)),J104&lt;0,MOD(J104,1)&lt;&gt;0),"Invalid shipment quantities",IF(I104+J104&gt;H104,"Receipts exceed dispatch",IF(AND(H104&gt;0,NOT(ISNUMBER(L104))),"Set actual dispatch date",IF(C104="Inbound",IF(COUNTIFS('Orders'!$A$8:$A$207,D104)&lt;&gt;1,"Choose a unique order line",IF(VLOOKUP(D104,'Orders'!$A$8:$L$207,4,FALSE)&lt;&gt;F104,"Order part mismatch","OK")),IF(D104&lt;&gt;"","Clear outbound order line",IF(AND(VLOOKUP(F104,'Definitions'!$A$8:$J$207,7,FALSE)="Yes",OR(G104="",H104&lt;&gt;1)),"Serialized outbound: one asset per row",IF(G104="","OK",IF(COUNTIFS('Assets'!$A$8:$A$207,G104)&lt;&gt;1,"Unknown / duplicate asset",IF(VLOOKUP(G104,'Assets'!$A$8:$K$207,2,FALSE)&lt;&gt;F104,"Asset part mismatch",IF(COUNTIFS($G$8:$G$207,G104,$C$8:$C$207,"Outbound")&lt;&gt;1,"Asset dispatched more than once","OK"))))))))))))))))</x:f>
      </x:c>
    </x:row>
    <x:row r="105" ht="22" customHeight="1">
      <x:c r="A105" s="10"/>
      <x:c r="B105" s="10"/>
      <x:c r="C105" s="10"/>
      <x:c r="D105" s="10"/>
      <x:c r="E105" s="10"/>
      <x:c r="F105" s="10"/>
      <x:c r="G105" s="10"/>
      <x:c r="H105" s="12"/>
      <x:c r="I105" s="12"/>
      <x:c r="J105" s="12"/>
      <x:c r="K105" s="11" t="str">
        <x:f>IF(A105="","",MAX(0,H105-I105-J105))</x:f>
      </x:c>
      <x:c r="L105" s="13"/>
      <x:c r="M105" s="13"/>
      <x:c r="N105" s="10"/>
      <x:c r="O105" s="10"/>
      <x:c r="P105" s="9" t="str">
        <x:f>IF(A105="","",IF(COUNTIFS('Shipments'!$A$8:$A$207,A105)&lt;&gt;1,"Duplicate shipment line",IF(OR(B105="",E105="",O105=""),"Set shipment, box and destination",IF(AND(C105&lt;&gt;"Inbound",C105&lt;&gt;"Outbound"),"Choose direction",IF(COUNTIFS('Definitions'!$A$8:$A$207,F105)&lt;&gt;1,"Unknown / duplicate part",IF(VLOOKUP(F105,'Definitions'!$A$8:$J$207,3,FALSE)&lt;&gt;"Part","Ship purchasable parts only",IF(OR(NOT(ISNUMBER(H105)),H105&lt;0,MOD(H105,1)&lt;&gt;0,NOT(ISNUMBER(I105)),I105&lt;0,MOD(I105,1)&lt;&gt;0,NOT(ISNUMBER(J105)),J105&lt;0,MOD(J105,1)&lt;&gt;0),"Invalid shipment quantities",IF(I105+J105&gt;H105,"Receipts exceed dispatch",IF(AND(H105&gt;0,NOT(ISNUMBER(L105))),"Set actual dispatch date",IF(C105="Inbound",IF(COUNTIFS('Orders'!$A$8:$A$207,D105)&lt;&gt;1,"Choose a unique order line",IF(VLOOKUP(D105,'Orders'!$A$8:$L$207,4,FALSE)&lt;&gt;F105,"Order part mismatch","OK")),IF(D105&lt;&gt;"","Clear outbound order line",IF(AND(VLOOKUP(F105,'Definitions'!$A$8:$J$207,7,FALSE)="Yes",OR(G105="",H105&lt;&gt;1)),"Serialized outbound: one asset per row",IF(G105="","OK",IF(COUNTIFS('Assets'!$A$8:$A$207,G105)&lt;&gt;1,"Unknown / duplicate asset",IF(VLOOKUP(G105,'Assets'!$A$8:$K$207,2,FALSE)&lt;&gt;F105,"Asset part mismatch",IF(COUNTIFS($G$8:$G$207,G105,$C$8:$C$207,"Outbound")&lt;&gt;1,"Asset dispatched more than once","OK"))))))))))))))))</x:f>
      </x:c>
    </x:row>
    <x:row r="106" ht="22" customHeight="1">
      <x:c r="A106" s="10"/>
      <x:c r="B106" s="10"/>
      <x:c r="C106" s="10"/>
      <x:c r="D106" s="10"/>
      <x:c r="E106" s="10"/>
      <x:c r="F106" s="10"/>
      <x:c r="G106" s="10"/>
      <x:c r="H106" s="12"/>
      <x:c r="I106" s="12"/>
      <x:c r="J106" s="12"/>
      <x:c r="K106" s="11" t="str">
        <x:f>IF(A106="","",MAX(0,H106-I106-J106))</x:f>
      </x:c>
      <x:c r="L106" s="13"/>
      <x:c r="M106" s="13"/>
      <x:c r="N106" s="10"/>
      <x:c r="O106" s="10"/>
      <x:c r="P106" s="9" t="str">
        <x:f>IF(A106="","",IF(COUNTIFS('Shipments'!$A$8:$A$207,A106)&lt;&gt;1,"Duplicate shipment line",IF(OR(B106="",E106="",O106=""),"Set shipment, box and destination",IF(AND(C106&lt;&gt;"Inbound",C106&lt;&gt;"Outbound"),"Choose direction",IF(COUNTIFS('Definitions'!$A$8:$A$207,F106)&lt;&gt;1,"Unknown / duplicate part",IF(VLOOKUP(F106,'Definitions'!$A$8:$J$207,3,FALSE)&lt;&gt;"Part","Ship purchasable parts only",IF(OR(NOT(ISNUMBER(H106)),H106&lt;0,MOD(H106,1)&lt;&gt;0,NOT(ISNUMBER(I106)),I106&lt;0,MOD(I106,1)&lt;&gt;0,NOT(ISNUMBER(J106)),J106&lt;0,MOD(J106,1)&lt;&gt;0),"Invalid shipment quantities",IF(I106+J106&gt;H106,"Receipts exceed dispatch",IF(AND(H106&gt;0,NOT(ISNUMBER(L106))),"Set actual dispatch date",IF(C106="Inbound",IF(COUNTIFS('Orders'!$A$8:$A$207,D106)&lt;&gt;1,"Choose a unique order line",IF(VLOOKUP(D106,'Orders'!$A$8:$L$207,4,FALSE)&lt;&gt;F106,"Order part mismatch","OK")),IF(D106&lt;&gt;"","Clear outbound order line",IF(AND(VLOOKUP(F106,'Definitions'!$A$8:$J$207,7,FALSE)="Yes",OR(G106="",H106&lt;&gt;1)),"Serialized outbound: one asset per row",IF(G106="","OK",IF(COUNTIFS('Assets'!$A$8:$A$207,G106)&lt;&gt;1,"Unknown / duplicate asset",IF(VLOOKUP(G106,'Assets'!$A$8:$K$207,2,FALSE)&lt;&gt;F106,"Asset part mismatch",IF(COUNTIFS($G$8:$G$207,G106,$C$8:$C$207,"Outbound")&lt;&gt;1,"Asset dispatched more than once","OK"))))))))))))))))</x:f>
      </x:c>
    </x:row>
    <x:row r="107" ht="22" customHeight="1">
      <x:c r="A107" s="10"/>
      <x:c r="B107" s="10"/>
      <x:c r="C107" s="10"/>
      <x:c r="D107" s="10"/>
      <x:c r="E107" s="10"/>
      <x:c r="F107" s="10"/>
      <x:c r="G107" s="10"/>
      <x:c r="H107" s="12"/>
      <x:c r="I107" s="12"/>
      <x:c r="J107" s="12"/>
      <x:c r="K107" s="11" t="str">
        <x:f>IF(A107="","",MAX(0,H107-I107-J107))</x:f>
      </x:c>
      <x:c r="L107" s="13"/>
      <x:c r="M107" s="13"/>
      <x:c r="N107" s="10"/>
      <x:c r="O107" s="10"/>
      <x:c r="P107" s="9" t="str">
        <x:f>IF(A107="","",IF(COUNTIFS('Shipments'!$A$8:$A$207,A107)&lt;&gt;1,"Duplicate shipment line",IF(OR(B107="",E107="",O107=""),"Set shipment, box and destination",IF(AND(C107&lt;&gt;"Inbound",C107&lt;&gt;"Outbound"),"Choose direction",IF(COUNTIFS('Definitions'!$A$8:$A$207,F107)&lt;&gt;1,"Unknown / duplicate part",IF(VLOOKUP(F107,'Definitions'!$A$8:$J$207,3,FALSE)&lt;&gt;"Part","Ship purchasable parts only",IF(OR(NOT(ISNUMBER(H107)),H107&lt;0,MOD(H107,1)&lt;&gt;0,NOT(ISNUMBER(I107)),I107&lt;0,MOD(I107,1)&lt;&gt;0,NOT(ISNUMBER(J107)),J107&lt;0,MOD(J107,1)&lt;&gt;0),"Invalid shipment quantities",IF(I107+J107&gt;H107,"Receipts exceed dispatch",IF(AND(H107&gt;0,NOT(ISNUMBER(L107))),"Set actual dispatch date",IF(C107="Inbound",IF(COUNTIFS('Orders'!$A$8:$A$207,D107)&lt;&gt;1,"Choose a unique order line",IF(VLOOKUP(D107,'Orders'!$A$8:$L$207,4,FALSE)&lt;&gt;F107,"Order part mismatch","OK")),IF(D107&lt;&gt;"","Clear outbound order line",IF(AND(VLOOKUP(F107,'Definitions'!$A$8:$J$207,7,FALSE)="Yes",OR(G107="",H107&lt;&gt;1)),"Serialized outbound: one asset per row",IF(G107="","OK",IF(COUNTIFS('Assets'!$A$8:$A$207,G107)&lt;&gt;1,"Unknown / duplicate asset",IF(VLOOKUP(G107,'Assets'!$A$8:$K$207,2,FALSE)&lt;&gt;F107,"Asset part mismatch",IF(COUNTIFS($G$8:$G$207,G107,$C$8:$C$207,"Outbound")&lt;&gt;1,"Asset dispatched more than once","OK"))))))))))))))))</x:f>
      </x:c>
    </x:row>
    <x:row r="108" ht="22" customHeight="1">
      <x:c r="A108" s="10"/>
      <x:c r="B108" s="10"/>
      <x:c r="C108" s="10"/>
      <x:c r="D108" s="10"/>
      <x:c r="E108" s="10"/>
      <x:c r="F108" s="10"/>
      <x:c r="G108" s="10"/>
      <x:c r="H108" s="12"/>
      <x:c r="I108" s="12"/>
      <x:c r="J108" s="12"/>
      <x:c r="K108" s="11" t="str">
        <x:f>IF(A108="","",MAX(0,H108-I108-J108))</x:f>
      </x:c>
      <x:c r="L108" s="13"/>
      <x:c r="M108" s="13"/>
      <x:c r="N108" s="10"/>
      <x:c r="O108" s="10"/>
      <x:c r="P108" s="9" t="str">
        <x:f>IF(A108="","",IF(COUNTIFS('Shipments'!$A$8:$A$207,A108)&lt;&gt;1,"Duplicate shipment line",IF(OR(B108="",E108="",O108=""),"Set shipment, box and destination",IF(AND(C108&lt;&gt;"Inbound",C108&lt;&gt;"Outbound"),"Choose direction",IF(COUNTIFS('Definitions'!$A$8:$A$207,F108)&lt;&gt;1,"Unknown / duplicate part",IF(VLOOKUP(F108,'Definitions'!$A$8:$J$207,3,FALSE)&lt;&gt;"Part","Ship purchasable parts only",IF(OR(NOT(ISNUMBER(H108)),H108&lt;0,MOD(H108,1)&lt;&gt;0,NOT(ISNUMBER(I108)),I108&lt;0,MOD(I108,1)&lt;&gt;0,NOT(ISNUMBER(J108)),J108&lt;0,MOD(J108,1)&lt;&gt;0),"Invalid shipment quantities",IF(I108+J108&gt;H108,"Receipts exceed dispatch",IF(AND(H108&gt;0,NOT(ISNUMBER(L108))),"Set actual dispatch date",IF(C108="Inbound",IF(COUNTIFS('Orders'!$A$8:$A$207,D108)&lt;&gt;1,"Choose a unique order line",IF(VLOOKUP(D108,'Orders'!$A$8:$L$207,4,FALSE)&lt;&gt;F108,"Order part mismatch","OK")),IF(D108&lt;&gt;"","Clear outbound order line",IF(AND(VLOOKUP(F108,'Definitions'!$A$8:$J$207,7,FALSE)="Yes",OR(G108="",H108&lt;&gt;1)),"Serialized outbound: one asset per row",IF(G108="","OK",IF(COUNTIFS('Assets'!$A$8:$A$207,G108)&lt;&gt;1,"Unknown / duplicate asset",IF(VLOOKUP(G108,'Assets'!$A$8:$K$207,2,FALSE)&lt;&gt;F108,"Asset part mismatch",IF(COUNTIFS($G$8:$G$207,G108,$C$8:$C$207,"Outbound")&lt;&gt;1,"Asset dispatched more than once","OK"))))))))))))))))</x:f>
      </x:c>
    </x:row>
    <x:row r="109" ht="22" customHeight="1">
      <x:c r="A109" s="10"/>
      <x:c r="B109" s="10"/>
      <x:c r="C109" s="10"/>
      <x:c r="D109" s="10"/>
      <x:c r="E109" s="10"/>
      <x:c r="F109" s="10"/>
      <x:c r="G109" s="10"/>
      <x:c r="H109" s="12"/>
      <x:c r="I109" s="12"/>
      <x:c r="J109" s="12"/>
      <x:c r="K109" s="11" t="str">
        <x:f>IF(A109="","",MAX(0,H109-I109-J109))</x:f>
      </x:c>
      <x:c r="L109" s="13"/>
      <x:c r="M109" s="13"/>
      <x:c r="N109" s="10"/>
      <x:c r="O109" s="10"/>
      <x:c r="P109" s="9" t="str">
        <x:f>IF(A109="","",IF(COUNTIFS('Shipments'!$A$8:$A$207,A109)&lt;&gt;1,"Duplicate shipment line",IF(OR(B109="",E109="",O109=""),"Set shipment, box and destination",IF(AND(C109&lt;&gt;"Inbound",C109&lt;&gt;"Outbound"),"Choose direction",IF(COUNTIFS('Definitions'!$A$8:$A$207,F109)&lt;&gt;1,"Unknown / duplicate part",IF(VLOOKUP(F109,'Definitions'!$A$8:$J$207,3,FALSE)&lt;&gt;"Part","Ship purchasable parts only",IF(OR(NOT(ISNUMBER(H109)),H109&lt;0,MOD(H109,1)&lt;&gt;0,NOT(ISNUMBER(I109)),I109&lt;0,MOD(I109,1)&lt;&gt;0,NOT(ISNUMBER(J109)),J109&lt;0,MOD(J109,1)&lt;&gt;0),"Invalid shipment quantities",IF(I109+J109&gt;H109,"Receipts exceed dispatch",IF(AND(H109&gt;0,NOT(ISNUMBER(L109))),"Set actual dispatch date",IF(C109="Inbound",IF(COUNTIFS('Orders'!$A$8:$A$207,D109)&lt;&gt;1,"Choose a unique order line",IF(VLOOKUP(D109,'Orders'!$A$8:$L$207,4,FALSE)&lt;&gt;F109,"Order part mismatch","OK")),IF(D109&lt;&gt;"","Clear outbound order line",IF(AND(VLOOKUP(F109,'Definitions'!$A$8:$J$207,7,FALSE)="Yes",OR(G109="",H109&lt;&gt;1)),"Serialized outbound: one asset per row",IF(G109="","OK",IF(COUNTIFS('Assets'!$A$8:$A$207,G109)&lt;&gt;1,"Unknown / duplicate asset",IF(VLOOKUP(G109,'Assets'!$A$8:$K$207,2,FALSE)&lt;&gt;F109,"Asset part mismatch",IF(COUNTIFS($G$8:$G$207,G109,$C$8:$C$207,"Outbound")&lt;&gt;1,"Asset dispatched more than once","OK"))))))))))))))))</x:f>
      </x:c>
    </x:row>
    <x:row r="110" ht="22" customHeight="1">
      <x:c r="A110" s="10"/>
      <x:c r="B110" s="10"/>
      <x:c r="C110" s="10"/>
      <x:c r="D110" s="10"/>
      <x:c r="E110" s="10"/>
      <x:c r="F110" s="10"/>
      <x:c r="G110" s="10"/>
      <x:c r="H110" s="12"/>
      <x:c r="I110" s="12"/>
      <x:c r="J110" s="12"/>
      <x:c r="K110" s="11" t="str">
        <x:f>IF(A110="","",MAX(0,H110-I110-J110))</x:f>
      </x:c>
      <x:c r="L110" s="13"/>
      <x:c r="M110" s="13"/>
      <x:c r="N110" s="10"/>
      <x:c r="O110" s="10"/>
      <x:c r="P110" s="9" t="str">
        <x:f>IF(A110="","",IF(COUNTIFS('Shipments'!$A$8:$A$207,A110)&lt;&gt;1,"Duplicate shipment line",IF(OR(B110="",E110="",O110=""),"Set shipment, box and destination",IF(AND(C110&lt;&gt;"Inbound",C110&lt;&gt;"Outbound"),"Choose direction",IF(COUNTIFS('Definitions'!$A$8:$A$207,F110)&lt;&gt;1,"Unknown / duplicate part",IF(VLOOKUP(F110,'Definitions'!$A$8:$J$207,3,FALSE)&lt;&gt;"Part","Ship purchasable parts only",IF(OR(NOT(ISNUMBER(H110)),H110&lt;0,MOD(H110,1)&lt;&gt;0,NOT(ISNUMBER(I110)),I110&lt;0,MOD(I110,1)&lt;&gt;0,NOT(ISNUMBER(J110)),J110&lt;0,MOD(J110,1)&lt;&gt;0),"Invalid shipment quantities",IF(I110+J110&gt;H110,"Receipts exceed dispatch",IF(AND(H110&gt;0,NOT(ISNUMBER(L110))),"Set actual dispatch date",IF(C110="Inbound",IF(COUNTIFS('Orders'!$A$8:$A$207,D110)&lt;&gt;1,"Choose a unique order line",IF(VLOOKUP(D110,'Orders'!$A$8:$L$207,4,FALSE)&lt;&gt;F110,"Order part mismatch","OK")),IF(D110&lt;&gt;"","Clear outbound order line",IF(AND(VLOOKUP(F110,'Definitions'!$A$8:$J$207,7,FALSE)="Yes",OR(G110="",H110&lt;&gt;1)),"Serialized outbound: one asset per row",IF(G110="","OK",IF(COUNTIFS('Assets'!$A$8:$A$207,G110)&lt;&gt;1,"Unknown / duplicate asset",IF(VLOOKUP(G110,'Assets'!$A$8:$K$207,2,FALSE)&lt;&gt;F110,"Asset part mismatch",IF(COUNTIFS($G$8:$G$207,G110,$C$8:$C$207,"Outbound")&lt;&gt;1,"Asset dispatched more than once","OK"))))))))))))))))</x:f>
      </x:c>
    </x:row>
    <x:row r="111" ht="22" customHeight="1">
      <x:c r="A111" s="10"/>
      <x:c r="B111" s="10"/>
      <x:c r="C111" s="10"/>
      <x:c r="D111" s="10"/>
      <x:c r="E111" s="10"/>
      <x:c r="F111" s="10"/>
      <x:c r="G111" s="10"/>
      <x:c r="H111" s="12"/>
      <x:c r="I111" s="12"/>
      <x:c r="J111" s="12"/>
      <x:c r="K111" s="11" t="str">
        <x:f>IF(A111="","",MAX(0,H111-I111-J111))</x:f>
      </x:c>
      <x:c r="L111" s="13"/>
      <x:c r="M111" s="13"/>
      <x:c r="N111" s="10"/>
      <x:c r="O111" s="10"/>
      <x:c r="P111" s="9" t="str">
        <x:f>IF(A111="","",IF(COUNTIFS('Shipments'!$A$8:$A$207,A111)&lt;&gt;1,"Duplicate shipment line",IF(OR(B111="",E111="",O111=""),"Set shipment, box and destination",IF(AND(C111&lt;&gt;"Inbound",C111&lt;&gt;"Outbound"),"Choose direction",IF(COUNTIFS('Definitions'!$A$8:$A$207,F111)&lt;&gt;1,"Unknown / duplicate part",IF(VLOOKUP(F111,'Definitions'!$A$8:$J$207,3,FALSE)&lt;&gt;"Part","Ship purchasable parts only",IF(OR(NOT(ISNUMBER(H111)),H111&lt;0,MOD(H111,1)&lt;&gt;0,NOT(ISNUMBER(I111)),I111&lt;0,MOD(I111,1)&lt;&gt;0,NOT(ISNUMBER(J111)),J111&lt;0,MOD(J111,1)&lt;&gt;0),"Invalid shipment quantities",IF(I111+J111&gt;H111,"Receipts exceed dispatch",IF(AND(H111&gt;0,NOT(ISNUMBER(L111))),"Set actual dispatch date",IF(C111="Inbound",IF(COUNTIFS('Orders'!$A$8:$A$207,D111)&lt;&gt;1,"Choose a unique order line",IF(VLOOKUP(D111,'Orders'!$A$8:$L$207,4,FALSE)&lt;&gt;F111,"Order part mismatch","OK")),IF(D111&lt;&gt;"","Clear outbound order line",IF(AND(VLOOKUP(F111,'Definitions'!$A$8:$J$207,7,FALSE)="Yes",OR(G111="",H111&lt;&gt;1)),"Serialized outbound: one asset per row",IF(G111="","OK",IF(COUNTIFS('Assets'!$A$8:$A$207,G111)&lt;&gt;1,"Unknown / duplicate asset",IF(VLOOKUP(G111,'Assets'!$A$8:$K$207,2,FALSE)&lt;&gt;F111,"Asset part mismatch",IF(COUNTIFS($G$8:$G$207,G111,$C$8:$C$207,"Outbound")&lt;&gt;1,"Asset dispatched more than once","OK"))))))))))))))))</x:f>
      </x:c>
    </x:row>
    <x:row r="112" ht="22" customHeight="1">
      <x:c r="A112" s="10"/>
      <x:c r="B112" s="10"/>
      <x:c r="C112" s="10"/>
      <x:c r="D112" s="10"/>
      <x:c r="E112" s="10"/>
      <x:c r="F112" s="10"/>
      <x:c r="G112" s="10"/>
      <x:c r="H112" s="12"/>
      <x:c r="I112" s="12"/>
      <x:c r="J112" s="12"/>
      <x:c r="K112" s="11" t="str">
        <x:f>IF(A112="","",MAX(0,H112-I112-J112))</x:f>
      </x:c>
      <x:c r="L112" s="13"/>
      <x:c r="M112" s="13"/>
      <x:c r="N112" s="10"/>
      <x:c r="O112" s="10"/>
      <x:c r="P112" s="9" t="str">
        <x:f>IF(A112="","",IF(COUNTIFS('Shipments'!$A$8:$A$207,A112)&lt;&gt;1,"Duplicate shipment line",IF(OR(B112="",E112="",O112=""),"Set shipment, box and destination",IF(AND(C112&lt;&gt;"Inbound",C112&lt;&gt;"Outbound"),"Choose direction",IF(COUNTIFS('Definitions'!$A$8:$A$207,F112)&lt;&gt;1,"Unknown / duplicate part",IF(VLOOKUP(F112,'Definitions'!$A$8:$J$207,3,FALSE)&lt;&gt;"Part","Ship purchasable parts only",IF(OR(NOT(ISNUMBER(H112)),H112&lt;0,MOD(H112,1)&lt;&gt;0,NOT(ISNUMBER(I112)),I112&lt;0,MOD(I112,1)&lt;&gt;0,NOT(ISNUMBER(J112)),J112&lt;0,MOD(J112,1)&lt;&gt;0),"Invalid shipment quantities",IF(I112+J112&gt;H112,"Receipts exceed dispatch",IF(AND(H112&gt;0,NOT(ISNUMBER(L112))),"Set actual dispatch date",IF(C112="Inbound",IF(COUNTIFS('Orders'!$A$8:$A$207,D112)&lt;&gt;1,"Choose a unique order line",IF(VLOOKUP(D112,'Orders'!$A$8:$L$207,4,FALSE)&lt;&gt;F112,"Order part mismatch","OK")),IF(D112&lt;&gt;"","Clear outbound order line",IF(AND(VLOOKUP(F112,'Definitions'!$A$8:$J$207,7,FALSE)="Yes",OR(G112="",H112&lt;&gt;1)),"Serialized outbound: one asset per row",IF(G112="","OK",IF(COUNTIFS('Assets'!$A$8:$A$207,G112)&lt;&gt;1,"Unknown / duplicate asset",IF(VLOOKUP(G112,'Assets'!$A$8:$K$207,2,FALSE)&lt;&gt;F112,"Asset part mismatch",IF(COUNTIFS($G$8:$G$207,G112,$C$8:$C$207,"Outbound")&lt;&gt;1,"Asset dispatched more than once","OK"))))))))))))))))</x:f>
      </x:c>
    </x:row>
    <x:row r="113" ht="22" customHeight="1">
      <x:c r="A113" s="10"/>
      <x:c r="B113" s="10"/>
      <x:c r="C113" s="10"/>
      <x:c r="D113" s="10"/>
      <x:c r="E113" s="10"/>
      <x:c r="F113" s="10"/>
      <x:c r="G113" s="10"/>
      <x:c r="H113" s="12"/>
      <x:c r="I113" s="12"/>
      <x:c r="J113" s="12"/>
      <x:c r="K113" s="11" t="str">
        <x:f>IF(A113="","",MAX(0,H113-I113-J113))</x:f>
      </x:c>
      <x:c r="L113" s="13"/>
      <x:c r="M113" s="13"/>
      <x:c r="N113" s="10"/>
      <x:c r="O113" s="10"/>
      <x:c r="P113" s="9" t="str">
        <x:f>IF(A113="","",IF(COUNTIFS('Shipments'!$A$8:$A$207,A113)&lt;&gt;1,"Duplicate shipment line",IF(OR(B113="",E113="",O113=""),"Set shipment, box and destination",IF(AND(C113&lt;&gt;"Inbound",C113&lt;&gt;"Outbound"),"Choose direction",IF(COUNTIFS('Definitions'!$A$8:$A$207,F113)&lt;&gt;1,"Unknown / duplicate part",IF(VLOOKUP(F113,'Definitions'!$A$8:$J$207,3,FALSE)&lt;&gt;"Part","Ship purchasable parts only",IF(OR(NOT(ISNUMBER(H113)),H113&lt;0,MOD(H113,1)&lt;&gt;0,NOT(ISNUMBER(I113)),I113&lt;0,MOD(I113,1)&lt;&gt;0,NOT(ISNUMBER(J113)),J113&lt;0,MOD(J113,1)&lt;&gt;0),"Invalid shipment quantities",IF(I113+J113&gt;H113,"Receipts exceed dispatch",IF(AND(H113&gt;0,NOT(ISNUMBER(L113))),"Set actual dispatch date",IF(C113="Inbound",IF(COUNTIFS('Orders'!$A$8:$A$207,D113)&lt;&gt;1,"Choose a unique order line",IF(VLOOKUP(D113,'Orders'!$A$8:$L$207,4,FALSE)&lt;&gt;F113,"Order part mismatch","OK")),IF(D113&lt;&gt;"","Clear outbound order line",IF(AND(VLOOKUP(F113,'Definitions'!$A$8:$J$207,7,FALSE)="Yes",OR(G113="",H113&lt;&gt;1)),"Serialized outbound: one asset per row",IF(G113="","OK",IF(COUNTIFS('Assets'!$A$8:$A$207,G113)&lt;&gt;1,"Unknown / duplicate asset",IF(VLOOKUP(G113,'Assets'!$A$8:$K$207,2,FALSE)&lt;&gt;F113,"Asset part mismatch",IF(COUNTIFS($G$8:$G$207,G113,$C$8:$C$207,"Outbound")&lt;&gt;1,"Asset dispatched more than once","OK"))))))))))))))))</x:f>
      </x:c>
    </x:row>
    <x:row r="114" ht="22" customHeight="1">
      <x:c r="A114" s="10"/>
      <x:c r="B114" s="10"/>
      <x:c r="C114" s="10"/>
      <x:c r="D114" s="10"/>
      <x:c r="E114" s="10"/>
      <x:c r="F114" s="10"/>
      <x:c r="G114" s="10"/>
      <x:c r="H114" s="12"/>
      <x:c r="I114" s="12"/>
      <x:c r="J114" s="12"/>
      <x:c r="K114" s="11" t="str">
        <x:f>IF(A114="","",MAX(0,H114-I114-J114))</x:f>
      </x:c>
      <x:c r="L114" s="13"/>
      <x:c r="M114" s="13"/>
      <x:c r="N114" s="10"/>
      <x:c r="O114" s="10"/>
      <x:c r="P114" s="9" t="str">
        <x:f>IF(A114="","",IF(COUNTIFS('Shipments'!$A$8:$A$207,A114)&lt;&gt;1,"Duplicate shipment line",IF(OR(B114="",E114="",O114=""),"Set shipment, box and destination",IF(AND(C114&lt;&gt;"Inbound",C114&lt;&gt;"Outbound"),"Choose direction",IF(COUNTIFS('Definitions'!$A$8:$A$207,F114)&lt;&gt;1,"Unknown / duplicate part",IF(VLOOKUP(F114,'Definitions'!$A$8:$J$207,3,FALSE)&lt;&gt;"Part","Ship purchasable parts only",IF(OR(NOT(ISNUMBER(H114)),H114&lt;0,MOD(H114,1)&lt;&gt;0,NOT(ISNUMBER(I114)),I114&lt;0,MOD(I114,1)&lt;&gt;0,NOT(ISNUMBER(J114)),J114&lt;0,MOD(J114,1)&lt;&gt;0),"Invalid shipment quantities",IF(I114+J114&gt;H114,"Receipts exceed dispatch",IF(AND(H114&gt;0,NOT(ISNUMBER(L114))),"Set actual dispatch date",IF(C114="Inbound",IF(COUNTIFS('Orders'!$A$8:$A$207,D114)&lt;&gt;1,"Choose a unique order line",IF(VLOOKUP(D114,'Orders'!$A$8:$L$207,4,FALSE)&lt;&gt;F114,"Order part mismatch","OK")),IF(D114&lt;&gt;"","Clear outbound order line",IF(AND(VLOOKUP(F114,'Definitions'!$A$8:$J$207,7,FALSE)="Yes",OR(G114="",H114&lt;&gt;1)),"Serialized outbound: one asset per row",IF(G114="","OK",IF(COUNTIFS('Assets'!$A$8:$A$207,G114)&lt;&gt;1,"Unknown / duplicate asset",IF(VLOOKUP(G114,'Assets'!$A$8:$K$207,2,FALSE)&lt;&gt;F114,"Asset part mismatch",IF(COUNTIFS($G$8:$G$207,G114,$C$8:$C$207,"Outbound")&lt;&gt;1,"Asset dispatched more than once","OK"))))))))))))))))</x:f>
      </x:c>
    </x:row>
    <x:row r="115" ht="22" customHeight="1">
      <x:c r="A115" s="10"/>
      <x:c r="B115" s="10"/>
      <x:c r="C115" s="10"/>
      <x:c r="D115" s="10"/>
      <x:c r="E115" s="10"/>
      <x:c r="F115" s="10"/>
      <x:c r="G115" s="10"/>
      <x:c r="H115" s="12"/>
      <x:c r="I115" s="12"/>
      <x:c r="J115" s="12"/>
      <x:c r="K115" s="11" t="str">
        <x:f>IF(A115="","",MAX(0,H115-I115-J115))</x:f>
      </x:c>
      <x:c r="L115" s="13"/>
      <x:c r="M115" s="13"/>
      <x:c r="N115" s="10"/>
      <x:c r="O115" s="10"/>
      <x:c r="P115" s="9" t="str">
        <x:f>IF(A115="","",IF(COUNTIFS('Shipments'!$A$8:$A$207,A115)&lt;&gt;1,"Duplicate shipment line",IF(OR(B115="",E115="",O115=""),"Set shipment, box and destination",IF(AND(C115&lt;&gt;"Inbound",C115&lt;&gt;"Outbound"),"Choose direction",IF(COUNTIFS('Definitions'!$A$8:$A$207,F115)&lt;&gt;1,"Unknown / duplicate part",IF(VLOOKUP(F115,'Definitions'!$A$8:$J$207,3,FALSE)&lt;&gt;"Part","Ship purchasable parts only",IF(OR(NOT(ISNUMBER(H115)),H115&lt;0,MOD(H115,1)&lt;&gt;0,NOT(ISNUMBER(I115)),I115&lt;0,MOD(I115,1)&lt;&gt;0,NOT(ISNUMBER(J115)),J115&lt;0,MOD(J115,1)&lt;&gt;0),"Invalid shipment quantities",IF(I115+J115&gt;H115,"Receipts exceed dispatch",IF(AND(H115&gt;0,NOT(ISNUMBER(L115))),"Set actual dispatch date",IF(C115="Inbound",IF(COUNTIFS('Orders'!$A$8:$A$207,D115)&lt;&gt;1,"Choose a unique order line",IF(VLOOKUP(D115,'Orders'!$A$8:$L$207,4,FALSE)&lt;&gt;F115,"Order part mismatch","OK")),IF(D115&lt;&gt;"","Clear outbound order line",IF(AND(VLOOKUP(F115,'Definitions'!$A$8:$J$207,7,FALSE)="Yes",OR(G115="",H115&lt;&gt;1)),"Serialized outbound: one asset per row",IF(G115="","OK",IF(COUNTIFS('Assets'!$A$8:$A$207,G115)&lt;&gt;1,"Unknown / duplicate asset",IF(VLOOKUP(G115,'Assets'!$A$8:$K$207,2,FALSE)&lt;&gt;F115,"Asset part mismatch",IF(COUNTIFS($G$8:$G$207,G115,$C$8:$C$207,"Outbound")&lt;&gt;1,"Asset dispatched more than once","OK"))))))))))))))))</x:f>
      </x:c>
    </x:row>
    <x:row r="116" ht="22" customHeight="1">
      <x:c r="A116" s="10"/>
      <x:c r="B116" s="10"/>
      <x:c r="C116" s="10"/>
      <x:c r="D116" s="10"/>
      <x:c r="E116" s="10"/>
      <x:c r="F116" s="10"/>
      <x:c r="G116" s="10"/>
      <x:c r="H116" s="12"/>
      <x:c r="I116" s="12"/>
      <x:c r="J116" s="12"/>
      <x:c r="K116" s="11" t="str">
        <x:f>IF(A116="","",MAX(0,H116-I116-J116))</x:f>
      </x:c>
      <x:c r="L116" s="13"/>
      <x:c r="M116" s="13"/>
      <x:c r="N116" s="10"/>
      <x:c r="O116" s="10"/>
      <x:c r="P116" s="9" t="str">
        <x:f>IF(A116="","",IF(COUNTIFS('Shipments'!$A$8:$A$207,A116)&lt;&gt;1,"Duplicate shipment line",IF(OR(B116="",E116="",O116=""),"Set shipment, box and destination",IF(AND(C116&lt;&gt;"Inbound",C116&lt;&gt;"Outbound"),"Choose direction",IF(COUNTIFS('Definitions'!$A$8:$A$207,F116)&lt;&gt;1,"Unknown / duplicate part",IF(VLOOKUP(F116,'Definitions'!$A$8:$J$207,3,FALSE)&lt;&gt;"Part","Ship purchasable parts only",IF(OR(NOT(ISNUMBER(H116)),H116&lt;0,MOD(H116,1)&lt;&gt;0,NOT(ISNUMBER(I116)),I116&lt;0,MOD(I116,1)&lt;&gt;0,NOT(ISNUMBER(J116)),J116&lt;0,MOD(J116,1)&lt;&gt;0),"Invalid shipment quantities",IF(I116+J116&gt;H116,"Receipts exceed dispatch",IF(AND(H116&gt;0,NOT(ISNUMBER(L116))),"Set actual dispatch date",IF(C116="Inbound",IF(COUNTIFS('Orders'!$A$8:$A$207,D116)&lt;&gt;1,"Choose a unique order line",IF(VLOOKUP(D116,'Orders'!$A$8:$L$207,4,FALSE)&lt;&gt;F116,"Order part mismatch","OK")),IF(D116&lt;&gt;"","Clear outbound order line",IF(AND(VLOOKUP(F116,'Definitions'!$A$8:$J$207,7,FALSE)="Yes",OR(G116="",H116&lt;&gt;1)),"Serialized outbound: one asset per row",IF(G116="","OK",IF(COUNTIFS('Assets'!$A$8:$A$207,G116)&lt;&gt;1,"Unknown / duplicate asset",IF(VLOOKUP(G116,'Assets'!$A$8:$K$207,2,FALSE)&lt;&gt;F116,"Asset part mismatch",IF(COUNTIFS($G$8:$G$207,G116,$C$8:$C$207,"Outbound")&lt;&gt;1,"Asset dispatched more than once","OK"))))))))))))))))</x:f>
      </x:c>
    </x:row>
    <x:row r="117" ht="22" customHeight="1">
      <x:c r="A117" s="10"/>
      <x:c r="B117" s="10"/>
      <x:c r="C117" s="10"/>
      <x:c r="D117" s="10"/>
      <x:c r="E117" s="10"/>
      <x:c r="F117" s="10"/>
      <x:c r="G117" s="10"/>
      <x:c r="H117" s="12"/>
      <x:c r="I117" s="12"/>
      <x:c r="J117" s="12"/>
      <x:c r="K117" s="11" t="str">
        <x:f>IF(A117="","",MAX(0,H117-I117-J117))</x:f>
      </x:c>
      <x:c r="L117" s="13"/>
      <x:c r="M117" s="13"/>
      <x:c r="N117" s="10"/>
      <x:c r="O117" s="10"/>
      <x:c r="P117" s="9" t="str">
        <x:f>IF(A117="","",IF(COUNTIFS('Shipments'!$A$8:$A$207,A117)&lt;&gt;1,"Duplicate shipment line",IF(OR(B117="",E117="",O117=""),"Set shipment, box and destination",IF(AND(C117&lt;&gt;"Inbound",C117&lt;&gt;"Outbound"),"Choose direction",IF(COUNTIFS('Definitions'!$A$8:$A$207,F117)&lt;&gt;1,"Unknown / duplicate part",IF(VLOOKUP(F117,'Definitions'!$A$8:$J$207,3,FALSE)&lt;&gt;"Part","Ship purchasable parts only",IF(OR(NOT(ISNUMBER(H117)),H117&lt;0,MOD(H117,1)&lt;&gt;0,NOT(ISNUMBER(I117)),I117&lt;0,MOD(I117,1)&lt;&gt;0,NOT(ISNUMBER(J117)),J117&lt;0,MOD(J117,1)&lt;&gt;0),"Invalid shipment quantities",IF(I117+J117&gt;H117,"Receipts exceed dispatch",IF(AND(H117&gt;0,NOT(ISNUMBER(L117))),"Set actual dispatch date",IF(C117="Inbound",IF(COUNTIFS('Orders'!$A$8:$A$207,D117)&lt;&gt;1,"Choose a unique order line",IF(VLOOKUP(D117,'Orders'!$A$8:$L$207,4,FALSE)&lt;&gt;F117,"Order part mismatch","OK")),IF(D117&lt;&gt;"","Clear outbound order line",IF(AND(VLOOKUP(F117,'Definitions'!$A$8:$J$207,7,FALSE)="Yes",OR(G117="",H117&lt;&gt;1)),"Serialized outbound: one asset per row",IF(G117="","OK",IF(COUNTIFS('Assets'!$A$8:$A$207,G117)&lt;&gt;1,"Unknown / duplicate asset",IF(VLOOKUP(G117,'Assets'!$A$8:$K$207,2,FALSE)&lt;&gt;F117,"Asset part mismatch",IF(COUNTIFS($G$8:$G$207,G117,$C$8:$C$207,"Outbound")&lt;&gt;1,"Asset dispatched more than once","OK"))))))))))))))))</x:f>
      </x:c>
    </x:row>
    <x:row r="118" ht="22" customHeight="1">
      <x:c r="A118" s="10"/>
      <x:c r="B118" s="10"/>
      <x:c r="C118" s="10"/>
      <x:c r="D118" s="10"/>
      <x:c r="E118" s="10"/>
      <x:c r="F118" s="10"/>
      <x:c r="G118" s="10"/>
      <x:c r="H118" s="12"/>
      <x:c r="I118" s="12"/>
      <x:c r="J118" s="12"/>
      <x:c r="K118" s="11" t="str">
        <x:f>IF(A118="","",MAX(0,H118-I118-J118))</x:f>
      </x:c>
      <x:c r="L118" s="13"/>
      <x:c r="M118" s="13"/>
      <x:c r="N118" s="10"/>
      <x:c r="O118" s="10"/>
      <x:c r="P118" s="9" t="str">
        <x:f>IF(A118="","",IF(COUNTIFS('Shipments'!$A$8:$A$207,A118)&lt;&gt;1,"Duplicate shipment line",IF(OR(B118="",E118="",O118=""),"Set shipment, box and destination",IF(AND(C118&lt;&gt;"Inbound",C118&lt;&gt;"Outbound"),"Choose direction",IF(COUNTIFS('Definitions'!$A$8:$A$207,F118)&lt;&gt;1,"Unknown / duplicate part",IF(VLOOKUP(F118,'Definitions'!$A$8:$J$207,3,FALSE)&lt;&gt;"Part","Ship purchasable parts only",IF(OR(NOT(ISNUMBER(H118)),H118&lt;0,MOD(H118,1)&lt;&gt;0,NOT(ISNUMBER(I118)),I118&lt;0,MOD(I118,1)&lt;&gt;0,NOT(ISNUMBER(J118)),J118&lt;0,MOD(J118,1)&lt;&gt;0),"Invalid shipment quantities",IF(I118+J118&gt;H118,"Receipts exceed dispatch",IF(AND(H118&gt;0,NOT(ISNUMBER(L118))),"Set actual dispatch date",IF(C118="Inbound",IF(COUNTIFS('Orders'!$A$8:$A$207,D118)&lt;&gt;1,"Choose a unique order line",IF(VLOOKUP(D118,'Orders'!$A$8:$L$207,4,FALSE)&lt;&gt;F118,"Order part mismatch","OK")),IF(D118&lt;&gt;"","Clear outbound order line",IF(AND(VLOOKUP(F118,'Definitions'!$A$8:$J$207,7,FALSE)="Yes",OR(G118="",H118&lt;&gt;1)),"Serialized outbound: one asset per row",IF(G118="","OK",IF(COUNTIFS('Assets'!$A$8:$A$207,G118)&lt;&gt;1,"Unknown / duplicate asset",IF(VLOOKUP(G118,'Assets'!$A$8:$K$207,2,FALSE)&lt;&gt;F118,"Asset part mismatch",IF(COUNTIFS($G$8:$G$207,G118,$C$8:$C$207,"Outbound")&lt;&gt;1,"Asset dispatched more than once","OK"))))))))))))))))</x:f>
      </x:c>
    </x:row>
    <x:row r="119" ht="22" customHeight="1">
      <x:c r="A119" s="10"/>
      <x:c r="B119" s="10"/>
      <x:c r="C119" s="10"/>
      <x:c r="D119" s="10"/>
      <x:c r="E119" s="10"/>
      <x:c r="F119" s="10"/>
      <x:c r="G119" s="10"/>
      <x:c r="H119" s="12"/>
      <x:c r="I119" s="12"/>
      <x:c r="J119" s="12"/>
      <x:c r="K119" s="11" t="str">
        <x:f>IF(A119="","",MAX(0,H119-I119-J119))</x:f>
      </x:c>
      <x:c r="L119" s="13"/>
      <x:c r="M119" s="13"/>
      <x:c r="N119" s="10"/>
      <x:c r="O119" s="10"/>
      <x:c r="P119" s="9" t="str">
        <x:f>IF(A119="","",IF(COUNTIFS('Shipments'!$A$8:$A$207,A119)&lt;&gt;1,"Duplicate shipment line",IF(OR(B119="",E119="",O119=""),"Set shipment, box and destination",IF(AND(C119&lt;&gt;"Inbound",C119&lt;&gt;"Outbound"),"Choose direction",IF(COUNTIFS('Definitions'!$A$8:$A$207,F119)&lt;&gt;1,"Unknown / duplicate part",IF(VLOOKUP(F119,'Definitions'!$A$8:$J$207,3,FALSE)&lt;&gt;"Part","Ship purchasable parts only",IF(OR(NOT(ISNUMBER(H119)),H119&lt;0,MOD(H119,1)&lt;&gt;0,NOT(ISNUMBER(I119)),I119&lt;0,MOD(I119,1)&lt;&gt;0,NOT(ISNUMBER(J119)),J119&lt;0,MOD(J119,1)&lt;&gt;0),"Invalid shipment quantities",IF(I119+J119&gt;H119,"Receipts exceed dispatch",IF(AND(H119&gt;0,NOT(ISNUMBER(L119))),"Set actual dispatch date",IF(C119="Inbound",IF(COUNTIFS('Orders'!$A$8:$A$207,D119)&lt;&gt;1,"Choose a unique order line",IF(VLOOKUP(D119,'Orders'!$A$8:$L$207,4,FALSE)&lt;&gt;F119,"Order part mismatch","OK")),IF(D119&lt;&gt;"","Clear outbound order line",IF(AND(VLOOKUP(F119,'Definitions'!$A$8:$J$207,7,FALSE)="Yes",OR(G119="",H119&lt;&gt;1)),"Serialized outbound: one asset per row",IF(G119="","OK",IF(COUNTIFS('Assets'!$A$8:$A$207,G119)&lt;&gt;1,"Unknown / duplicate asset",IF(VLOOKUP(G119,'Assets'!$A$8:$K$207,2,FALSE)&lt;&gt;F119,"Asset part mismatch",IF(COUNTIFS($G$8:$G$207,G119,$C$8:$C$207,"Outbound")&lt;&gt;1,"Asset dispatched more than once","OK"))))))))))))))))</x:f>
      </x:c>
    </x:row>
    <x:row r="120" ht="22" customHeight="1">
      <x:c r="A120" s="10"/>
      <x:c r="B120" s="10"/>
      <x:c r="C120" s="10"/>
      <x:c r="D120" s="10"/>
      <x:c r="E120" s="10"/>
      <x:c r="F120" s="10"/>
      <x:c r="G120" s="10"/>
      <x:c r="H120" s="12"/>
      <x:c r="I120" s="12"/>
      <x:c r="J120" s="12"/>
      <x:c r="K120" s="11" t="str">
        <x:f>IF(A120="","",MAX(0,H120-I120-J120))</x:f>
      </x:c>
      <x:c r="L120" s="13"/>
      <x:c r="M120" s="13"/>
      <x:c r="N120" s="10"/>
      <x:c r="O120" s="10"/>
      <x:c r="P120" s="9" t="str">
        <x:f>IF(A120="","",IF(COUNTIFS('Shipments'!$A$8:$A$207,A120)&lt;&gt;1,"Duplicate shipment line",IF(OR(B120="",E120="",O120=""),"Set shipment, box and destination",IF(AND(C120&lt;&gt;"Inbound",C120&lt;&gt;"Outbound"),"Choose direction",IF(COUNTIFS('Definitions'!$A$8:$A$207,F120)&lt;&gt;1,"Unknown / duplicate part",IF(VLOOKUP(F120,'Definitions'!$A$8:$J$207,3,FALSE)&lt;&gt;"Part","Ship purchasable parts only",IF(OR(NOT(ISNUMBER(H120)),H120&lt;0,MOD(H120,1)&lt;&gt;0,NOT(ISNUMBER(I120)),I120&lt;0,MOD(I120,1)&lt;&gt;0,NOT(ISNUMBER(J120)),J120&lt;0,MOD(J120,1)&lt;&gt;0),"Invalid shipment quantities",IF(I120+J120&gt;H120,"Receipts exceed dispatch",IF(AND(H120&gt;0,NOT(ISNUMBER(L120))),"Set actual dispatch date",IF(C120="Inbound",IF(COUNTIFS('Orders'!$A$8:$A$207,D120)&lt;&gt;1,"Choose a unique order line",IF(VLOOKUP(D120,'Orders'!$A$8:$L$207,4,FALSE)&lt;&gt;F120,"Order part mismatch","OK")),IF(D120&lt;&gt;"","Clear outbound order line",IF(AND(VLOOKUP(F120,'Definitions'!$A$8:$J$207,7,FALSE)="Yes",OR(G120="",H120&lt;&gt;1)),"Serialized outbound: one asset per row",IF(G120="","OK",IF(COUNTIFS('Assets'!$A$8:$A$207,G120)&lt;&gt;1,"Unknown / duplicate asset",IF(VLOOKUP(G120,'Assets'!$A$8:$K$207,2,FALSE)&lt;&gt;F120,"Asset part mismatch",IF(COUNTIFS($G$8:$G$207,G120,$C$8:$C$207,"Outbound")&lt;&gt;1,"Asset dispatched more than once","OK"))))))))))))))))</x:f>
      </x:c>
    </x:row>
    <x:row r="121" ht="22" customHeight="1">
      <x:c r="A121" s="10"/>
      <x:c r="B121" s="10"/>
      <x:c r="C121" s="10"/>
      <x:c r="D121" s="10"/>
      <x:c r="E121" s="10"/>
      <x:c r="F121" s="10"/>
      <x:c r="G121" s="10"/>
      <x:c r="H121" s="12"/>
      <x:c r="I121" s="12"/>
      <x:c r="J121" s="12"/>
      <x:c r="K121" s="11" t="str">
        <x:f>IF(A121="","",MAX(0,H121-I121-J121))</x:f>
      </x:c>
      <x:c r="L121" s="13"/>
      <x:c r="M121" s="13"/>
      <x:c r="N121" s="10"/>
      <x:c r="O121" s="10"/>
      <x:c r="P121" s="9" t="str">
        <x:f>IF(A121="","",IF(COUNTIFS('Shipments'!$A$8:$A$207,A121)&lt;&gt;1,"Duplicate shipment line",IF(OR(B121="",E121="",O121=""),"Set shipment, box and destination",IF(AND(C121&lt;&gt;"Inbound",C121&lt;&gt;"Outbound"),"Choose direction",IF(COUNTIFS('Definitions'!$A$8:$A$207,F121)&lt;&gt;1,"Unknown / duplicate part",IF(VLOOKUP(F121,'Definitions'!$A$8:$J$207,3,FALSE)&lt;&gt;"Part","Ship purchasable parts only",IF(OR(NOT(ISNUMBER(H121)),H121&lt;0,MOD(H121,1)&lt;&gt;0,NOT(ISNUMBER(I121)),I121&lt;0,MOD(I121,1)&lt;&gt;0,NOT(ISNUMBER(J121)),J121&lt;0,MOD(J121,1)&lt;&gt;0),"Invalid shipment quantities",IF(I121+J121&gt;H121,"Receipts exceed dispatch",IF(AND(H121&gt;0,NOT(ISNUMBER(L121))),"Set actual dispatch date",IF(C121="Inbound",IF(COUNTIFS('Orders'!$A$8:$A$207,D121)&lt;&gt;1,"Choose a unique order line",IF(VLOOKUP(D121,'Orders'!$A$8:$L$207,4,FALSE)&lt;&gt;F121,"Order part mismatch","OK")),IF(D121&lt;&gt;"","Clear outbound order line",IF(AND(VLOOKUP(F121,'Definitions'!$A$8:$J$207,7,FALSE)="Yes",OR(G121="",H121&lt;&gt;1)),"Serialized outbound: one asset per row",IF(G121="","OK",IF(COUNTIFS('Assets'!$A$8:$A$207,G121)&lt;&gt;1,"Unknown / duplicate asset",IF(VLOOKUP(G121,'Assets'!$A$8:$K$207,2,FALSE)&lt;&gt;F121,"Asset part mismatch",IF(COUNTIFS($G$8:$G$207,G121,$C$8:$C$207,"Outbound")&lt;&gt;1,"Asset dispatched more than once","OK"))))))))))))))))</x:f>
      </x:c>
    </x:row>
    <x:row r="122" ht="22" customHeight="1">
      <x:c r="A122" s="10"/>
      <x:c r="B122" s="10"/>
      <x:c r="C122" s="10"/>
      <x:c r="D122" s="10"/>
      <x:c r="E122" s="10"/>
      <x:c r="F122" s="10"/>
      <x:c r="G122" s="10"/>
      <x:c r="H122" s="12"/>
      <x:c r="I122" s="12"/>
      <x:c r="J122" s="12"/>
      <x:c r="K122" s="11" t="str">
        <x:f>IF(A122="","",MAX(0,H122-I122-J122))</x:f>
      </x:c>
      <x:c r="L122" s="13"/>
      <x:c r="M122" s="13"/>
      <x:c r="N122" s="10"/>
      <x:c r="O122" s="10"/>
      <x:c r="P122" s="9" t="str">
        <x:f>IF(A122="","",IF(COUNTIFS('Shipments'!$A$8:$A$207,A122)&lt;&gt;1,"Duplicate shipment line",IF(OR(B122="",E122="",O122=""),"Set shipment, box and destination",IF(AND(C122&lt;&gt;"Inbound",C122&lt;&gt;"Outbound"),"Choose direction",IF(COUNTIFS('Definitions'!$A$8:$A$207,F122)&lt;&gt;1,"Unknown / duplicate part",IF(VLOOKUP(F122,'Definitions'!$A$8:$J$207,3,FALSE)&lt;&gt;"Part","Ship purchasable parts only",IF(OR(NOT(ISNUMBER(H122)),H122&lt;0,MOD(H122,1)&lt;&gt;0,NOT(ISNUMBER(I122)),I122&lt;0,MOD(I122,1)&lt;&gt;0,NOT(ISNUMBER(J122)),J122&lt;0,MOD(J122,1)&lt;&gt;0),"Invalid shipment quantities",IF(I122+J122&gt;H122,"Receipts exceed dispatch",IF(AND(H122&gt;0,NOT(ISNUMBER(L122))),"Set actual dispatch date",IF(C122="Inbound",IF(COUNTIFS('Orders'!$A$8:$A$207,D122)&lt;&gt;1,"Choose a unique order line",IF(VLOOKUP(D122,'Orders'!$A$8:$L$207,4,FALSE)&lt;&gt;F122,"Order part mismatch","OK")),IF(D122&lt;&gt;"","Clear outbound order line",IF(AND(VLOOKUP(F122,'Definitions'!$A$8:$J$207,7,FALSE)="Yes",OR(G122="",H122&lt;&gt;1)),"Serialized outbound: one asset per row",IF(G122="","OK",IF(COUNTIFS('Assets'!$A$8:$A$207,G122)&lt;&gt;1,"Unknown / duplicate asset",IF(VLOOKUP(G122,'Assets'!$A$8:$K$207,2,FALSE)&lt;&gt;F122,"Asset part mismatch",IF(COUNTIFS($G$8:$G$207,G122,$C$8:$C$207,"Outbound")&lt;&gt;1,"Asset dispatched more than once","OK"))))))))))))))))</x:f>
      </x:c>
    </x:row>
    <x:row r="123" ht="22" customHeight="1">
      <x:c r="A123" s="10"/>
      <x:c r="B123" s="10"/>
      <x:c r="C123" s="10"/>
      <x:c r="D123" s="10"/>
      <x:c r="E123" s="10"/>
      <x:c r="F123" s="10"/>
      <x:c r="G123" s="10"/>
      <x:c r="H123" s="12"/>
      <x:c r="I123" s="12"/>
      <x:c r="J123" s="12"/>
      <x:c r="K123" s="11" t="str">
        <x:f>IF(A123="","",MAX(0,H123-I123-J123))</x:f>
      </x:c>
      <x:c r="L123" s="13"/>
      <x:c r="M123" s="13"/>
      <x:c r="N123" s="10"/>
      <x:c r="O123" s="10"/>
      <x:c r="P123" s="9" t="str">
        <x:f>IF(A123="","",IF(COUNTIFS('Shipments'!$A$8:$A$207,A123)&lt;&gt;1,"Duplicate shipment line",IF(OR(B123="",E123="",O123=""),"Set shipment, box and destination",IF(AND(C123&lt;&gt;"Inbound",C123&lt;&gt;"Outbound"),"Choose direction",IF(COUNTIFS('Definitions'!$A$8:$A$207,F123)&lt;&gt;1,"Unknown / duplicate part",IF(VLOOKUP(F123,'Definitions'!$A$8:$J$207,3,FALSE)&lt;&gt;"Part","Ship purchasable parts only",IF(OR(NOT(ISNUMBER(H123)),H123&lt;0,MOD(H123,1)&lt;&gt;0,NOT(ISNUMBER(I123)),I123&lt;0,MOD(I123,1)&lt;&gt;0,NOT(ISNUMBER(J123)),J123&lt;0,MOD(J123,1)&lt;&gt;0),"Invalid shipment quantities",IF(I123+J123&gt;H123,"Receipts exceed dispatch",IF(AND(H123&gt;0,NOT(ISNUMBER(L123))),"Set actual dispatch date",IF(C123="Inbound",IF(COUNTIFS('Orders'!$A$8:$A$207,D123)&lt;&gt;1,"Choose a unique order line",IF(VLOOKUP(D123,'Orders'!$A$8:$L$207,4,FALSE)&lt;&gt;F123,"Order part mismatch","OK")),IF(D123&lt;&gt;"","Clear outbound order line",IF(AND(VLOOKUP(F123,'Definitions'!$A$8:$J$207,7,FALSE)="Yes",OR(G123="",H123&lt;&gt;1)),"Serialized outbound: one asset per row",IF(G123="","OK",IF(COUNTIFS('Assets'!$A$8:$A$207,G123)&lt;&gt;1,"Unknown / duplicate asset",IF(VLOOKUP(G123,'Assets'!$A$8:$K$207,2,FALSE)&lt;&gt;F123,"Asset part mismatch",IF(COUNTIFS($G$8:$G$207,G123,$C$8:$C$207,"Outbound")&lt;&gt;1,"Asset dispatched more than once","OK"))))))))))))))))</x:f>
      </x:c>
    </x:row>
    <x:row r="124" ht="22" customHeight="1">
      <x:c r="A124" s="10"/>
      <x:c r="B124" s="10"/>
      <x:c r="C124" s="10"/>
      <x:c r="D124" s="10"/>
      <x:c r="E124" s="10"/>
      <x:c r="F124" s="10"/>
      <x:c r="G124" s="10"/>
      <x:c r="H124" s="12"/>
      <x:c r="I124" s="12"/>
      <x:c r="J124" s="12"/>
      <x:c r="K124" s="11" t="str">
        <x:f>IF(A124="","",MAX(0,H124-I124-J124))</x:f>
      </x:c>
      <x:c r="L124" s="13"/>
      <x:c r="M124" s="13"/>
      <x:c r="N124" s="10"/>
      <x:c r="O124" s="10"/>
      <x:c r="P124" s="9" t="str">
        <x:f>IF(A124="","",IF(COUNTIFS('Shipments'!$A$8:$A$207,A124)&lt;&gt;1,"Duplicate shipment line",IF(OR(B124="",E124="",O124=""),"Set shipment, box and destination",IF(AND(C124&lt;&gt;"Inbound",C124&lt;&gt;"Outbound"),"Choose direction",IF(COUNTIFS('Definitions'!$A$8:$A$207,F124)&lt;&gt;1,"Unknown / duplicate part",IF(VLOOKUP(F124,'Definitions'!$A$8:$J$207,3,FALSE)&lt;&gt;"Part","Ship purchasable parts only",IF(OR(NOT(ISNUMBER(H124)),H124&lt;0,MOD(H124,1)&lt;&gt;0,NOT(ISNUMBER(I124)),I124&lt;0,MOD(I124,1)&lt;&gt;0,NOT(ISNUMBER(J124)),J124&lt;0,MOD(J124,1)&lt;&gt;0),"Invalid shipment quantities",IF(I124+J124&gt;H124,"Receipts exceed dispatch",IF(AND(H124&gt;0,NOT(ISNUMBER(L124))),"Set actual dispatch date",IF(C124="Inbound",IF(COUNTIFS('Orders'!$A$8:$A$207,D124)&lt;&gt;1,"Choose a unique order line",IF(VLOOKUP(D124,'Orders'!$A$8:$L$207,4,FALSE)&lt;&gt;F124,"Order part mismatch","OK")),IF(D124&lt;&gt;"","Clear outbound order line",IF(AND(VLOOKUP(F124,'Definitions'!$A$8:$J$207,7,FALSE)="Yes",OR(G124="",H124&lt;&gt;1)),"Serialized outbound: one asset per row",IF(G124="","OK",IF(COUNTIFS('Assets'!$A$8:$A$207,G124)&lt;&gt;1,"Unknown / duplicate asset",IF(VLOOKUP(G124,'Assets'!$A$8:$K$207,2,FALSE)&lt;&gt;F124,"Asset part mismatch",IF(COUNTIFS($G$8:$G$207,G124,$C$8:$C$207,"Outbound")&lt;&gt;1,"Asset dispatched more than once","OK"))))))))))))))))</x:f>
      </x:c>
    </x:row>
    <x:row r="125" ht="22" customHeight="1">
      <x:c r="A125" s="10"/>
      <x:c r="B125" s="10"/>
      <x:c r="C125" s="10"/>
      <x:c r="D125" s="10"/>
      <x:c r="E125" s="10"/>
      <x:c r="F125" s="10"/>
      <x:c r="G125" s="10"/>
      <x:c r="H125" s="12"/>
      <x:c r="I125" s="12"/>
      <x:c r="J125" s="12"/>
      <x:c r="K125" s="11" t="str">
        <x:f>IF(A125="","",MAX(0,H125-I125-J125))</x:f>
      </x:c>
      <x:c r="L125" s="13"/>
      <x:c r="M125" s="13"/>
      <x:c r="N125" s="10"/>
      <x:c r="O125" s="10"/>
      <x:c r="P125" s="9" t="str">
        <x:f>IF(A125="","",IF(COUNTIFS('Shipments'!$A$8:$A$207,A125)&lt;&gt;1,"Duplicate shipment line",IF(OR(B125="",E125="",O125=""),"Set shipment, box and destination",IF(AND(C125&lt;&gt;"Inbound",C125&lt;&gt;"Outbound"),"Choose direction",IF(COUNTIFS('Definitions'!$A$8:$A$207,F125)&lt;&gt;1,"Unknown / duplicate part",IF(VLOOKUP(F125,'Definitions'!$A$8:$J$207,3,FALSE)&lt;&gt;"Part","Ship purchasable parts only",IF(OR(NOT(ISNUMBER(H125)),H125&lt;0,MOD(H125,1)&lt;&gt;0,NOT(ISNUMBER(I125)),I125&lt;0,MOD(I125,1)&lt;&gt;0,NOT(ISNUMBER(J125)),J125&lt;0,MOD(J125,1)&lt;&gt;0),"Invalid shipment quantities",IF(I125+J125&gt;H125,"Receipts exceed dispatch",IF(AND(H125&gt;0,NOT(ISNUMBER(L125))),"Set actual dispatch date",IF(C125="Inbound",IF(COUNTIFS('Orders'!$A$8:$A$207,D125)&lt;&gt;1,"Choose a unique order line",IF(VLOOKUP(D125,'Orders'!$A$8:$L$207,4,FALSE)&lt;&gt;F125,"Order part mismatch","OK")),IF(D125&lt;&gt;"","Clear outbound order line",IF(AND(VLOOKUP(F125,'Definitions'!$A$8:$J$207,7,FALSE)="Yes",OR(G125="",H125&lt;&gt;1)),"Serialized outbound: one asset per row",IF(G125="","OK",IF(COUNTIFS('Assets'!$A$8:$A$207,G125)&lt;&gt;1,"Unknown / duplicate asset",IF(VLOOKUP(G125,'Assets'!$A$8:$K$207,2,FALSE)&lt;&gt;F125,"Asset part mismatch",IF(COUNTIFS($G$8:$G$207,G125,$C$8:$C$207,"Outbound")&lt;&gt;1,"Asset dispatched more than once","OK"))))))))))))))))</x:f>
      </x:c>
    </x:row>
    <x:row r="126" ht="22" customHeight="1">
      <x:c r="A126" s="10"/>
      <x:c r="B126" s="10"/>
      <x:c r="C126" s="10"/>
      <x:c r="D126" s="10"/>
      <x:c r="E126" s="10"/>
      <x:c r="F126" s="10"/>
      <x:c r="G126" s="10"/>
      <x:c r="H126" s="12"/>
      <x:c r="I126" s="12"/>
      <x:c r="J126" s="12"/>
      <x:c r="K126" s="11" t="str">
        <x:f>IF(A126="","",MAX(0,H126-I126-J126))</x:f>
      </x:c>
      <x:c r="L126" s="13"/>
      <x:c r="M126" s="13"/>
      <x:c r="N126" s="10"/>
      <x:c r="O126" s="10"/>
      <x:c r="P126" s="9" t="str">
        <x:f>IF(A126="","",IF(COUNTIFS('Shipments'!$A$8:$A$207,A126)&lt;&gt;1,"Duplicate shipment line",IF(OR(B126="",E126="",O126=""),"Set shipment, box and destination",IF(AND(C126&lt;&gt;"Inbound",C126&lt;&gt;"Outbound"),"Choose direction",IF(COUNTIFS('Definitions'!$A$8:$A$207,F126)&lt;&gt;1,"Unknown / duplicate part",IF(VLOOKUP(F126,'Definitions'!$A$8:$J$207,3,FALSE)&lt;&gt;"Part","Ship purchasable parts only",IF(OR(NOT(ISNUMBER(H126)),H126&lt;0,MOD(H126,1)&lt;&gt;0,NOT(ISNUMBER(I126)),I126&lt;0,MOD(I126,1)&lt;&gt;0,NOT(ISNUMBER(J126)),J126&lt;0,MOD(J126,1)&lt;&gt;0),"Invalid shipment quantities",IF(I126+J126&gt;H126,"Receipts exceed dispatch",IF(AND(H126&gt;0,NOT(ISNUMBER(L126))),"Set actual dispatch date",IF(C126="Inbound",IF(COUNTIFS('Orders'!$A$8:$A$207,D126)&lt;&gt;1,"Choose a unique order line",IF(VLOOKUP(D126,'Orders'!$A$8:$L$207,4,FALSE)&lt;&gt;F126,"Order part mismatch","OK")),IF(D126&lt;&gt;"","Clear outbound order line",IF(AND(VLOOKUP(F126,'Definitions'!$A$8:$J$207,7,FALSE)="Yes",OR(G126="",H126&lt;&gt;1)),"Serialized outbound: one asset per row",IF(G126="","OK",IF(COUNTIFS('Assets'!$A$8:$A$207,G126)&lt;&gt;1,"Unknown / duplicate asset",IF(VLOOKUP(G126,'Assets'!$A$8:$K$207,2,FALSE)&lt;&gt;F126,"Asset part mismatch",IF(COUNTIFS($G$8:$G$207,G126,$C$8:$C$207,"Outbound")&lt;&gt;1,"Asset dispatched more than once","OK"))))))))))))))))</x:f>
      </x:c>
    </x:row>
    <x:row r="127" ht="22" customHeight="1">
      <x:c r="A127" s="10"/>
      <x:c r="B127" s="10"/>
      <x:c r="C127" s="10"/>
      <x:c r="D127" s="10"/>
      <x:c r="E127" s="10"/>
      <x:c r="F127" s="10"/>
      <x:c r="G127" s="10"/>
      <x:c r="H127" s="12"/>
      <x:c r="I127" s="12"/>
      <x:c r="J127" s="12"/>
      <x:c r="K127" s="11" t="str">
        <x:f>IF(A127="","",MAX(0,H127-I127-J127))</x:f>
      </x:c>
      <x:c r="L127" s="13"/>
      <x:c r="M127" s="13"/>
      <x:c r="N127" s="10"/>
      <x:c r="O127" s="10"/>
      <x:c r="P127" s="9" t="str">
        <x:f>IF(A127="","",IF(COUNTIFS('Shipments'!$A$8:$A$207,A127)&lt;&gt;1,"Duplicate shipment line",IF(OR(B127="",E127="",O127=""),"Set shipment, box and destination",IF(AND(C127&lt;&gt;"Inbound",C127&lt;&gt;"Outbound"),"Choose direction",IF(COUNTIFS('Definitions'!$A$8:$A$207,F127)&lt;&gt;1,"Unknown / duplicate part",IF(VLOOKUP(F127,'Definitions'!$A$8:$J$207,3,FALSE)&lt;&gt;"Part","Ship purchasable parts only",IF(OR(NOT(ISNUMBER(H127)),H127&lt;0,MOD(H127,1)&lt;&gt;0,NOT(ISNUMBER(I127)),I127&lt;0,MOD(I127,1)&lt;&gt;0,NOT(ISNUMBER(J127)),J127&lt;0,MOD(J127,1)&lt;&gt;0),"Invalid shipment quantities",IF(I127+J127&gt;H127,"Receipts exceed dispatch",IF(AND(H127&gt;0,NOT(ISNUMBER(L127))),"Set actual dispatch date",IF(C127="Inbound",IF(COUNTIFS('Orders'!$A$8:$A$207,D127)&lt;&gt;1,"Choose a unique order line",IF(VLOOKUP(D127,'Orders'!$A$8:$L$207,4,FALSE)&lt;&gt;F127,"Order part mismatch","OK")),IF(D127&lt;&gt;"","Clear outbound order line",IF(AND(VLOOKUP(F127,'Definitions'!$A$8:$J$207,7,FALSE)="Yes",OR(G127="",H127&lt;&gt;1)),"Serialized outbound: one asset per row",IF(G127="","OK",IF(COUNTIFS('Assets'!$A$8:$A$207,G127)&lt;&gt;1,"Unknown / duplicate asset",IF(VLOOKUP(G127,'Assets'!$A$8:$K$207,2,FALSE)&lt;&gt;F127,"Asset part mismatch",IF(COUNTIFS($G$8:$G$207,G127,$C$8:$C$207,"Outbound")&lt;&gt;1,"Asset dispatched more than once","OK"))))))))))))))))</x:f>
      </x:c>
    </x:row>
    <x:row r="128" ht="22" customHeight="1">
      <x:c r="A128" s="10"/>
      <x:c r="B128" s="10"/>
      <x:c r="C128" s="10"/>
      <x:c r="D128" s="10"/>
      <x:c r="E128" s="10"/>
      <x:c r="F128" s="10"/>
      <x:c r="G128" s="10"/>
      <x:c r="H128" s="12"/>
      <x:c r="I128" s="12"/>
      <x:c r="J128" s="12"/>
      <x:c r="K128" s="11" t="str">
        <x:f>IF(A128="","",MAX(0,H128-I128-J128))</x:f>
      </x:c>
      <x:c r="L128" s="13"/>
      <x:c r="M128" s="13"/>
      <x:c r="N128" s="10"/>
      <x:c r="O128" s="10"/>
      <x:c r="P128" s="9" t="str">
        <x:f>IF(A128="","",IF(COUNTIFS('Shipments'!$A$8:$A$207,A128)&lt;&gt;1,"Duplicate shipment line",IF(OR(B128="",E128="",O128=""),"Set shipment, box and destination",IF(AND(C128&lt;&gt;"Inbound",C128&lt;&gt;"Outbound"),"Choose direction",IF(COUNTIFS('Definitions'!$A$8:$A$207,F128)&lt;&gt;1,"Unknown / duplicate part",IF(VLOOKUP(F128,'Definitions'!$A$8:$J$207,3,FALSE)&lt;&gt;"Part","Ship purchasable parts only",IF(OR(NOT(ISNUMBER(H128)),H128&lt;0,MOD(H128,1)&lt;&gt;0,NOT(ISNUMBER(I128)),I128&lt;0,MOD(I128,1)&lt;&gt;0,NOT(ISNUMBER(J128)),J128&lt;0,MOD(J128,1)&lt;&gt;0),"Invalid shipment quantities",IF(I128+J128&gt;H128,"Receipts exceed dispatch",IF(AND(H128&gt;0,NOT(ISNUMBER(L128))),"Set actual dispatch date",IF(C128="Inbound",IF(COUNTIFS('Orders'!$A$8:$A$207,D128)&lt;&gt;1,"Choose a unique order line",IF(VLOOKUP(D128,'Orders'!$A$8:$L$207,4,FALSE)&lt;&gt;F128,"Order part mismatch","OK")),IF(D128&lt;&gt;"","Clear outbound order line",IF(AND(VLOOKUP(F128,'Definitions'!$A$8:$J$207,7,FALSE)="Yes",OR(G128="",H128&lt;&gt;1)),"Serialized outbound: one asset per row",IF(G128="","OK",IF(COUNTIFS('Assets'!$A$8:$A$207,G128)&lt;&gt;1,"Unknown / duplicate asset",IF(VLOOKUP(G128,'Assets'!$A$8:$K$207,2,FALSE)&lt;&gt;F128,"Asset part mismatch",IF(COUNTIFS($G$8:$G$207,G128,$C$8:$C$207,"Outbound")&lt;&gt;1,"Asset dispatched more than once","OK"))))))))))))))))</x:f>
      </x:c>
    </x:row>
    <x:row r="129" ht="22" customHeight="1">
      <x:c r="A129" s="10"/>
      <x:c r="B129" s="10"/>
      <x:c r="C129" s="10"/>
      <x:c r="D129" s="10"/>
      <x:c r="E129" s="10"/>
      <x:c r="F129" s="10"/>
      <x:c r="G129" s="10"/>
      <x:c r="H129" s="12"/>
      <x:c r="I129" s="12"/>
      <x:c r="J129" s="12"/>
      <x:c r="K129" s="11" t="str">
        <x:f>IF(A129="","",MAX(0,H129-I129-J129))</x:f>
      </x:c>
      <x:c r="L129" s="13"/>
      <x:c r="M129" s="13"/>
      <x:c r="N129" s="10"/>
      <x:c r="O129" s="10"/>
      <x:c r="P129" s="9" t="str">
        <x:f>IF(A129="","",IF(COUNTIFS('Shipments'!$A$8:$A$207,A129)&lt;&gt;1,"Duplicate shipment line",IF(OR(B129="",E129="",O129=""),"Set shipment, box and destination",IF(AND(C129&lt;&gt;"Inbound",C129&lt;&gt;"Outbound"),"Choose direction",IF(COUNTIFS('Definitions'!$A$8:$A$207,F129)&lt;&gt;1,"Unknown / duplicate part",IF(VLOOKUP(F129,'Definitions'!$A$8:$J$207,3,FALSE)&lt;&gt;"Part","Ship purchasable parts only",IF(OR(NOT(ISNUMBER(H129)),H129&lt;0,MOD(H129,1)&lt;&gt;0,NOT(ISNUMBER(I129)),I129&lt;0,MOD(I129,1)&lt;&gt;0,NOT(ISNUMBER(J129)),J129&lt;0,MOD(J129,1)&lt;&gt;0),"Invalid shipment quantities",IF(I129+J129&gt;H129,"Receipts exceed dispatch",IF(AND(H129&gt;0,NOT(ISNUMBER(L129))),"Set actual dispatch date",IF(C129="Inbound",IF(COUNTIFS('Orders'!$A$8:$A$207,D129)&lt;&gt;1,"Choose a unique order line",IF(VLOOKUP(D129,'Orders'!$A$8:$L$207,4,FALSE)&lt;&gt;F129,"Order part mismatch","OK")),IF(D129&lt;&gt;"","Clear outbound order line",IF(AND(VLOOKUP(F129,'Definitions'!$A$8:$J$207,7,FALSE)="Yes",OR(G129="",H129&lt;&gt;1)),"Serialized outbound: one asset per row",IF(G129="","OK",IF(COUNTIFS('Assets'!$A$8:$A$207,G129)&lt;&gt;1,"Unknown / duplicate asset",IF(VLOOKUP(G129,'Assets'!$A$8:$K$207,2,FALSE)&lt;&gt;F129,"Asset part mismatch",IF(COUNTIFS($G$8:$G$207,G129,$C$8:$C$207,"Outbound")&lt;&gt;1,"Asset dispatched more than once","OK"))))))))))))))))</x:f>
      </x:c>
    </x:row>
    <x:row r="130" ht="22" customHeight="1">
      <x:c r="A130" s="10"/>
      <x:c r="B130" s="10"/>
      <x:c r="C130" s="10"/>
      <x:c r="D130" s="10"/>
      <x:c r="E130" s="10"/>
      <x:c r="F130" s="10"/>
      <x:c r="G130" s="10"/>
      <x:c r="H130" s="12"/>
      <x:c r="I130" s="12"/>
      <x:c r="J130" s="12"/>
      <x:c r="K130" s="11" t="str">
        <x:f>IF(A130="","",MAX(0,H130-I130-J130))</x:f>
      </x:c>
      <x:c r="L130" s="13"/>
      <x:c r="M130" s="13"/>
      <x:c r="N130" s="10"/>
      <x:c r="O130" s="10"/>
      <x:c r="P130" s="9" t="str">
        <x:f>IF(A130="","",IF(COUNTIFS('Shipments'!$A$8:$A$207,A130)&lt;&gt;1,"Duplicate shipment line",IF(OR(B130="",E130="",O130=""),"Set shipment, box and destination",IF(AND(C130&lt;&gt;"Inbound",C130&lt;&gt;"Outbound"),"Choose direction",IF(COUNTIFS('Definitions'!$A$8:$A$207,F130)&lt;&gt;1,"Unknown / duplicate part",IF(VLOOKUP(F130,'Definitions'!$A$8:$J$207,3,FALSE)&lt;&gt;"Part","Ship purchasable parts only",IF(OR(NOT(ISNUMBER(H130)),H130&lt;0,MOD(H130,1)&lt;&gt;0,NOT(ISNUMBER(I130)),I130&lt;0,MOD(I130,1)&lt;&gt;0,NOT(ISNUMBER(J130)),J130&lt;0,MOD(J130,1)&lt;&gt;0),"Invalid shipment quantities",IF(I130+J130&gt;H130,"Receipts exceed dispatch",IF(AND(H130&gt;0,NOT(ISNUMBER(L130))),"Set actual dispatch date",IF(C130="Inbound",IF(COUNTIFS('Orders'!$A$8:$A$207,D130)&lt;&gt;1,"Choose a unique order line",IF(VLOOKUP(D130,'Orders'!$A$8:$L$207,4,FALSE)&lt;&gt;F130,"Order part mismatch","OK")),IF(D130&lt;&gt;"","Clear outbound order line",IF(AND(VLOOKUP(F130,'Definitions'!$A$8:$J$207,7,FALSE)="Yes",OR(G130="",H130&lt;&gt;1)),"Serialized outbound: one asset per row",IF(G130="","OK",IF(COUNTIFS('Assets'!$A$8:$A$207,G130)&lt;&gt;1,"Unknown / duplicate asset",IF(VLOOKUP(G130,'Assets'!$A$8:$K$207,2,FALSE)&lt;&gt;F130,"Asset part mismatch",IF(COUNTIFS($G$8:$G$207,G130,$C$8:$C$207,"Outbound")&lt;&gt;1,"Asset dispatched more than once","OK"))))))))))))))))</x:f>
      </x:c>
    </x:row>
    <x:row r="131" ht="22" customHeight="1">
      <x:c r="A131" s="10"/>
      <x:c r="B131" s="10"/>
      <x:c r="C131" s="10"/>
      <x:c r="D131" s="10"/>
      <x:c r="E131" s="10"/>
      <x:c r="F131" s="10"/>
      <x:c r="G131" s="10"/>
      <x:c r="H131" s="12"/>
      <x:c r="I131" s="12"/>
      <x:c r="J131" s="12"/>
      <x:c r="K131" s="11" t="str">
        <x:f>IF(A131="","",MAX(0,H131-I131-J131))</x:f>
      </x:c>
      <x:c r="L131" s="13"/>
      <x:c r="M131" s="13"/>
      <x:c r="N131" s="10"/>
      <x:c r="O131" s="10"/>
      <x:c r="P131" s="9" t="str">
        <x:f>IF(A131="","",IF(COUNTIFS('Shipments'!$A$8:$A$207,A131)&lt;&gt;1,"Duplicate shipment line",IF(OR(B131="",E131="",O131=""),"Set shipment, box and destination",IF(AND(C131&lt;&gt;"Inbound",C131&lt;&gt;"Outbound"),"Choose direction",IF(COUNTIFS('Definitions'!$A$8:$A$207,F131)&lt;&gt;1,"Unknown / duplicate part",IF(VLOOKUP(F131,'Definitions'!$A$8:$J$207,3,FALSE)&lt;&gt;"Part","Ship purchasable parts only",IF(OR(NOT(ISNUMBER(H131)),H131&lt;0,MOD(H131,1)&lt;&gt;0,NOT(ISNUMBER(I131)),I131&lt;0,MOD(I131,1)&lt;&gt;0,NOT(ISNUMBER(J131)),J131&lt;0,MOD(J131,1)&lt;&gt;0),"Invalid shipment quantities",IF(I131+J131&gt;H131,"Receipts exceed dispatch",IF(AND(H131&gt;0,NOT(ISNUMBER(L131))),"Set actual dispatch date",IF(C131="Inbound",IF(COUNTIFS('Orders'!$A$8:$A$207,D131)&lt;&gt;1,"Choose a unique order line",IF(VLOOKUP(D131,'Orders'!$A$8:$L$207,4,FALSE)&lt;&gt;F131,"Order part mismatch","OK")),IF(D131&lt;&gt;"","Clear outbound order line",IF(AND(VLOOKUP(F131,'Definitions'!$A$8:$J$207,7,FALSE)="Yes",OR(G131="",H131&lt;&gt;1)),"Serialized outbound: one asset per row",IF(G131="","OK",IF(COUNTIFS('Assets'!$A$8:$A$207,G131)&lt;&gt;1,"Unknown / duplicate asset",IF(VLOOKUP(G131,'Assets'!$A$8:$K$207,2,FALSE)&lt;&gt;F131,"Asset part mismatch",IF(COUNTIFS($G$8:$G$207,G131,$C$8:$C$207,"Outbound")&lt;&gt;1,"Asset dispatched more than once","OK"))))))))))))))))</x:f>
      </x:c>
    </x:row>
    <x:row r="132" ht="22" customHeight="1">
      <x:c r="A132" s="10"/>
      <x:c r="B132" s="10"/>
      <x:c r="C132" s="10"/>
      <x:c r="D132" s="10"/>
      <x:c r="E132" s="10"/>
      <x:c r="F132" s="10"/>
      <x:c r="G132" s="10"/>
      <x:c r="H132" s="12"/>
      <x:c r="I132" s="12"/>
      <x:c r="J132" s="12"/>
      <x:c r="K132" s="11" t="str">
        <x:f>IF(A132="","",MAX(0,H132-I132-J132))</x:f>
      </x:c>
      <x:c r="L132" s="13"/>
      <x:c r="M132" s="13"/>
      <x:c r="N132" s="10"/>
      <x:c r="O132" s="10"/>
      <x:c r="P132" s="9" t="str">
        <x:f>IF(A132="","",IF(COUNTIFS('Shipments'!$A$8:$A$207,A132)&lt;&gt;1,"Duplicate shipment line",IF(OR(B132="",E132="",O132=""),"Set shipment, box and destination",IF(AND(C132&lt;&gt;"Inbound",C132&lt;&gt;"Outbound"),"Choose direction",IF(COUNTIFS('Definitions'!$A$8:$A$207,F132)&lt;&gt;1,"Unknown / duplicate part",IF(VLOOKUP(F132,'Definitions'!$A$8:$J$207,3,FALSE)&lt;&gt;"Part","Ship purchasable parts only",IF(OR(NOT(ISNUMBER(H132)),H132&lt;0,MOD(H132,1)&lt;&gt;0,NOT(ISNUMBER(I132)),I132&lt;0,MOD(I132,1)&lt;&gt;0,NOT(ISNUMBER(J132)),J132&lt;0,MOD(J132,1)&lt;&gt;0),"Invalid shipment quantities",IF(I132+J132&gt;H132,"Receipts exceed dispatch",IF(AND(H132&gt;0,NOT(ISNUMBER(L132))),"Set actual dispatch date",IF(C132="Inbound",IF(COUNTIFS('Orders'!$A$8:$A$207,D132)&lt;&gt;1,"Choose a unique order line",IF(VLOOKUP(D132,'Orders'!$A$8:$L$207,4,FALSE)&lt;&gt;F132,"Order part mismatch","OK")),IF(D132&lt;&gt;"","Clear outbound order line",IF(AND(VLOOKUP(F132,'Definitions'!$A$8:$J$207,7,FALSE)="Yes",OR(G132="",H132&lt;&gt;1)),"Serialized outbound: one asset per row",IF(G132="","OK",IF(COUNTIFS('Assets'!$A$8:$A$207,G132)&lt;&gt;1,"Unknown / duplicate asset",IF(VLOOKUP(G132,'Assets'!$A$8:$K$207,2,FALSE)&lt;&gt;F132,"Asset part mismatch",IF(COUNTIFS($G$8:$G$207,G132,$C$8:$C$207,"Outbound")&lt;&gt;1,"Asset dispatched more than once","OK"))))))))))))))))</x:f>
      </x:c>
    </x:row>
    <x:row r="133" ht="22" customHeight="1">
      <x:c r="A133" s="10"/>
      <x:c r="B133" s="10"/>
      <x:c r="C133" s="10"/>
      <x:c r="D133" s="10"/>
      <x:c r="E133" s="10"/>
      <x:c r="F133" s="10"/>
      <x:c r="G133" s="10"/>
      <x:c r="H133" s="12"/>
      <x:c r="I133" s="12"/>
      <x:c r="J133" s="12"/>
      <x:c r="K133" s="11" t="str">
        <x:f>IF(A133="","",MAX(0,H133-I133-J133))</x:f>
      </x:c>
      <x:c r="L133" s="13"/>
      <x:c r="M133" s="13"/>
      <x:c r="N133" s="10"/>
      <x:c r="O133" s="10"/>
      <x:c r="P133" s="9" t="str">
        <x:f>IF(A133="","",IF(COUNTIFS('Shipments'!$A$8:$A$207,A133)&lt;&gt;1,"Duplicate shipment line",IF(OR(B133="",E133="",O133=""),"Set shipment, box and destination",IF(AND(C133&lt;&gt;"Inbound",C133&lt;&gt;"Outbound"),"Choose direction",IF(COUNTIFS('Definitions'!$A$8:$A$207,F133)&lt;&gt;1,"Unknown / duplicate part",IF(VLOOKUP(F133,'Definitions'!$A$8:$J$207,3,FALSE)&lt;&gt;"Part","Ship purchasable parts only",IF(OR(NOT(ISNUMBER(H133)),H133&lt;0,MOD(H133,1)&lt;&gt;0,NOT(ISNUMBER(I133)),I133&lt;0,MOD(I133,1)&lt;&gt;0,NOT(ISNUMBER(J133)),J133&lt;0,MOD(J133,1)&lt;&gt;0),"Invalid shipment quantities",IF(I133+J133&gt;H133,"Receipts exceed dispatch",IF(AND(H133&gt;0,NOT(ISNUMBER(L133))),"Set actual dispatch date",IF(C133="Inbound",IF(COUNTIFS('Orders'!$A$8:$A$207,D133)&lt;&gt;1,"Choose a unique order line",IF(VLOOKUP(D133,'Orders'!$A$8:$L$207,4,FALSE)&lt;&gt;F133,"Order part mismatch","OK")),IF(D133&lt;&gt;"","Clear outbound order line",IF(AND(VLOOKUP(F133,'Definitions'!$A$8:$J$207,7,FALSE)="Yes",OR(G133="",H133&lt;&gt;1)),"Serialized outbound: one asset per row",IF(G133="","OK",IF(COUNTIFS('Assets'!$A$8:$A$207,G133)&lt;&gt;1,"Unknown / duplicate asset",IF(VLOOKUP(G133,'Assets'!$A$8:$K$207,2,FALSE)&lt;&gt;F133,"Asset part mismatch",IF(COUNTIFS($G$8:$G$207,G133,$C$8:$C$207,"Outbound")&lt;&gt;1,"Asset dispatched more than once","OK"))))))))))))))))</x:f>
      </x:c>
    </x:row>
    <x:row r="134" ht="22" customHeight="1">
      <x:c r="A134" s="10"/>
      <x:c r="B134" s="10"/>
      <x:c r="C134" s="10"/>
      <x:c r="D134" s="10"/>
      <x:c r="E134" s="10"/>
      <x:c r="F134" s="10"/>
      <x:c r="G134" s="10"/>
      <x:c r="H134" s="12"/>
      <x:c r="I134" s="12"/>
      <x:c r="J134" s="12"/>
      <x:c r="K134" s="11" t="str">
        <x:f>IF(A134="","",MAX(0,H134-I134-J134))</x:f>
      </x:c>
      <x:c r="L134" s="13"/>
      <x:c r="M134" s="13"/>
      <x:c r="N134" s="10"/>
      <x:c r="O134" s="10"/>
      <x:c r="P134" s="9" t="str">
        <x:f>IF(A134="","",IF(COUNTIFS('Shipments'!$A$8:$A$207,A134)&lt;&gt;1,"Duplicate shipment line",IF(OR(B134="",E134="",O134=""),"Set shipment, box and destination",IF(AND(C134&lt;&gt;"Inbound",C134&lt;&gt;"Outbound"),"Choose direction",IF(COUNTIFS('Definitions'!$A$8:$A$207,F134)&lt;&gt;1,"Unknown / duplicate part",IF(VLOOKUP(F134,'Definitions'!$A$8:$J$207,3,FALSE)&lt;&gt;"Part","Ship purchasable parts only",IF(OR(NOT(ISNUMBER(H134)),H134&lt;0,MOD(H134,1)&lt;&gt;0,NOT(ISNUMBER(I134)),I134&lt;0,MOD(I134,1)&lt;&gt;0,NOT(ISNUMBER(J134)),J134&lt;0,MOD(J134,1)&lt;&gt;0),"Invalid shipment quantities",IF(I134+J134&gt;H134,"Receipts exceed dispatch",IF(AND(H134&gt;0,NOT(ISNUMBER(L134))),"Set actual dispatch date",IF(C134="Inbound",IF(COUNTIFS('Orders'!$A$8:$A$207,D134)&lt;&gt;1,"Choose a unique order line",IF(VLOOKUP(D134,'Orders'!$A$8:$L$207,4,FALSE)&lt;&gt;F134,"Order part mismatch","OK")),IF(D134&lt;&gt;"","Clear outbound order line",IF(AND(VLOOKUP(F134,'Definitions'!$A$8:$J$207,7,FALSE)="Yes",OR(G134="",H134&lt;&gt;1)),"Serialized outbound: one asset per row",IF(G134="","OK",IF(COUNTIFS('Assets'!$A$8:$A$207,G134)&lt;&gt;1,"Unknown / duplicate asset",IF(VLOOKUP(G134,'Assets'!$A$8:$K$207,2,FALSE)&lt;&gt;F134,"Asset part mismatch",IF(COUNTIFS($G$8:$G$207,G134,$C$8:$C$207,"Outbound")&lt;&gt;1,"Asset dispatched more than once","OK"))))))))))))))))</x:f>
      </x:c>
    </x:row>
    <x:row r="135" ht="22" customHeight="1">
      <x:c r="A135" s="10"/>
      <x:c r="B135" s="10"/>
      <x:c r="C135" s="10"/>
      <x:c r="D135" s="10"/>
      <x:c r="E135" s="10"/>
      <x:c r="F135" s="10"/>
      <x:c r="G135" s="10"/>
      <x:c r="H135" s="12"/>
      <x:c r="I135" s="12"/>
      <x:c r="J135" s="12"/>
      <x:c r="K135" s="11" t="str">
        <x:f>IF(A135="","",MAX(0,H135-I135-J135))</x:f>
      </x:c>
      <x:c r="L135" s="13"/>
      <x:c r="M135" s="13"/>
      <x:c r="N135" s="10"/>
      <x:c r="O135" s="10"/>
      <x:c r="P135" s="9" t="str">
        <x:f>IF(A135="","",IF(COUNTIFS('Shipments'!$A$8:$A$207,A135)&lt;&gt;1,"Duplicate shipment line",IF(OR(B135="",E135="",O135=""),"Set shipment, box and destination",IF(AND(C135&lt;&gt;"Inbound",C135&lt;&gt;"Outbound"),"Choose direction",IF(COUNTIFS('Definitions'!$A$8:$A$207,F135)&lt;&gt;1,"Unknown / duplicate part",IF(VLOOKUP(F135,'Definitions'!$A$8:$J$207,3,FALSE)&lt;&gt;"Part","Ship purchasable parts only",IF(OR(NOT(ISNUMBER(H135)),H135&lt;0,MOD(H135,1)&lt;&gt;0,NOT(ISNUMBER(I135)),I135&lt;0,MOD(I135,1)&lt;&gt;0,NOT(ISNUMBER(J135)),J135&lt;0,MOD(J135,1)&lt;&gt;0),"Invalid shipment quantities",IF(I135+J135&gt;H135,"Receipts exceed dispatch",IF(AND(H135&gt;0,NOT(ISNUMBER(L135))),"Set actual dispatch date",IF(C135="Inbound",IF(COUNTIFS('Orders'!$A$8:$A$207,D135)&lt;&gt;1,"Choose a unique order line",IF(VLOOKUP(D135,'Orders'!$A$8:$L$207,4,FALSE)&lt;&gt;F135,"Order part mismatch","OK")),IF(D135&lt;&gt;"","Clear outbound order line",IF(AND(VLOOKUP(F135,'Definitions'!$A$8:$J$207,7,FALSE)="Yes",OR(G135="",H135&lt;&gt;1)),"Serialized outbound: one asset per row",IF(G135="","OK",IF(COUNTIFS('Assets'!$A$8:$A$207,G135)&lt;&gt;1,"Unknown / duplicate asset",IF(VLOOKUP(G135,'Assets'!$A$8:$K$207,2,FALSE)&lt;&gt;F135,"Asset part mismatch",IF(COUNTIFS($G$8:$G$207,G135,$C$8:$C$207,"Outbound")&lt;&gt;1,"Asset dispatched more than once","OK"))))))))))))))))</x:f>
      </x:c>
    </x:row>
    <x:row r="136" ht="22" customHeight="1">
      <x:c r="A136" s="10"/>
      <x:c r="B136" s="10"/>
      <x:c r="C136" s="10"/>
      <x:c r="D136" s="10"/>
      <x:c r="E136" s="10"/>
      <x:c r="F136" s="10"/>
      <x:c r="G136" s="10"/>
      <x:c r="H136" s="12"/>
      <x:c r="I136" s="12"/>
      <x:c r="J136" s="12"/>
      <x:c r="K136" s="11" t="str">
        <x:f>IF(A136="","",MAX(0,H136-I136-J136))</x:f>
      </x:c>
      <x:c r="L136" s="13"/>
      <x:c r="M136" s="13"/>
      <x:c r="N136" s="10"/>
      <x:c r="O136" s="10"/>
      <x:c r="P136" s="9" t="str">
        <x:f>IF(A136="","",IF(COUNTIFS('Shipments'!$A$8:$A$207,A136)&lt;&gt;1,"Duplicate shipment line",IF(OR(B136="",E136="",O136=""),"Set shipment, box and destination",IF(AND(C136&lt;&gt;"Inbound",C136&lt;&gt;"Outbound"),"Choose direction",IF(COUNTIFS('Definitions'!$A$8:$A$207,F136)&lt;&gt;1,"Unknown / duplicate part",IF(VLOOKUP(F136,'Definitions'!$A$8:$J$207,3,FALSE)&lt;&gt;"Part","Ship purchasable parts only",IF(OR(NOT(ISNUMBER(H136)),H136&lt;0,MOD(H136,1)&lt;&gt;0,NOT(ISNUMBER(I136)),I136&lt;0,MOD(I136,1)&lt;&gt;0,NOT(ISNUMBER(J136)),J136&lt;0,MOD(J136,1)&lt;&gt;0),"Invalid shipment quantities",IF(I136+J136&gt;H136,"Receipts exceed dispatch",IF(AND(H136&gt;0,NOT(ISNUMBER(L136))),"Set actual dispatch date",IF(C136="Inbound",IF(COUNTIFS('Orders'!$A$8:$A$207,D136)&lt;&gt;1,"Choose a unique order line",IF(VLOOKUP(D136,'Orders'!$A$8:$L$207,4,FALSE)&lt;&gt;F136,"Order part mismatch","OK")),IF(D136&lt;&gt;"","Clear outbound order line",IF(AND(VLOOKUP(F136,'Definitions'!$A$8:$J$207,7,FALSE)="Yes",OR(G136="",H136&lt;&gt;1)),"Serialized outbound: one asset per row",IF(G136="","OK",IF(COUNTIFS('Assets'!$A$8:$A$207,G136)&lt;&gt;1,"Unknown / duplicate asset",IF(VLOOKUP(G136,'Assets'!$A$8:$K$207,2,FALSE)&lt;&gt;F136,"Asset part mismatch",IF(COUNTIFS($G$8:$G$207,G136,$C$8:$C$207,"Outbound")&lt;&gt;1,"Asset dispatched more than once","OK"))))))))))))))))</x:f>
      </x:c>
    </x:row>
    <x:row r="137" ht="22" customHeight="1">
      <x:c r="A137" s="10"/>
      <x:c r="B137" s="10"/>
      <x:c r="C137" s="10"/>
      <x:c r="D137" s="10"/>
      <x:c r="E137" s="10"/>
      <x:c r="F137" s="10"/>
      <x:c r="G137" s="10"/>
      <x:c r="H137" s="12"/>
      <x:c r="I137" s="12"/>
      <x:c r="J137" s="12"/>
      <x:c r="K137" s="11" t="str">
        <x:f>IF(A137="","",MAX(0,H137-I137-J137))</x:f>
      </x:c>
      <x:c r="L137" s="13"/>
      <x:c r="M137" s="13"/>
      <x:c r="N137" s="10"/>
      <x:c r="O137" s="10"/>
      <x:c r="P137" s="9" t="str">
        <x:f>IF(A137="","",IF(COUNTIFS('Shipments'!$A$8:$A$207,A137)&lt;&gt;1,"Duplicate shipment line",IF(OR(B137="",E137="",O137=""),"Set shipment, box and destination",IF(AND(C137&lt;&gt;"Inbound",C137&lt;&gt;"Outbound"),"Choose direction",IF(COUNTIFS('Definitions'!$A$8:$A$207,F137)&lt;&gt;1,"Unknown / duplicate part",IF(VLOOKUP(F137,'Definitions'!$A$8:$J$207,3,FALSE)&lt;&gt;"Part","Ship purchasable parts only",IF(OR(NOT(ISNUMBER(H137)),H137&lt;0,MOD(H137,1)&lt;&gt;0,NOT(ISNUMBER(I137)),I137&lt;0,MOD(I137,1)&lt;&gt;0,NOT(ISNUMBER(J137)),J137&lt;0,MOD(J137,1)&lt;&gt;0),"Invalid shipment quantities",IF(I137+J137&gt;H137,"Receipts exceed dispatch",IF(AND(H137&gt;0,NOT(ISNUMBER(L137))),"Set actual dispatch date",IF(C137="Inbound",IF(COUNTIFS('Orders'!$A$8:$A$207,D137)&lt;&gt;1,"Choose a unique order line",IF(VLOOKUP(D137,'Orders'!$A$8:$L$207,4,FALSE)&lt;&gt;F137,"Order part mismatch","OK")),IF(D137&lt;&gt;"","Clear outbound order line",IF(AND(VLOOKUP(F137,'Definitions'!$A$8:$J$207,7,FALSE)="Yes",OR(G137="",H137&lt;&gt;1)),"Serialized outbound: one asset per row",IF(G137="","OK",IF(COUNTIFS('Assets'!$A$8:$A$207,G137)&lt;&gt;1,"Unknown / duplicate asset",IF(VLOOKUP(G137,'Assets'!$A$8:$K$207,2,FALSE)&lt;&gt;F137,"Asset part mismatch",IF(COUNTIFS($G$8:$G$207,G137,$C$8:$C$207,"Outbound")&lt;&gt;1,"Asset dispatched more than once","OK"))))))))))))))))</x:f>
      </x:c>
    </x:row>
    <x:row r="138" ht="22" customHeight="1">
      <x:c r="A138" s="10"/>
      <x:c r="B138" s="10"/>
      <x:c r="C138" s="10"/>
      <x:c r="D138" s="10"/>
      <x:c r="E138" s="10"/>
      <x:c r="F138" s="10"/>
      <x:c r="G138" s="10"/>
      <x:c r="H138" s="12"/>
      <x:c r="I138" s="12"/>
      <x:c r="J138" s="12"/>
      <x:c r="K138" s="11" t="str">
        <x:f>IF(A138="","",MAX(0,H138-I138-J138))</x:f>
      </x:c>
      <x:c r="L138" s="13"/>
      <x:c r="M138" s="13"/>
      <x:c r="N138" s="10"/>
      <x:c r="O138" s="10"/>
      <x:c r="P138" s="9" t="str">
        <x:f>IF(A138="","",IF(COUNTIFS('Shipments'!$A$8:$A$207,A138)&lt;&gt;1,"Duplicate shipment line",IF(OR(B138="",E138="",O138=""),"Set shipment, box and destination",IF(AND(C138&lt;&gt;"Inbound",C138&lt;&gt;"Outbound"),"Choose direction",IF(COUNTIFS('Definitions'!$A$8:$A$207,F138)&lt;&gt;1,"Unknown / duplicate part",IF(VLOOKUP(F138,'Definitions'!$A$8:$J$207,3,FALSE)&lt;&gt;"Part","Ship purchasable parts only",IF(OR(NOT(ISNUMBER(H138)),H138&lt;0,MOD(H138,1)&lt;&gt;0,NOT(ISNUMBER(I138)),I138&lt;0,MOD(I138,1)&lt;&gt;0,NOT(ISNUMBER(J138)),J138&lt;0,MOD(J138,1)&lt;&gt;0),"Invalid shipment quantities",IF(I138+J138&gt;H138,"Receipts exceed dispatch",IF(AND(H138&gt;0,NOT(ISNUMBER(L138))),"Set actual dispatch date",IF(C138="Inbound",IF(COUNTIFS('Orders'!$A$8:$A$207,D138)&lt;&gt;1,"Choose a unique order line",IF(VLOOKUP(D138,'Orders'!$A$8:$L$207,4,FALSE)&lt;&gt;F138,"Order part mismatch","OK")),IF(D138&lt;&gt;"","Clear outbound order line",IF(AND(VLOOKUP(F138,'Definitions'!$A$8:$J$207,7,FALSE)="Yes",OR(G138="",H138&lt;&gt;1)),"Serialized outbound: one asset per row",IF(G138="","OK",IF(COUNTIFS('Assets'!$A$8:$A$207,G138)&lt;&gt;1,"Unknown / duplicate asset",IF(VLOOKUP(G138,'Assets'!$A$8:$K$207,2,FALSE)&lt;&gt;F138,"Asset part mismatch",IF(COUNTIFS($G$8:$G$207,G138,$C$8:$C$207,"Outbound")&lt;&gt;1,"Asset dispatched more than once","OK"))))))))))))))))</x:f>
      </x:c>
    </x:row>
    <x:row r="139" ht="22" customHeight="1">
      <x:c r="A139" s="10"/>
      <x:c r="B139" s="10"/>
      <x:c r="C139" s="10"/>
      <x:c r="D139" s="10"/>
      <x:c r="E139" s="10"/>
      <x:c r="F139" s="10"/>
      <x:c r="G139" s="10"/>
      <x:c r="H139" s="12"/>
      <x:c r="I139" s="12"/>
      <x:c r="J139" s="12"/>
      <x:c r="K139" s="11" t="str">
        <x:f>IF(A139="","",MAX(0,H139-I139-J139))</x:f>
      </x:c>
      <x:c r="L139" s="13"/>
      <x:c r="M139" s="13"/>
      <x:c r="N139" s="10"/>
      <x:c r="O139" s="10"/>
      <x:c r="P139" s="9" t="str">
        <x:f>IF(A139="","",IF(COUNTIFS('Shipments'!$A$8:$A$207,A139)&lt;&gt;1,"Duplicate shipment line",IF(OR(B139="",E139="",O139=""),"Set shipment, box and destination",IF(AND(C139&lt;&gt;"Inbound",C139&lt;&gt;"Outbound"),"Choose direction",IF(COUNTIFS('Definitions'!$A$8:$A$207,F139)&lt;&gt;1,"Unknown / duplicate part",IF(VLOOKUP(F139,'Definitions'!$A$8:$J$207,3,FALSE)&lt;&gt;"Part","Ship purchasable parts only",IF(OR(NOT(ISNUMBER(H139)),H139&lt;0,MOD(H139,1)&lt;&gt;0,NOT(ISNUMBER(I139)),I139&lt;0,MOD(I139,1)&lt;&gt;0,NOT(ISNUMBER(J139)),J139&lt;0,MOD(J139,1)&lt;&gt;0),"Invalid shipment quantities",IF(I139+J139&gt;H139,"Receipts exceed dispatch",IF(AND(H139&gt;0,NOT(ISNUMBER(L139))),"Set actual dispatch date",IF(C139="Inbound",IF(COUNTIFS('Orders'!$A$8:$A$207,D139)&lt;&gt;1,"Choose a unique order line",IF(VLOOKUP(D139,'Orders'!$A$8:$L$207,4,FALSE)&lt;&gt;F139,"Order part mismatch","OK")),IF(D139&lt;&gt;"","Clear outbound order line",IF(AND(VLOOKUP(F139,'Definitions'!$A$8:$J$207,7,FALSE)="Yes",OR(G139="",H139&lt;&gt;1)),"Serialized outbound: one asset per row",IF(G139="","OK",IF(COUNTIFS('Assets'!$A$8:$A$207,G139)&lt;&gt;1,"Unknown / duplicate asset",IF(VLOOKUP(G139,'Assets'!$A$8:$K$207,2,FALSE)&lt;&gt;F139,"Asset part mismatch",IF(COUNTIFS($G$8:$G$207,G139,$C$8:$C$207,"Outbound")&lt;&gt;1,"Asset dispatched more than once","OK"))))))))))))))))</x:f>
      </x:c>
    </x:row>
    <x:row r="140" ht="22" customHeight="1">
      <x:c r="A140" s="10"/>
      <x:c r="B140" s="10"/>
      <x:c r="C140" s="10"/>
      <x:c r="D140" s="10"/>
      <x:c r="E140" s="10"/>
      <x:c r="F140" s="10"/>
      <x:c r="G140" s="10"/>
      <x:c r="H140" s="12"/>
      <x:c r="I140" s="12"/>
      <x:c r="J140" s="12"/>
      <x:c r="K140" s="11" t="str">
        <x:f>IF(A140="","",MAX(0,H140-I140-J140))</x:f>
      </x:c>
      <x:c r="L140" s="13"/>
      <x:c r="M140" s="13"/>
      <x:c r="N140" s="10"/>
      <x:c r="O140" s="10"/>
      <x:c r="P140" s="9" t="str">
        <x:f>IF(A140="","",IF(COUNTIFS('Shipments'!$A$8:$A$207,A140)&lt;&gt;1,"Duplicate shipment line",IF(OR(B140="",E140="",O140=""),"Set shipment, box and destination",IF(AND(C140&lt;&gt;"Inbound",C140&lt;&gt;"Outbound"),"Choose direction",IF(COUNTIFS('Definitions'!$A$8:$A$207,F140)&lt;&gt;1,"Unknown / duplicate part",IF(VLOOKUP(F140,'Definitions'!$A$8:$J$207,3,FALSE)&lt;&gt;"Part","Ship purchasable parts only",IF(OR(NOT(ISNUMBER(H140)),H140&lt;0,MOD(H140,1)&lt;&gt;0,NOT(ISNUMBER(I140)),I140&lt;0,MOD(I140,1)&lt;&gt;0,NOT(ISNUMBER(J140)),J140&lt;0,MOD(J140,1)&lt;&gt;0),"Invalid shipment quantities",IF(I140+J140&gt;H140,"Receipts exceed dispatch",IF(AND(H140&gt;0,NOT(ISNUMBER(L140))),"Set actual dispatch date",IF(C140="Inbound",IF(COUNTIFS('Orders'!$A$8:$A$207,D140)&lt;&gt;1,"Choose a unique order line",IF(VLOOKUP(D140,'Orders'!$A$8:$L$207,4,FALSE)&lt;&gt;F140,"Order part mismatch","OK")),IF(D140&lt;&gt;"","Clear outbound order line",IF(AND(VLOOKUP(F140,'Definitions'!$A$8:$J$207,7,FALSE)="Yes",OR(G140="",H140&lt;&gt;1)),"Serialized outbound: one asset per row",IF(G140="","OK",IF(COUNTIFS('Assets'!$A$8:$A$207,G140)&lt;&gt;1,"Unknown / duplicate asset",IF(VLOOKUP(G140,'Assets'!$A$8:$K$207,2,FALSE)&lt;&gt;F140,"Asset part mismatch",IF(COUNTIFS($G$8:$G$207,G140,$C$8:$C$207,"Outbound")&lt;&gt;1,"Asset dispatched more than once","OK"))))))))))))))))</x:f>
      </x:c>
    </x:row>
    <x:row r="141" ht="22" customHeight="1">
      <x:c r="A141" s="10"/>
      <x:c r="B141" s="10"/>
      <x:c r="C141" s="10"/>
      <x:c r="D141" s="10"/>
      <x:c r="E141" s="10"/>
      <x:c r="F141" s="10"/>
      <x:c r="G141" s="10"/>
      <x:c r="H141" s="12"/>
      <x:c r="I141" s="12"/>
      <x:c r="J141" s="12"/>
      <x:c r="K141" s="11" t="str">
        <x:f>IF(A141="","",MAX(0,H141-I141-J141))</x:f>
      </x:c>
      <x:c r="L141" s="13"/>
      <x:c r="M141" s="13"/>
      <x:c r="N141" s="10"/>
      <x:c r="O141" s="10"/>
      <x:c r="P141" s="9" t="str">
        <x:f>IF(A141="","",IF(COUNTIFS('Shipments'!$A$8:$A$207,A141)&lt;&gt;1,"Duplicate shipment line",IF(OR(B141="",E141="",O141=""),"Set shipment, box and destination",IF(AND(C141&lt;&gt;"Inbound",C141&lt;&gt;"Outbound"),"Choose direction",IF(COUNTIFS('Definitions'!$A$8:$A$207,F141)&lt;&gt;1,"Unknown / duplicate part",IF(VLOOKUP(F141,'Definitions'!$A$8:$J$207,3,FALSE)&lt;&gt;"Part","Ship purchasable parts only",IF(OR(NOT(ISNUMBER(H141)),H141&lt;0,MOD(H141,1)&lt;&gt;0,NOT(ISNUMBER(I141)),I141&lt;0,MOD(I141,1)&lt;&gt;0,NOT(ISNUMBER(J141)),J141&lt;0,MOD(J141,1)&lt;&gt;0),"Invalid shipment quantities",IF(I141+J141&gt;H141,"Receipts exceed dispatch",IF(AND(H141&gt;0,NOT(ISNUMBER(L141))),"Set actual dispatch date",IF(C141="Inbound",IF(COUNTIFS('Orders'!$A$8:$A$207,D141)&lt;&gt;1,"Choose a unique order line",IF(VLOOKUP(D141,'Orders'!$A$8:$L$207,4,FALSE)&lt;&gt;F141,"Order part mismatch","OK")),IF(D141&lt;&gt;"","Clear outbound order line",IF(AND(VLOOKUP(F141,'Definitions'!$A$8:$J$207,7,FALSE)="Yes",OR(G141="",H141&lt;&gt;1)),"Serialized outbound: one asset per row",IF(G141="","OK",IF(COUNTIFS('Assets'!$A$8:$A$207,G141)&lt;&gt;1,"Unknown / duplicate asset",IF(VLOOKUP(G141,'Assets'!$A$8:$K$207,2,FALSE)&lt;&gt;F141,"Asset part mismatch",IF(COUNTIFS($G$8:$G$207,G141,$C$8:$C$207,"Outbound")&lt;&gt;1,"Asset dispatched more than once","OK"))))))))))))))))</x:f>
      </x:c>
    </x:row>
    <x:row r="142" ht="22" customHeight="1">
      <x:c r="A142" s="10"/>
      <x:c r="B142" s="10"/>
      <x:c r="C142" s="10"/>
      <x:c r="D142" s="10"/>
      <x:c r="E142" s="10"/>
      <x:c r="F142" s="10"/>
      <x:c r="G142" s="10"/>
      <x:c r="H142" s="12"/>
      <x:c r="I142" s="12"/>
      <x:c r="J142" s="12"/>
      <x:c r="K142" s="11" t="str">
        <x:f>IF(A142="","",MAX(0,H142-I142-J142))</x:f>
      </x:c>
      <x:c r="L142" s="13"/>
      <x:c r="M142" s="13"/>
      <x:c r="N142" s="10"/>
      <x:c r="O142" s="10"/>
      <x:c r="P142" s="9" t="str">
        <x:f>IF(A142="","",IF(COUNTIFS('Shipments'!$A$8:$A$207,A142)&lt;&gt;1,"Duplicate shipment line",IF(OR(B142="",E142="",O142=""),"Set shipment, box and destination",IF(AND(C142&lt;&gt;"Inbound",C142&lt;&gt;"Outbound"),"Choose direction",IF(COUNTIFS('Definitions'!$A$8:$A$207,F142)&lt;&gt;1,"Unknown / duplicate part",IF(VLOOKUP(F142,'Definitions'!$A$8:$J$207,3,FALSE)&lt;&gt;"Part","Ship purchasable parts only",IF(OR(NOT(ISNUMBER(H142)),H142&lt;0,MOD(H142,1)&lt;&gt;0,NOT(ISNUMBER(I142)),I142&lt;0,MOD(I142,1)&lt;&gt;0,NOT(ISNUMBER(J142)),J142&lt;0,MOD(J142,1)&lt;&gt;0),"Invalid shipment quantities",IF(I142+J142&gt;H142,"Receipts exceed dispatch",IF(AND(H142&gt;0,NOT(ISNUMBER(L142))),"Set actual dispatch date",IF(C142="Inbound",IF(COUNTIFS('Orders'!$A$8:$A$207,D142)&lt;&gt;1,"Choose a unique order line",IF(VLOOKUP(D142,'Orders'!$A$8:$L$207,4,FALSE)&lt;&gt;F142,"Order part mismatch","OK")),IF(D142&lt;&gt;"","Clear outbound order line",IF(AND(VLOOKUP(F142,'Definitions'!$A$8:$J$207,7,FALSE)="Yes",OR(G142="",H142&lt;&gt;1)),"Serialized outbound: one asset per row",IF(G142="","OK",IF(COUNTIFS('Assets'!$A$8:$A$207,G142)&lt;&gt;1,"Unknown / duplicate asset",IF(VLOOKUP(G142,'Assets'!$A$8:$K$207,2,FALSE)&lt;&gt;F142,"Asset part mismatch",IF(COUNTIFS($G$8:$G$207,G142,$C$8:$C$207,"Outbound")&lt;&gt;1,"Asset dispatched more than once","OK"))))))))))))))))</x:f>
      </x:c>
    </x:row>
    <x:row r="143" ht="22" customHeight="1">
      <x:c r="A143" s="10"/>
      <x:c r="B143" s="10"/>
      <x:c r="C143" s="10"/>
      <x:c r="D143" s="10"/>
      <x:c r="E143" s="10"/>
      <x:c r="F143" s="10"/>
      <x:c r="G143" s="10"/>
      <x:c r="H143" s="12"/>
      <x:c r="I143" s="12"/>
      <x:c r="J143" s="12"/>
      <x:c r="K143" s="11" t="str">
        <x:f>IF(A143="","",MAX(0,H143-I143-J143))</x:f>
      </x:c>
      <x:c r="L143" s="13"/>
      <x:c r="M143" s="13"/>
      <x:c r="N143" s="10"/>
      <x:c r="O143" s="10"/>
      <x:c r="P143" s="9" t="str">
        <x:f>IF(A143="","",IF(COUNTIFS('Shipments'!$A$8:$A$207,A143)&lt;&gt;1,"Duplicate shipment line",IF(OR(B143="",E143="",O143=""),"Set shipment, box and destination",IF(AND(C143&lt;&gt;"Inbound",C143&lt;&gt;"Outbound"),"Choose direction",IF(COUNTIFS('Definitions'!$A$8:$A$207,F143)&lt;&gt;1,"Unknown / duplicate part",IF(VLOOKUP(F143,'Definitions'!$A$8:$J$207,3,FALSE)&lt;&gt;"Part","Ship purchasable parts only",IF(OR(NOT(ISNUMBER(H143)),H143&lt;0,MOD(H143,1)&lt;&gt;0,NOT(ISNUMBER(I143)),I143&lt;0,MOD(I143,1)&lt;&gt;0,NOT(ISNUMBER(J143)),J143&lt;0,MOD(J143,1)&lt;&gt;0),"Invalid shipment quantities",IF(I143+J143&gt;H143,"Receipts exceed dispatch",IF(AND(H143&gt;0,NOT(ISNUMBER(L143))),"Set actual dispatch date",IF(C143="Inbound",IF(COUNTIFS('Orders'!$A$8:$A$207,D143)&lt;&gt;1,"Choose a unique order line",IF(VLOOKUP(D143,'Orders'!$A$8:$L$207,4,FALSE)&lt;&gt;F143,"Order part mismatch","OK")),IF(D143&lt;&gt;"","Clear outbound order line",IF(AND(VLOOKUP(F143,'Definitions'!$A$8:$J$207,7,FALSE)="Yes",OR(G143="",H143&lt;&gt;1)),"Serialized outbound: one asset per row",IF(G143="","OK",IF(COUNTIFS('Assets'!$A$8:$A$207,G143)&lt;&gt;1,"Unknown / duplicate asset",IF(VLOOKUP(G143,'Assets'!$A$8:$K$207,2,FALSE)&lt;&gt;F143,"Asset part mismatch",IF(COUNTIFS($G$8:$G$207,G143,$C$8:$C$207,"Outbound")&lt;&gt;1,"Asset dispatched more than once","OK"))))))))))))))))</x:f>
      </x:c>
    </x:row>
    <x:row r="144" ht="22" customHeight="1">
      <x:c r="A144" s="10"/>
      <x:c r="B144" s="10"/>
      <x:c r="C144" s="10"/>
      <x:c r="D144" s="10"/>
      <x:c r="E144" s="10"/>
      <x:c r="F144" s="10"/>
      <x:c r="G144" s="10"/>
      <x:c r="H144" s="12"/>
      <x:c r="I144" s="12"/>
      <x:c r="J144" s="12"/>
      <x:c r="K144" s="11" t="str">
        <x:f>IF(A144="","",MAX(0,H144-I144-J144))</x:f>
      </x:c>
      <x:c r="L144" s="13"/>
      <x:c r="M144" s="13"/>
      <x:c r="N144" s="10"/>
      <x:c r="O144" s="10"/>
      <x:c r="P144" s="9" t="str">
        <x:f>IF(A144="","",IF(COUNTIFS('Shipments'!$A$8:$A$207,A144)&lt;&gt;1,"Duplicate shipment line",IF(OR(B144="",E144="",O144=""),"Set shipment, box and destination",IF(AND(C144&lt;&gt;"Inbound",C144&lt;&gt;"Outbound"),"Choose direction",IF(COUNTIFS('Definitions'!$A$8:$A$207,F144)&lt;&gt;1,"Unknown / duplicate part",IF(VLOOKUP(F144,'Definitions'!$A$8:$J$207,3,FALSE)&lt;&gt;"Part","Ship purchasable parts only",IF(OR(NOT(ISNUMBER(H144)),H144&lt;0,MOD(H144,1)&lt;&gt;0,NOT(ISNUMBER(I144)),I144&lt;0,MOD(I144,1)&lt;&gt;0,NOT(ISNUMBER(J144)),J144&lt;0,MOD(J144,1)&lt;&gt;0),"Invalid shipment quantities",IF(I144+J144&gt;H144,"Receipts exceed dispatch",IF(AND(H144&gt;0,NOT(ISNUMBER(L144))),"Set actual dispatch date",IF(C144="Inbound",IF(COUNTIFS('Orders'!$A$8:$A$207,D144)&lt;&gt;1,"Choose a unique order line",IF(VLOOKUP(D144,'Orders'!$A$8:$L$207,4,FALSE)&lt;&gt;F144,"Order part mismatch","OK")),IF(D144&lt;&gt;"","Clear outbound order line",IF(AND(VLOOKUP(F144,'Definitions'!$A$8:$J$207,7,FALSE)="Yes",OR(G144="",H144&lt;&gt;1)),"Serialized outbound: one asset per row",IF(G144="","OK",IF(COUNTIFS('Assets'!$A$8:$A$207,G144)&lt;&gt;1,"Unknown / duplicate asset",IF(VLOOKUP(G144,'Assets'!$A$8:$K$207,2,FALSE)&lt;&gt;F144,"Asset part mismatch",IF(COUNTIFS($G$8:$G$207,G144,$C$8:$C$207,"Outbound")&lt;&gt;1,"Asset dispatched more than once","OK"))))))))))))))))</x:f>
      </x:c>
    </x:row>
    <x:row r="145" ht="22" customHeight="1">
      <x:c r="A145" s="10"/>
      <x:c r="B145" s="10"/>
      <x:c r="C145" s="10"/>
      <x:c r="D145" s="10"/>
      <x:c r="E145" s="10"/>
      <x:c r="F145" s="10"/>
      <x:c r="G145" s="10"/>
      <x:c r="H145" s="12"/>
      <x:c r="I145" s="12"/>
      <x:c r="J145" s="12"/>
      <x:c r="K145" s="11" t="str">
        <x:f>IF(A145="","",MAX(0,H145-I145-J145))</x:f>
      </x:c>
      <x:c r="L145" s="13"/>
      <x:c r="M145" s="13"/>
      <x:c r="N145" s="10"/>
      <x:c r="O145" s="10"/>
      <x:c r="P145" s="9" t="str">
        <x:f>IF(A145="","",IF(COUNTIFS('Shipments'!$A$8:$A$207,A145)&lt;&gt;1,"Duplicate shipment line",IF(OR(B145="",E145="",O145=""),"Set shipment, box and destination",IF(AND(C145&lt;&gt;"Inbound",C145&lt;&gt;"Outbound"),"Choose direction",IF(COUNTIFS('Definitions'!$A$8:$A$207,F145)&lt;&gt;1,"Unknown / duplicate part",IF(VLOOKUP(F145,'Definitions'!$A$8:$J$207,3,FALSE)&lt;&gt;"Part","Ship purchasable parts only",IF(OR(NOT(ISNUMBER(H145)),H145&lt;0,MOD(H145,1)&lt;&gt;0,NOT(ISNUMBER(I145)),I145&lt;0,MOD(I145,1)&lt;&gt;0,NOT(ISNUMBER(J145)),J145&lt;0,MOD(J145,1)&lt;&gt;0),"Invalid shipment quantities",IF(I145+J145&gt;H145,"Receipts exceed dispatch",IF(AND(H145&gt;0,NOT(ISNUMBER(L145))),"Set actual dispatch date",IF(C145="Inbound",IF(COUNTIFS('Orders'!$A$8:$A$207,D145)&lt;&gt;1,"Choose a unique order line",IF(VLOOKUP(D145,'Orders'!$A$8:$L$207,4,FALSE)&lt;&gt;F145,"Order part mismatch","OK")),IF(D145&lt;&gt;"","Clear outbound order line",IF(AND(VLOOKUP(F145,'Definitions'!$A$8:$J$207,7,FALSE)="Yes",OR(G145="",H145&lt;&gt;1)),"Serialized outbound: one asset per row",IF(G145="","OK",IF(COUNTIFS('Assets'!$A$8:$A$207,G145)&lt;&gt;1,"Unknown / duplicate asset",IF(VLOOKUP(G145,'Assets'!$A$8:$K$207,2,FALSE)&lt;&gt;F145,"Asset part mismatch",IF(COUNTIFS($G$8:$G$207,G145,$C$8:$C$207,"Outbound")&lt;&gt;1,"Asset dispatched more than once","OK"))))))))))))))))</x:f>
      </x:c>
    </x:row>
    <x:row r="146" ht="22" customHeight="1">
      <x:c r="A146" s="10"/>
      <x:c r="B146" s="10"/>
      <x:c r="C146" s="10"/>
      <x:c r="D146" s="10"/>
      <x:c r="E146" s="10"/>
      <x:c r="F146" s="10"/>
      <x:c r="G146" s="10"/>
      <x:c r="H146" s="12"/>
      <x:c r="I146" s="12"/>
      <x:c r="J146" s="12"/>
      <x:c r="K146" s="11" t="str">
        <x:f>IF(A146="","",MAX(0,H146-I146-J146))</x:f>
      </x:c>
      <x:c r="L146" s="13"/>
      <x:c r="M146" s="13"/>
      <x:c r="N146" s="10"/>
      <x:c r="O146" s="10"/>
      <x:c r="P146" s="9" t="str">
        <x:f>IF(A146="","",IF(COUNTIFS('Shipments'!$A$8:$A$207,A146)&lt;&gt;1,"Duplicate shipment line",IF(OR(B146="",E146="",O146=""),"Set shipment, box and destination",IF(AND(C146&lt;&gt;"Inbound",C146&lt;&gt;"Outbound"),"Choose direction",IF(COUNTIFS('Definitions'!$A$8:$A$207,F146)&lt;&gt;1,"Unknown / duplicate part",IF(VLOOKUP(F146,'Definitions'!$A$8:$J$207,3,FALSE)&lt;&gt;"Part","Ship purchasable parts only",IF(OR(NOT(ISNUMBER(H146)),H146&lt;0,MOD(H146,1)&lt;&gt;0,NOT(ISNUMBER(I146)),I146&lt;0,MOD(I146,1)&lt;&gt;0,NOT(ISNUMBER(J146)),J146&lt;0,MOD(J146,1)&lt;&gt;0),"Invalid shipment quantities",IF(I146+J146&gt;H146,"Receipts exceed dispatch",IF(AND(H146&gt;0,NOT(ISNUMBER(L146))),"Set actual dispatch date",IF(C146="Inbound",IF(COUNTIFS('Orders'!$A$8:$A$207,D146)&lt;&gt;1,"Choose a unique order line",IF(VLOOKUP(D146,'Orders'!$A$8:$L$207,4,FALSE)&lt;&gt;F146,"Order part mismatch","OK")),IF(D146&lt;&gt;"","Clear outbound order line",IF(AND(VLOOKUP(F146,'Definitions'!$A$8:$J$207,7,FALSE)="Yes",OR(G146="",H146&lt;&gt;1)),"Serialized outbound: one asset per row",IF(G146="","OK",IF(COUNTIFS('Assets'!$A$8:$A$207,G146)&lt;&gt;1,"Unknown / duplicate asset",IF(VLOOKUP(G146,'Assets'!$A$8:$K$207,2,FALSE)&lt;&gt;F146,"Asset part mismatch",IF(COUNTIFS($G$8:$G$207,G146,$C$8:$C$207,"Outbound")&lt;&gt;1,"Asset dispatched more than once","OK"))))))))))))))))</x:f>
      </x:c>
    </x:row>
    <x:row r="147" ht="22" customHeight="1">
      <x:c r="A147" s="10"/>
      <x:c r="B147" s="10"/>
      <x:c r="C147" s="10"/>
      <x:c r="D147" s="10"/>
      <x:c r="E147" s="10"/>
      <x:c r="F147" s="10"/>
      <x:c r="G147" s="10"/>
      <x:c r="H147" s="12"/>
      <x:c r="I147" s="12"/>
      <x:c r="J147" s="12"/>
      <x:c r="K147" s="11" t="str">
        <x:f>IF(A147="","",MAX(0,H147-I147-J147))</x:f>
      </x:c>
      <x:c r="L147" s="13"/>
      <x:c r="M147" s="13"/>
      <x:c r="N147" s="10"/>
      <x:c r="O147" s="10"/>
      <x:c r="P147" s="9" t="str">
        <x:f>IF(A147="","",IF(COUNTIFS('Shipments'!$A$8:$A$207,A147)&lt;&gt;1,"Duplicate shipment line",IF(OR(B147="",E147="",O147=""),"Set shipment, box and destination",IF(AND(C147&lt;&gt;"Inbound",C147&lt;&gt;"Outbound"),"Choose direction",IF(COUNTIFS('Definitions'!$A$8:$A$207,F147)&lt;&gt;1,"Unknown / duplicate part",IF(VLOOKUP(F147,'Definitions'!$A$8:$J$207,3,FALSE)&lt;&gt;"Part","Ship purchasable parts only",IF(OR(NOT(ISNUMBER(H147)),H147&lt;0,MOD(H147,1)&lt;&gt;0,NOT(ISNUMBER(I147)),I147&lt;0,MOD(I147,1)&lt;&gt;0,NOT(ISNUMBER(J147)),J147&lt;0,MOD(J147,1)&lt;&gt;0),"Invalid shipment quantities",IF(I147+J147&gt;H147,"Receipts exceed dispatch",IF(AND(H147&gt;0,NOT(ISNUMBER(L147))),"Set actual dispatch date",IF(C147="Inbound",IF(COUNTIFS('Orders'!$A$8:$A$207,D147)&lt;&gt;1,"Choose a unique order line",IF(VLOOKUP(D147,'Orders'!$A$8:$L$207,4,FALSE)&lt;&gt;F147,"Order part mismatch","OK")),IF(D147&lt;&gt;"","Clear outbound order line",IF(AND(VLOOKUP(F147,'Definitions'!$A$8:$J$207,7,FALSE)="Yes",OR(G147="",H147&lt;&gt;1)),"Serialized outbound: one asset per row",IF(G147="","OK",IF(COUNTIFS('Assets'!$A$8:$A$207,G147)&lt;&gt;1,"Unknown / duplicate asset",IF(VLOOKUP(G147,'Assets'!$A$8:$K$207,2,FALSE)&lt;&gt;F147,"Asset part mismatch",IF(COUNTIFS($G$8:$G$207,G147,$C$8:$C$207,"Outbound")&lt;&gt;1,"Asset dispatched more than once","OK"))))))))))))))))</x:f>
      </x:c>
    </x:row>
    <x:row r="148" ht="22" customHeight="1">
      <x:c r="A148" s="10"/>
      <x:c r="B148" s="10"/>
      <x:c r="C148" s="10"/>
      <x:c r="D148" s="10"/>
      <x:c r="E148" s="10"/>
      <x:c r="F148" s="10"/>
      <x:c r="G148" s="10"/>
      <x:c r="H148" s="12"/>
      <x:c r="I148" s="12"/>
      <x:c r="J148" s="12"/>
      <x:c r="K148" s="11" t="str">
        <x:f>IF(A148="","",MAX(0,H148-I148-J148))</x:f>
      </x:c>
      <x:c r="L148" s="13"/>
      <x:c r="M148" s="13"/>
      <x:c r="N148" s="10"/>
      <x:c r="O148" s="10"/>
      <x:c r="P148" s="9" t="str">
        <x:f>IF(A148="","",IF(COUNTIFS('Shipments'!$A$8:$A$207,A148)&lt;&gt;1,"Duplicate shipment line",IF(OR(B148="",E148="",O148=""),"Set shipment, box and destination",IF(AND(C148&lt;&gt;"Inbound",C148&lt;&gt;"Outbound"),"Choose direction",IF(COUNTIFS('Definitions'!$A$8:$A$207,F148)&lt;&gt;1,"Unknown / duplicate part",IF(VLOOKUP(F148,'Definitions'!$A$8:$J$207,3,FALSE)&lt;&gt;"Part","Ship purchasable parts only",IF(OR(NOT(ISNUMBER(H148)),H148&lt;0,MOD(H148,1)&lt;&gt;0,NOT(ISNUMBER(I148)),I148&lt;0,MOD(I148,1)&lt;&gt;0,NOT(ISNUMBER(J148)),J148&lt;0,MOD(J148,1)&lt;&gt;0),"Invalid shipment quantities",IF(I148+J148&gt;H148,"Receipts exceed dispatch",IF(AND(H148&gt;0,NOT(ISNUMBER(L148))),"Set actual dispatch date",IF(C148="Inbound",IF(COUNTIFS('Orders'!$A$8:$A$207,D148)&lt;&gt;1,"Choose a unique order line",IF(VLOOKUP(D148,'Orders'!$A$8:$L$207,4,FALSE)&lt;&gt;F148,"Order part mismatch","OK")),IF(D148&lt;&gt;"","Clear outbound order line",IF(AND(VLOOKUP(F148,'Definitions'!$A$8:$J$207,7,FALSE)="Yes",OR(G148="",H148&lt;&gt;1)),"Serialized outbound: one asset per row",IF(G148="","OK",IF(COUNTIFS('Assets'!$A$8:$A$207,G148)&lt;&gt;1,"Unknown / duplicate asset",IF(VLOOKUP(G148,'Assets'!$A$8:$K$207,2,FALSE)&lt;&gt;F148,"Asset part mismatch",IF(COUNTIFS($G$8:$G$207,G148,$C$8:$C$207,"Outbound")&lt;&gt;1,"Asset dispatched more than once","OK"))))))))))))))))</x:f>
      </x:c>
    </x:row>
    <x:row r="149" ht="22" customHeight="1">
      <x:c r="A149" s="10"/>
      <x:c r="B149" s="10"/>
      <x:c r="C149" s="10"/>
      <x:c r="D149" s="10"/>
      <x:c r="E149" s="10"/>
      <x:c r="F149" s="10"/>
      <x:c r="G149" s="10"/>
      <x:c r="H149" s="12"/>
      <x:c r="I149" s="12"/>
      <x:c r="J149" s="12"/>
      <x:c r="K149" s="11" t="str">
        <x:f>IF(A149="","",MAX(0,H149-I149-J149))</x:f>
      </x:c>
      <x:c r="L149" s="13"/>
      <x:c r="M149" s="13"/>
      <x:c r="N149" s="10"/>
      <x:c r="O149" s="10"/>
      <x:c r="P149" s="9" t="str">
        <x:f>IF(A149="","",IF(COUNTIFS('Shipments'!$A$8:$A$207,A149)&lt;&gt;1,"Duplicate shipment line",IF(OR(B149="",E149="",O149=""),"Set shipment, box and destination",IF(AND(C149&lt;&gt;"Inbound",C149&lt;&gt;"Outbound"),"Choose direction",IF(COUNTIFS('Definitions'!$A$8:$A$207,F149)&lt;&gt;1,"Unknown / duplicate part",IF(VLOOKUP(F149,'Definitions'!$A$8:$J$207,3,FALSE)&lt;&gt;"Part","Ship purchasable parts only",IF(OR(NOT(ISNUMBER(H149)),H149&lt;0,MOD(H149,1)&lt;&gt;0,NOT(ISNUMBER(I149)),I149&lt;0,MOD(I149,1)&lt;&gt;0,NOT(ISNUMBER(J149)),J149&lt;0,MOD(J149,1)&lt;&gt;0),"Invalid shipment quantities",IF(I149+J149&gt;H149,"Receipts exceed dispatch",IF(AND(H149&gt;0,NOT(ISNUMBER(L149))),"Set actual dispatch date",IF(C149="Inbound",IF(COUNTIFS('Orders'!$A$8:$A$207,D149)&lt;&gt;1,"Choose a unique order line",IF(VLOOKUP(D149,'Orders'!$A$8:$L$207,4,FALSE)&lt;&gt;F149,"Order part mismatch","OK")),IF(D149&lt;&gt;"","Clear outbound order line",IF(AND(VLOOKUP(F149,'Definitions'!$A$8:$J$207,7,FALSE)="Yes",OR(G149="",H149&lt;&gt;1)),"Serialized outbound: one asset per row",IF(G149="","OK",IF(COUNTIFS('Assets'!$A$8:$A$207,G149)&lt;&gt;1,"Unknown / duplicate asset",IF(VLOOKUP(G149,'Assets'!$A$8:$K$207,2,FALSE)&lt;&gt;F149,"Asset part mismatch",IF(COUNTIFS($G$8:$G$207,G149,$C$8:$C$207,"Outbound")&lt;&gt;1,"Asset dispatched more than once","OK"))))))))))))))))</x:f>
      </x:c>
    </x:row>
    <x:row r="150" ht="22" customHeight="1">
      <x:c r="A150" s="10"/>
      <x:c r="B150" s="10"/>
      <x:c r="C150" s="10"/>
      <x:c r="D150" s="10"/>
      <x:c r="E150" s="10"/>
      <x:c r="F150" s="10"/>
      <x:c r="G150" s="10"/>
      <x:c r="H150" s="12"/>
      <x:c r="I150" s="12"/>
      <x:c r="J150" s="12"/>
      <x:c r="K150" s="11" t="str">
        <x:f>IF(A150="","",MAX(0,H150-I150-J150))</x:f>
      </x:c>
      <x:c r="L150" s="13"/>
      <x:c r="M150" s="13"/>
      <x:c r="N150" s="10"/>
      <x:c r="O150" s="10"/>
      <x:c r="P150" s="9" t="str">
        <x:f>IF(A150="","",IF(COUNTIFS('Shipments'!$A$8:$A$207,A150)&lt;&gt;1,"Duplicate shipment line",IF(OR(B150="",E150="",O150=""),"Set shipment, box and destination",IF(AND(C150&lt;&gt;"Inbound",C150&lt;&gt;"Outbound"),"Choose direction",IF(COUNTIFS('Definitions'!$A$8:$A$207,F150)&lt;&gt;1,"Unknown / duplicate part",IF(VLOOKUP(F150,'Definitions'!$A$8:$J$207,3,FALSE)&lt;&gt;"Part","Ship purchasable parts only",IF(OR(NOT(ISNUMBER(H150)),H150&lt;0,MOD(H150,1)&lt;&gt;0,NOT(ISNUMBER(I150)),I150&lt;0,MOD(I150,1)&lt;&gt;0,NOT(ISNUMBER(J150)),J150&lt;0,MOD(J150,1)&lt;&gt;0),"Invalid shipment quantities",IF(I150+J150&gt;H150,"Receipts exceed dispatch",IF(AND(H150&gt;0,NOT(ISNUMBER(L150))),"Set actual dispatch date",IF(C150="Inbound",IF(COUNTIFS('Orders'!$A$8:$A$207,D150)&lt;&gt;1,"Choose a unique order line",IF(VLOOKUP(D150,'Orders'!$A$8:$L$207,4,FALSE)&lt;&gt;F150,"Order part mismatch","OK")),IF(D150&lt;&gt;"","Clear outbound order line",IF(AND(VLOOKUP(F150,'Definitions'!$A$8:$J$207,7,FALSE)="Yes",OR(G150="",H150&lt;&gt;1)),"Serialized outbound: one asset per row",IF(G150="","OK",IF(COUNTIFS('Assets'!$A$8:$A$207,G150)&lt;&gt;1,"Unknown / duplicate asset",IF(VLOOKUP(G150,'Assets'!$A$8:$K$207,2,FALSE)&lt;&gt;F150,"Asset part mismatch",IF(COUNTIFS($G$8:$G$207,G150,$C$8:$C$207,"Outbound")&lt;&gt;1,"Asset dispatched more than once","OK"))))))))))))))))</x:f>
      </x:c>
    </x:row>
    <x:row r="151" ht="22" customHeight="1">
      <x:c r="A151" s="10"/>
      <x:c r="B151" s="10"/>
      <x:c r="C151" s="10"/>
      <x:c r="D151" s="10"/>
      <x:c r="E151" s="10"/>
      <x:c r="F151" s="10"/>
      <x:c r="G151" s="10"/>
      <x:c r="H151" s="12"/>
      <x:c r="I151" s="12"/>
      <x:c r="J151" s="12"/>
      <x:c r="K151" s="11" t="str">
        <x:f>IF(A151="","",MAX(0,H151-I151-J151))</x:f>
      </x:c>
      <x:c r="L151" s="13"/>
      <x:c r="M151" s="13"/>
      <x:c r="N151" s="10"/>
      <x:c r="O151" s="10"/>
      <x:c r="P151" s="9" t="str">
        <x:f>IF(A151="","",IF(COUNTIFS('Shipments'!$A$8:$A$207,A151)&lt;&gt;1,"Duplicate shipment line",IF(OR(B151="",E151="",O151=""),"Set shipment, box and destination",IF(AND(C151&lt;&gt;"Inbound",C151&lt;&gt;"Outbound"),"Choose direction",IF(COUNTIFS('Definitions'!$A$8:$A$207,F151)&lt;&gt;1,"Unknown / duplicate part",IF(VLOOKUP(F151,'Definitions'!$A$8:$J$207,3,FALSE)&lt;&gt;"Part","Ship purchasable parts only",IF(OR(NOT(ISNUMBER(H151)),H151&lt;0,MOD(H151,1)&lt;&gt;0,NOT(ISNUMBER(I151)),I151&lt;0,MOD(I151,1)&lt;&gt;0,NOT(ISNUMBER(J151)),J151&lt;0,MOD(J151,1)&lt;&gt;0),"Invalid shipment quantities",IF(I151+J151&gt;H151,"Receipts exceed dispatch",IF(AND(H151&gt;0,NOT(ISNUMBER(L151))),"Set actual dispatch date",IF(C151="Inbound",IF(COUNTIFS('Orders'!$A$8:$A$207,D151)&lt;&gt;1,"Choose a unique order line",IF(VLOOKUP(D151,'Orders'!$A$8:$L$207,4,FALSE)&lt;&gt;F151,"Order part mismatch","OK")),IF(D151&lt;&gt;"","Clear outbound order line",IF(AND(VLOOKUP(F151,'Definitions'!$A$8:$J$207,7,FALSE)="Yes",OR(G151="",H151&lt;&gt;1)),"Serialized outbound: one asset per row",IF(G151="","OK",IF(COUNTIFS('Assets'!$A$8:$A$207,G151)&lt;&gt;1,"Unknown / duplicate asset",IF(VLOOKUP(G151,'Assets'!$A$8:$K$207,2,FALSE)&lt;&gt;F151,"Asset part mismatch",IF(COUNTIFS($G$8:$G$207,G151,$C$8:$C$207,"Outbound")&lt;&gt;1,"Asset dispatched more than once","OK"))))))))))))))))</x:f>
      </x:c>
    </x:row>
    <x:row r="152" ht="22" customHeight="1">
      <x:c r="A152" s="10"/>
      <x:c r="B152" s="10"/>
      <x:c r="C152" s="10"/>
      <x:c r="D152" s="10"/>
      <x:c r="E152" s="10"/>
      <x:c r="F152" s="10"/>
      <x:c r="G152" s="10"/>
      <x:c r="H152" s="12"/>
      <x:c r="I152" s="12"/>
      <x:c r="J152" s="12"/>
      <x:c r="K152" s="11" t="str">
        <x:f>IF(A152="","",MAX(0,H152-I152-J152))</x:f>
      </x:c>
      <x:c r="L152" s="13"/>
      <x:c r="M152" s="13"/>
      <x:c r="N152" s="10"/>
      <x:c r="O152" s="10"/>
      <x:c r="P152" s="9" t="str">
        <x:f>IF(A152="","",IF(COUNTIFS('Shipments'!$A$8:$A$207,A152)&lt;&gt;1,"Duplicate shipment line",IF(OR(B152="",E152="",O152=""),"Set shipment, box and destination",IF(AND(C152&lt;&gt;"Inbound",C152&lt;&gt;"Outbound"),"Choose direction",IF(COUNTIFS('Definitions'!$A$8:$A$207,F152)&lt;&gt;1,"Unknown / duplicate part",IF(VLOOKUP(F152,'Definitions'!$A$8:$J$207,3,FALSE)&lt;&gt;"Part","Ship purchasable parts only",IF(OR(NOT(ISNUMBER(H152)),H152&lt;0,MOD(H152,1)&lt;&gt;0,NOT(ISNUMBER(I152)),I152&lt;0,MOD(I152,1)&lt;&gt;0,NOT(ISNUMBER(J152)),J152&lt;0,MOD(J152,1)&lt;&gt;0),"Invalid shipment quantities",IF(I152+J152&gt;H152,"Receipts exceed dispatch",IF(AND(H152&gt;0,NOT(ISNUMBER(L152))),"Set actual dispatch date",IF(C152="Inbound",IF(COUNTIFS('Orders'!$A$8:$A$207,D152)&lt;&gt;1,"Choose a unique order line",IF(VLOOKUP(D152,'Orders'!$A$8:$L$207,4,FALSE)&lt;&gt;F152,"Order part mismatch","OK")),IF(D152&lt;&gt;"","Clear outbound order line",IF(AND(VLOOKUP(F152,'Definitions'!$A$8:$J$207,7,FALSE)="Yes",OR(G152="",H152&lt;&gt;1)),"Serialized outbound: one asset per row",IF(G152="","OK",IF(COUNTIFS('Assets'!$A$8:$A$207,G152)&lt;&gt;1,"Unknown / duplicate asset",IF(VLOOKUP(G152,'Assets'!$A$8:$K$207,2,FALSE)&lt;&gt;F152,"Asset part mismatch",IF(COUNTIFS($G$8:$G$207,G152,$C$8:$C$207,"Outbound")&lt;&gt;1,"Asset dispatched more than once","OK"))))))))))))))))</x:f>
      </x:c>
    </x:row>
    <x:row r="153" ht="22" customHeight="1">
      <x:c r="A153" s="10"/>
      <x:c r="B153" s="10"/>
      <x:c r="C153" s="10"/>
      <x:c r="D153" s="10"/>
      <x:c r="E153" s="10"/>
      <x:c r="F153" s="10"/>
      <x:c r="G153" s="10"/>
      <x:c r="H153" s="12"/>
      <x:c r="I153" s="12"/>
      <x:c r="J153" s="12"/>
      <x:c r="K153" s="11" t="str">
        <x:f>IF(A153="","",MAX(0,H153-I153-J153))</x:f>
      </x:c>
      <x:c r="L153" s="13"/>
      <x:c r="M153" s="13"/>
      <x:c r="N153" s="10"/>
      <x:c r="O153" s="10"/>
      <x:c r="P153" s="9" t="str">
        <x:f>IF(A153="","",IF(COUNTIFS('Shipments'!$A$8:$A$207,A153)&lt;&gt;1,"Duplicate shipment line",IF(OR(B153="",E153="",O153=""),"Set shipment, box and destination",IF(AND(C153&lt;&gt;"Inbound",C153&lt;&gt;"Outbound"),"Choose direction",IF(COUNTIFS('Definitions'!$A$8:$A$207,F153)&lt;&gt;1,"Unknown / duplicate part",IF(VLOOKUP(F153,'Definitions'!$A$8:$J$207,3,FALSE)&lt;&gt;"Part","Ship purchasable parts only",IF(OR(NOT(ISNUMBER(H153)),H153&lt;0,MOD(H153,1)&lt;&gt;0,NOT(ISNUMBER(I153)),I153&lt;0,MOD(I153,1)&lt;&gt;0,NOT(ISNUMBER(J153)),J153&lt;0,MOD(J153,1)&lt;&gt;0),"Invalid shipment quantities",IF(I153+J153&gt;H153,"Receipts exceed dispatch",IF(AND(H153&gt;0,NOT(ISNUMBER(L153))),"Set actual dispatch date",IF(C153="Inbound",IF(COUNTIFS('Orders'!$A$8:$A$207,D153)&lt;&gt;1,"Choose a unique order line",IF(VLOOKUP(D153,'Orders'!$A$8:$L$207,4,FALSE)&lt;&gt;F153,"Order part mismatch","OK")),IF(D153&lt;&gt;"","Clear outbound order line",IF(AND(VLOOKUP(F153,'Definitions'!$A$8:$J$207,7,FALSE)="Yes",OR(G153="",H153&lt;&gt;1)),"Serialized outbound: one asset per row",IF(G153="","OK",IF(COUNTIFS('Assets'!$A$8:$A$207,G153)&lt;&gt;1,"Unknown / duplicate asset",IF(VLOOKUP(G153,'Assets'!$A$8:$K$207,2,FALSE)&lt;&gt;F153,"Asset part mismatch",IF(COUNTIFS($G$8:$G$207,G153,$C$8:$C$207,"Outbound")&lt;&gt;1,"Asset dispatched more than once","OK"))))))))))))))))</x:f>
      </x:c>
    </x:row>
    <x:row r="154" ht="22" customHeight="1">
      <x:c r="A154" s="10"/>
      <x:c r="B154" s="10"/>
      <x:c r="C154" s="10"/>
      <x:c r="D154" s="10"/>
      <x:c r="E154" s="10"/>
      <x:c r="F154" s="10"/>
      <x:c r="G154" s="10"/>
      <x:c r="H154" s="12"/>
      <x:c r="I154" s="12"/>
      <x:c r="J154" s="12"/>
      <x:c r="K154" s="11" t="str">
        <x:f>IF(A154="","",MAX(0,H154-I154-J154))</x:f>
      </x:c>
      <x:c r="L154" s="13"/>
      <x:c r="M154" s="13"/>
      <x:c r="N154" s="10"/>
      <x:c r="O154" s="10"/>
      <x:c r="P154" s="9" t="str">
        <x:f>IF(A154="","",IF(COUNTIFS('Shipments'!$A$8:$A$207,A154)&lt;&gt;1,"Duplicate shipment line",IF(OR(B154="",E154="",O154=""),"Set shipment, box and destination",IF(AND(C154&lt;&gt;"Inbound",C154&lt;&gt;"Outbound"),"Choose direction",IF(COUNTIFS('Definitions'!$A$8:$A$207,F154)&lt;&gt;1,"Unknown / duplicate part",IF(VLOOKUP(F154,'Definitions'!$A$8:$J$207,3,FALSE)&lt;&gt;"Part","Ship purchasable parts only",IF(OR(NOT(ISNUMBER(H154)),H154&lt;0,MOD(H154,1)&lt;&gt;0,NOT(ISNUMBER(I154)),I154&lt;0,MOD(I154,1)&lt;&gt;0,NOT(ISNUMBER(J154)),J154&lt;0,MOD(J154,1)&lt;&gt;0),"Invalid shipment quantities",IF(I154+J154&gt;H154,"Receipts exceed dispatch",IF(AND(H154&gt;0,NOT(ISNUMBER(L154))),"Set actual dispatch date",IF(C154="Inbound",IF(COUNTIFS('Orders'!$A$8:$A$207,D154)&lt;&gt;1,"Choose a unique order line",IF(VLOOKUP(D154,'Orders'!$A$8:$L$207,4,FALSE)&lt;&gt;F154,"Order part mismatch","OK")),IF(D154&lt;&gt;"","Clear outbound order line",IF(AND(VLOOKUP(F154,'Definitions'!$A$8:$J$207,7,FALSE)="Yes",OR(G154="",H154&lt;&gt;1)),"Serialized outbound: one asset per row",IF(G154="","OK",IF(COUNTIFS('Assets'!$A$8:$A$207,G154)&lt;&gt;1,"Unknown / duplicate asset",IF(VLOOKUP(G154,'Assets'!$A$8:$K$207,2,FALSE)&lt;&gt;F154,"Asset part mismatch",IF(COUNTIFS($G$8:$G$207,G154,$C$8:$C$207,"Outbound")&lt;&gt;1,"Asset dispatched more than once","OK"))))))))))))))))</x:f>
      </x:c>
    </x:row>
    <x:row r="155" ht="22" customHeight="1">
      <x:c r="A155" s="10"/>
      <x:c r="B155" s="10"/>
      <x:c r="C155" s="10"/>
      <x:c r="D155" s="10"/>
      <x:c r="E155" s="10"/>
      <x:c r="F155" s="10"/>
      <x:c r="G155" s="10"/>
      <x:c r="H155" s="12"/>
      <x:c r="I155" s="12"/>
      <x:c r="J155" s="12"/>
      <x:c r="K155" s="11" t="str">
        <x:f>IF(A155="","",MAX(0,H155-I155-J155))</x:f>
      </x:c>
      <x:c r="L155" s="13"/>
      <x:c r="M155" s="13"/>
      <x:c r="N155" s="10"/>
      <x:c r="O155" s="10"/>
      <x:c r="P155" s="9" t="str">
        <x:f>IF(A155="","",IF(COUNTIFS('Shipments'!$A$8:$A$207,A155)&lt;&gt;1,"Duplicate shipment line",IF(OR(B155="",E155="",O155=""),"Set shipment, box and destination",IF(AND(C155&lt;&gt;"Inbound",C155&lt;&gt;"Outbound"),"Choose direction",IF(COUNTIFS('Definitions'!$A$8:$A$207,F155)&lt;&gt;1,"Unknown / duplicate part",IF(VLOOKUP(F155,'Definitions'!$A$8:$J$207,3,FALSE)&lt;&gt;"Part","Ship purchasable parts only",IF(OR(NOT(ISNUMBER(H155)),H155&lt;0,MOD(H155,1)&lt;&gt;0,NOT(ISNUMBER(I155)),I155&lt;0,MOD(I155,1)&lt;&gt;0,NOT(ISNUMBER(J155)),J155&lt;0,MOD(J155,1)&lt;&gt;0),"Invalid shipment quantities",IF(I155+J155&gt;H155,"Receipts exceed dispatch",IF(AND(H155&gt;0,NOT(ISNUMBER(L155))),"Set actual dispatch date",IF(C155="Inbound",IF(COUNTIFS('Orders'!$A$8:$A$207,D155)&lt;&gt;1,"Choose a unique order line",IF(VLOOKUP(D155,'Orders'!$A$8:$L$207,4,FALSE)&lt;&gt;F155,"Order part mismatch","OK")),IF(D155&lt;&gt;"","Clear outbound order line",IF(AND(VLOOKUP(F155,'Definitions'!$A$8:$J$207,7,FALSE)="Yes",OR(G155="",H155&lt;&gt;1)),"Serialized outbound: one asset per row",IF(G155="","OK",IF(COUNTIFS('Assets'!$A$8:$A$207,G155)&lt;&gt;1,"Unknown / duplicate asset",IF(VLOOKUP(G155,'Assets'!$A$8:$K$207,2,FALSE)&lt;&gt;F155,"Asset part mismatch",IF(COUNTIFS($G$8:$G$207,G155,$C$8:$C$207,"Outbound")&lt;&gt;1,"Asset dispatched more than once","OK"))))))))))))))))</x:f>
      </x:c>
    </x:row>
    <x:row r="156" ht="22" customHeight="1">
      <x:c r="A156" s="10"/>
      <x:c r="B156" s="10"/>
      <x:c r="C156" s="10"/>
      <x:c r="D156" s="10"/>
      <x:c r="E156" s="10"/>
      <x:c r="F156" s="10"/>
      <x:c r="G156" s="10"/>
      <x:c r="H156" s="12"/>
      <x:c r="I156" s="12"/>
      <x:c r="J156" s="12"/>
      <x:c r="K156" s="11" t="str">
        <x:f>IF(A156="","",MAX(0,H156-I156-J156))</x:f>
      </x:c>
      <x:c r="L156" s="13"/>
      <x:c r="M156" s="13"/>
      <x:c r="N156" s="10"/>
      <x:c r="O156" s="10"/>
      <x:c r="P156" s="9" t="str">
        <x:f>IF(A156="","",IF(COUNTIFS('Shipments'!$A$8:$A$207,A156)&lt;&gt;1,"Duplicate shipment line",IF(OR(B156="",E156="",O156=""),"Set shipment, box and destination",IF(AND(C156&lt;&gt;"Inbound",C156&lt;&gt;"Outbound"),"Choose direction",IF(COUNTIFS('Definitions'!$A$8:$A$207,F156)&lt;&gt;1,"Unknown / duplicate part",IF(VLOOKUP(F156,'Definitions'!$A$8:$J$207,3,FALSE)&lt;&gt;"Part","Ship purchasable parts only",IF(OR(NOT(ISNUMBER(H156)),H156&lt;0,MOD(H156,1)&lt;&gt;0,NOT(ISNUMBER(I156)),I156&lt;0,MOD(I156,1)&lt;&gt;0,NOT(ISNUMBER(J156)),J156&lt;0,MOD(J156,1)&lt;&gt;0),"Invalid shipment quantities",IF(I156+J156&gt;H156,"Receipts exceed dispatch",IF(AND(H156&gt;0,NOT(ISNUMBER(L156))),"Set actual dispatch date",IF(C156="Inbound",IF(COUNTIFS('Orders'!$A$8:$A$207,D156)&lt;&gt;1,"Choose a unique order line",IF(VLOOKUP(D156,'Orders'!$A$8:$L$207,4,FALSE)&lt;&gt;F156,"Order part mismatch","OK")),IF(D156&lt;&gt;"","Clear outbound order line",IF(AND(VLOOKUP(F156,'Definitions'!$A$8:$J$207,7,FALSE)="Yes",OR(G156="",H156&lt;&gt;1)),"Serialized outbound: one asset per row",IF(G156="","OK",IF(COUNTIFS('Assets'!$A$8:$A$207,G156)&lt;&gt;1,"Unknown / duplicate asset",IF(VLOOKUP(G156,'Assets'!$A$8:$K$207,2,FALSE)&lt;&gt;F156,"Asset part mismatch",IF(COUNTIFS($G$8:$G$207,G156,$C$8:$C$207,"Outbound")&lt;&gt;1,"Asset dispatched more than once","OK"))))))))))))))))</x:f>
      </x:c>
    </x:row>
    <x:row r="157" ht="22" customHeight="1">
      <x:c r="A157" s="10"/>
      <x:c r="B157" s="10"/>
      <x:c r="C157" s="10"/>
      <x:c r="D157" s="10"/>
      <x:c r="E157" s="10"/>
      <x:c r="F157" s="10"/>
      <x:c r="G157" s="10"/>
      <x:c r="H157" s="12"/>
      <x:c r="I157" s="12"/>
      <x:c r="J157" s="12"/>
      <x:c r="K157" s="11" t="str">
        <x:f>IF(A157="","",MAX(0,H157-I157-J157))</x:f>
      </x:c>
      <x:c r="L157" s="13"/>
      <x:c r="M157" s="13"/>
      <x:c r="N157" s="10"/>
      <x:c r="O157" s="10"/>
      <x:c r="P157" s="9" t="str">
        <x:f>IF(A157="","",IF(COUNTIFS('Shipments'!$A$8:$A$207,A157)&lt;&gt;1,"Duplicate shipment line",IF(OR(B157="",E157="",O157=""),"Set shipment, box and destination",IF(AND(C157&lt;&gt;"Inbound",C157&lt;&gt;"Outbound"),"Choose direction",IF(COUNTIFS('Definitions'!$A$8:$A$207,F157)&lt;&gt;1,"Unknown / duplicate part",IF(VLOOKUP(F157,'Definitions'!$A$8:$J$207,3,FALSE)&lt;&gt;"Part","Ship purchasable parts only",IF(OR(NOT(ISNUMBER(H157)),H157&lt;0,MOD(H157,1)&lt;&gt;0,NOT(ISNUMBER(I157)),I157&lt;0,MOD(I157,1)&lt;&gt;0,NOT(ISNUMBER(J157)),J157&lt;0,MOD(J157,1)&lt;&gt;0),"Invalid shipment quantities",IF(I157+J157&gt;H157,"Receipts exceed dispatch",IF(AND(H157&gt;0,NOT(ISNUMBER(L157))),"Set actual dispatch date",IF(C157="Inbound",IF(COUNTIFS('Orders'!$A$8:$A$207,D157)&lt;&gt;1,"Choose a unique order line",IF(VLOOKUP(D157,'Orders'!$A$8:$L$207,4,FALSE)&lt;&gt;F157,"Order part mismatch","OK")),IF(D157&lt;&gt;"","Clear outbound order line",IF(AND(VLOOKUP(F157,'Definitions'!$A$8:$J$207,7,FALSE)="Yes",OR(G157="",H157&lt;&gt;1)),"Serialized outbound: one asset per row",IF(G157="","OK",IF(COUNTIFS('Assets'!$A$8:$A$207,G157)&lt;&gt;1,"Unknown / duplicate asset",IF(VLOOKUP(G157,'Assets'!$A$8:$K$207,2,FALSE)&lt;&gt;F157,"Asset part mismatch",IF(COUNTIFS($G$8:$G$207,G157,$C$8:$C$207,"Outbound")&lt;&gt;1,"Asset dispatched more than once","OK"))))))))))))))))</x:f>
      </x:c>
    </x:row>
    <x:row r="158" ht="22" customHeight="1">
      <x:c r="A158" s="10"/>
      <x:c r="B158" s="10"/>
      <x:c r="C158" s="10"/>
      <x:c r="D158" s="10"/>
      <x:c r="E158" s="10"/>
      <x:c r="F158" s="10"/>
      <x:c r="G158" s="10"/>
      <x:c r="H158" s="12"/>
      <x:c r="I158" s="12"/>
      <x:c r="J158" s="12"/>
      <x:c r="K158" s="11" t="str">
        <x:f>IF(A158="","",MAX(0,H158-I158-J158))</x:f>
      </x:c>
      <x:c r="L158" s="13"/>
      <x:c r="M158" s="13"/>
      <x:c r="N158" s="10"/>
      <x:c r="O158" s="10"/>
      <x:c r="P158" s="9" t="str">
        <x:f>IF(A158="","",IF(COUNTIFS('Shipments'!$A$8:$A$207,A158)&lt;&gt;1,"Duplicate shipment line",IF(OR(B158="",E158="",O158=""),"Set shipment, box and destination",IF(AND(C158&lt;&gt;"Inbound",C158&lt;&gt;"Outbound"),"Choose direction",IF(COUNTIFS('Definitions'!$A$8:$A$207,F158)&lt;&gt;1,"Unknown / duplicate part",IF(VLOOKUP(F158,'Definitions'!$A$8:$J$207,3,FALSE)&lt;&gt;"Part","Ship purchasable parts only",IF(OR(NOT(ISNUMBER(H158)),H158&lt;0,MOD(H158,1)&lt;&gt;0,NOT(ISNUMBER(I158)),I158&lt;0,MOD(I158,1)&lt;&gt;0,NOT(ISNUMBER(J158)),J158&lt;0,MOD(J158,1)&lt;&gt;0),"Invalid shipment quantities",IF(I158+J158&gt;H158,"Receipts exceed dispatch",IF(AND(H158&gt;0,NOT(ISNUMBER(L158))),"Set actual dispatch date",IF(C158="Inbound",IF(COUNTIFS('Orders'!$A$8:$A$207,D158)&lt;&gt;1,"Choose a unique order line",IF(VLOOKUP(D158,'Orders'!$A$8:$L$207,4,FALSE)&lt;&gt;F158,"Order part mismatch","OK")),IF(D158&lt;&gt;"","Clear outbound order line",IF(AND(VLOOKUP(F158,'Definitions'!$A$8:$J$207,7,FALSE)="Yes",OR(G158="",H158&lt;&gt;1)),"Serialized outbound: one asset per row",IF(G158="","OK",IF(COUNTIFS('Assets'!$A$8:$A$207,G158)&lt;&gt;1,"Unknown / duplicate asset",IF(VLOOKUP(G158,'Assets'!$A$8:$K$207,2,FALSE)&lt;&gt;F158,"Asset part mismatch",IF(COUNTIFS($G$8:$G$207,G158,$C$8:$C$207,"Outbound")&lt;&gt;1,"Asset dispatched more than once","OK"))))))))))))))))</x:f>
      </x:c>
    </x:row>
    <x:row r="159" ht="22" customHeight="1">
      <x:c r="A159" s="10"/>
      <x:c r="B159" s="10"/>
      <x:c r="C159" s="10"/>
      <x:c r="D159" s="10"/>
      <x:c r="E159" s="10"/>
      <x:c r="F159" s="10"/>
      <x:c r="G159" s="10"/>
      <x:c r="H159" s="12"/>
      <x:c r="I159" s="12"/>
      <x:c r="J159" s="12"/>
      <x:c r="K159" s="11" t="str">
        <x:f>IF(A159="","",MAX(0,H159-I159-J159))</x:f>
      </x:c>
      <x:c r="L159" s="13"/>
      <x:c r="M159" s="13"/>
      <x:c r="N159" s="10"/>
      <x:c r="O159" s="10"/>
      <x:c r="P159" s="9" t="str">
        <x:f>IF(A159="","",IF(COUNTIFS('Shipments'!$A$8:$A$207,A159)&lt;&gt;1,"Duplicate shipment line",IF(OR(B159="",E159="",O159=""),"Set shipment, box and destination",IF(AND(C159&lt;&gt;"Inbound",C159&lt;&gt;"Outbound"),"Choose direction",IF(COUNTIFS('Definitions'!$A$8:$A$207,F159)&lt;&gt;1,"Unknown / duplicate part",IF(VLOOKUP(F159,'Definitions'!$A$8:$J$207,3,FALSE)&lt;&gt;"Part","Ship purchasable parts only",IF(OR(NOT(ISNUMBER(H159)),H159&lt;0,MOD(H159,1)&lt;&gt;0,NOT(ISNUMBER(I159)),I159&lt;0,MOD(I159,1)&lt;&gt;0,NOT(ISNUMBER(J159)),J159&lt;0,MOD(J159,1)&lt;&gt;0),"Invalid shipment quantities",IF(I159+J159&gt;H159,"Receipts exceed dispatch",IF(AND(H159&gt;0,NOT(ISNUMBER(L159))),"Set actual dispatch date",IF(C159="Inbound",IF(COUNTIFS('Orders'!$A$8:$A$207,D159)&lt;&gt;1,"Choose a unique order line",IF(VLOOKUP(D159,'Orders'!$A$8:$L$207,4,FALSE)&lt;&gt;F159,"Order part mismatch","OK")),IF(D159&lt;&gt;"","Clear outbound order line",IF(AND(VLOOKUP(F159,'Definitions'!$A$8:$J$207,7,FALSE)="Yes",OR(G159="",H159&lt;&gt;1)),"Serialized outbound: one asset per row",IF(G159="","OK",IF(COUNTIFS('Assets'!$A$8:$A$207,G159)&lt;&gt;1,"Unknown / duplicate asset",IF(VLOOKUP(G159,'Assets'!$A$8:$K$207,2,FALSE)&lt;&gt;F159,"Asset part mismatch",IF(COUNTIFS($G$8:$G$207,G159,$C$8:$C$207,"Outbound")&lt;&gt;1,"Asset dispatched more than once","OK"))))))))))))))))</x:f>
      </x:c>
    </x:row>
    <x:row r="160" ht="22" customHeight="1">
      <x:c r="A160" s="10"/>
      <x:c r="B160" s="10"/>
      <x:c r="C160" s="10"/>
      <x:c r="D160" s="10"/>
      <x:c r="E160" s="10"/>
      <x:c r="F160" s="10"/>
      <x:c r="G160" s="10"/>
      <x:c r="H160" s="12"/>
      <x:c r="I160" s="12"/>
      <x:c r="J160" s="12"/>
      <x:c r="K160" s="11" t="str">
        <x:f>IF(A160="","",MAX(0,H160-I160-J160))</x:f>
      </x:c>
      <x:c r="L160" s="13"/>
      <x:c r="M160" s="13"/>
      <x:c r="N160" s="10"/>
      <x:c r="O160" s="10"/>
      <x:c r="P160" s="9" t="str">
        <x:f>IF(A160="","",IF(COUNTIFS('Shipments'!$A$8:$A$207,A160)&lt;&gt;1,"Duplicate shipment line",IF(OR(B160="",E160="",O160=""),"Set shipment, box and destination",IF(AND(C160&lt;&gt;"Inbound",C160&lt;&gt;"Outbound"),"Choose direction",IF(COUNTIFS('Definitions'!$A$8:$A$207,F160)&lt;&gt;1,"Unknown / duplicate part",IF(VLOOKUP(F160,'Definitions'!$A$8:$J$207,3,FALSE)&lt;&gt;"Part","Ship purchasable parts only",IF(OR(NOT(ISNUMBER(H160)),H160&lt;0,MOD(H160,1)&lt;&gt;0,NOT(ISNUMBER(I160)),I160&lt;0,MOD(I160,1)&lt;&gt;0,NOT(ISNUMBER(J160)),J160&lt;0,MOD(J160,1)&lt;&gt;0),"Invalid shipment quantities",IF(I160+J160&gt;H160,"Receipts exceed dispatch",IF(AND(H160&gt;0,NOT(ISNUMBER(L160))),"Set actual dispatch date",IF(C160="Inbound",IF(COUNTIFS('Orders'!$A$8:$A$207,D160)&lt;&gt;1,"Choose a unique order line",IF(VLOOKUP(D160,'Orders'!$A$8:$L$207,4,FALSE)&lt;&gt;F160,"Order part mismatch","OK")),IF(D160&lt;&gt;"","Clear outbound order line",IF(AND(VLOOKUP(F160,'Definitions'!$A$8:$J$207,7,FALSE)="Yes",OR(G160="",H160&lt;&gt;1)),"Serialized outbound: one asset per row",IF(G160="","OK",IF(COUNTIFS('Assets'!$A$8:$A$207,G160)&lt;&gt;1,"Unknown / duplicate asset",IF(VLOOKUP(G160,'Assets'!$A$8:$K$207,2,FALSE)&lt;&gt;F160,"Asset part mismatch",IF(COUNTIFS($G$8:$G$207,G160,$C$8:$C$207,"Outbound")&lt;&gt;1,"Asset dispatched more than once","OK"))))))))))))))))</x:f>
      </x:c>
    </x:row>
    <x:row r="161" ht="22" customHeight="1">
      <x:c r="A161" s="10"/>
      <x:c r="B161" s="10"/>
      <x:c r="C161" s="10"/>
      <x:c r="D161" s="10"/>
      <x:c r="E161" s="10"/>
      <x:c r="F161" s="10"/>
      <x:c r="G161" s="10"/>
      <x:c r="H161" s="12"/>
      <x:c r="I161" s="12"/>
      <x:c r="J161" s="12"/>
      <x:c r="K161" s="11" t="str">
        <x:f>IF(A161="","",MAX(0,H161-I161-J161))</x:f>
      </x:c>
      <x:c r="L161" s="13"/>
      <x:c r="M161" s="13"/>
      <x:c r="N161" s="10"/>
      <x:c r="O161" s="10"/>
      <x:c r="P161" s="9" t="str">
        <x:f>IF(A161="","",IF(COUNTIFS('Shipments'!$A$8:$A$207,A161)&lt;&gt;1,"Duplicate shipment line",IF(OR(B161="",E161="",O161=""),"Set shipment, box and destination",IF(AND(C161&lt;&gt;"Inbound",C161&lt;&gt;"Outbound"),"Choose direction",IF(COUNTIFS('Definitions'!$A$8:$A$207,F161)&lt;&gt;1,"Unknown / duplicate part",IF(VLOOKUP(F161,'Definitions'!$A$8:$J$207,3,FALSE)&lt;&gt;"Part","Ship purchasable parts only",IF(OR(NOT(ISNUMBER(H161)),H161&lt;0,MOD(H161,1)&lt;&gt;0,NOT(ISNUMBER(I161)),I161&lt;0,MOD(I161,1)&lt;&gt;0,NOT(ISNUMBER(J161)),J161&lt;0,MOD(J161,1)&lt;&gt;0),"Invalid shipment quantities",IF(I161+J161&gt;H161,"Receipts exceed dispatch",IF(AND(H161&gt;0,NOT(ISNUMBER(L161))),"Set actual dispatch date",IF(C161="Inbound",IF(COUNTIFS('Orders'!$A$8:$A$207,D161)&lt;&gt;1,"Choose a unique order line",IF(VLOOKUP(D161,'Orders'!$A$8:$L$207,4,FALSE)&lt;&gt;F161,"Order part mismatch","OK")),IF(D161&lt;&gt;"","Clear outbound order line",IF(AND(VLOOKUP(F161,'Definitions'!$A$8:$J$207,7,FALSE)="Yes",OR(G161="",H161&lt;&gt;1)),"Serialized outbound: one asset per row",IF(G161="","OK",IF(COUNTIFS('Assets'!$A$8:$A$207,G161)&lt;&gt;1,"Unknown / duplicate asset",IF(VLOOKUP(G161,'Assets'!$A$8:$K$207,2,FALSE)&lt;&gt;F161,"Asset part mismatch",IF(COUNTIFS($G$8:$G$207,G161,$C$8:$C$207,"Outbound")&lt;&gt;1,"Asset dispatched more than once","OK"))))))))))))))))</x:f>
      </x:c>
    </x:row>
    <x:row r="162" ht="22" customHeight="1">
      <x:c r="A162" s="10"/>
      <x:c r="B162" s="10"/>
      <x:c r="C162" s="10"/>
      <x:c r="D162" s="10"/>
      <x:c r="E162" s="10"/>
      <x:c r="F162" s="10"/>
      <x:c r="G162" s="10"/>
      <x:c r="H162" s="12"/>
      <x:c r="I162" s="12"/>
      <x:c r="J162" s="12"/>
      <x:c r="K162" s="11" t="str">
        <x:f>IF(A162="","",MAX(0,H162-I162-J162))</x:f>
      </x:c>
      <x:c r="L162" s="13"/>
      <x:c r="M162" s="13"/>
      <x:c r="N162" s="10"/>
      <x:c r="O162" s="10"/>
      <x:c r="P162" s="9" t="str">
        <x:f>IF(A162="","",IF(COUNTIFS('Shipments'!$A$8:$A$207,A162)&lt;&gt;1,"Duplicate shipment line",IF(OR(B162="",E162="",O162=""),"Set shipment, box and destination",IF(AND(C162&lt;&gt;"Inbound",C162&lt;&gt;"Outbound"),"Choose direction",IF(COUNTIFS('Definitions'!$A$8:$A$207,F162)&lt;&gt;1,"Unknown / duplicate part",IF(VLOOKUP(F162,'Definitions'!$A$8:$J$207,3,FALSE)&lt;&gt;"Part","Ship purchasable parts only",IF(OR(NOT(ISNUMBER(H162)),H162&lt;0,MOD(H162,1)&lt;&gt;0,NOT(ISNUMBER(I162)),I162&lt;0,MOD(I162,1)&lt;&gt;0,NOT(ISNUMBER(J162)),J162&lt;0,MOD(J162,1)&lt;&gt;0),"Invalid shipment quantities",IF(I162+J162&gt;H162,"Receipts exceed dispatch",IF(AND(H162&gt;0,NOT(ISNUMBER(L162))),"Set actual dispatch date",IF(C162="Inbound",IF(COUNTIFS('Orders'!$A$8:$A$207,D162)&lt;&gt;1,"Choose a unique order line",IF(VLOOKUP(D162,'Orders'!$A$8:$L$207,4,FALSE)&lt;&gt;F162,"Order part mismatch","OK")),IF(D162&lt;&gt;"","Clear outbound order line",IF(AND(VLOOKUP(F162,'Definitions'!$A$8:$J$207,7,FALSE)="Yes",OR(G162="",H162&lt;&gt;1)),"Serialized outbound: one asset per row",IF(G162="","OK",IF(COUNTIFS('Assets'!$A$8:$A$207,G162)&lt;&gt;1,"Unknown / duplicate asset",IF(VLOOKUP(G162,'Assets'!$A$8:$K$207,2,FALSE)&lt;&gt;F162,"Asset part mismatch",IF(COUNTIFS($G$8:$G$207,G162,$C$8:$C$207,"Outbound")&lt;&gt;1,"Asset dispatched more than once","OK"))))))))))))))))</x:f>
      </x:c>
    </x:row>
    <x:row r="163" ht="22" customHeight="1">
      <x:c r="A163" s="10"/>
      <x:c r="B163" s="10"/>
      <x:c r="C163" s="10"/>
      <x:c r="D163" s="10"/>
      <x:c r="E163" s="10"/>
      <x:c r="F163" s="10"/>
      <x:c r="G163" s="10"/>
      <x:c r="H163" s="12"/>
      <x:c r="I163" s="12"/>
      <x:c r="J163" s="12"/>
      <x:c r="K163" s="11" t="str">
        <x:f>IF(A163="","",MAX(0,H163-I163-J163))</x:f>
      </x:c>
      <x:c r="L163" s="13"/>
      <x:c r="M163" s="13"/>
      <x:c r="N163" s="10"/>
      <x:c r="O163" s="10"/>
      <x:c r="P163" s="9" t="str">
        <x:f>IF(A163="","",IF(COUNTIFS('Shipments'!$A$8:$A$207,A163)&lt;&gt;1,"Duplicate shipment line",IF(OR(B163="",E163="",O163=""),"Set shipment, box and destination",IF(AND(C163&lt;&gt;"Inbound",C163&lt;&gt;"Outbound"),"Choose direction",IF(COUNTIFS('Definitions'!$A$8:$A$207,F163)&lt;&gt;1,"Unknown / duplicate part",IF(VLOOKUP(F163,'Definitions'!$A$8:$J$207,3,FALSE)&lt;&gt;"Part","Ship purchasable parts only",IF(OR(NOT(ISNUMBER(H163)),H163&lt;0,MOD(H163,1)&lt;&gt;0,NOT(ISNUMBER(I163)),I163&lt;0,MOD(I163,1)&lt;&gt;0,NOT(ISNUMBER(J163)),J163&lt;0,MOD(J163,1)&lt;&gt;0),"Invalid shipment quantities",IF(I163+J163&gt;H163,"Receipts exceed dispatch",IF(AND(H163&gt;0,NOT(ISNUMBER(L163))),"Set actual dispatch date",IF(C163="Inbound",IF(COUNTIFS('Orders'!$A$8:$A$207,D163)&lt;&gt;1,"Choose a unique order line",IF(VLOOKUP(D163,'Orders'!$A$8:$L$207,4,FALSE)&lt;&gt;F163,"Order part mismatch","OK")),IF(D163&lt;&gt;"","Clear outbound order line",IF(AND(VLOOKUP(F163,'Definitions'!$A$8:$J$207,7,FALSE)="Yes",OR(G163="",H163&lt;&gt;1)),"Serialized outbound: one asset per row",IF(G163="","OK",IF(COUNTIFS('Assets'!$A$8:$A$207,G163)&lt;&gt;1,"Unknown / duplicate asset",IF(VLOOKUP(G163,'Assets'!$A$8:$K$207,2,FALSE)&lt;&gt;F163,"Asset part mismatch",IF(COUNTIFS($G$8:$G$207,G163,$C$8:$C$207,"Outbound")&lt;&gt;1,"Asset dispatched more than once","OK"))))))))))))))))</x:f>
      </x:c>
    </x:row>
    <x:row r="164" ht="22" customHeight="1">
      <x:c r="A164" s="10"/>
      <x:c r="B164" s="10"/>
      <x:c r="C164" s="10"/>
      <x:c r="D164" s="10"/>
      <x:c r="E164" s="10"/>
      <x:c r="F164" s="10"/>
      <x:c r="G164" s="10"/>
      <x:c r="H164" s="12"/>
      <x:c r="I164" s="12"/>
      <x:c r="J164" s="12"/>
      <x:c r="K164" s="11" t="str">
        <x:f>IF(A164="","",MAX(0,H164-I164-J164))</x:f>
      </x:c>
      <x:c r="L164" s="13"/>
      <x:c r="M164" s="13"/>
      <x:c r="N164" s="10"/>
      <x:c r="O164" s="10"/>
      <x:c r="P164" s="9" t="str">
        <x:f>IF(A164="","",IF(COUNTIFS('Shipments'!$A$8:$A$207,A164)&lt;&gt;1,"Duplicate shipment line",IF(OR(B164="",E164="",O164=""),"Set shipment, box and destination",IF(AND(C164&lt;&gt;"Inbound",C164&lt;&gt;"Outbound"),"Choose direction",IF(COUNTIFS('Definitions'!$A$8:$A$207,F164)&lt;&gt;1,"Unknown / duplicate part",IF(VLOOKUP(F164,'Definitions'!$A$8:$J$207,3,FALSE)&lt;&gt;"Part","Ship purchasable parts only",IF(OR(NOT(ISNUMBER(H164)),H164&lt;0,MOD(H164,1)&lt;&gt;0,NOT(ISNUMBER(I164)),I164&lt;0,MOD(I164,1)&lt;&gt;0,NOT(ISNUMBER(J164)),J164&lt;0,MOD(J164,1)&lt;&gt;0),"Invalid shipment quantities",IF(I164+J164&gt;H164,"Receipts exceed dispatch",IF(AND(H164&gt;0,NOT(ISNUMBER(L164))),"Set actual dispatch date",IF(C164="Inbound",IF(COUNTIFS('Orders'!$A$8:$A$207,D164)&lt;&gt;1,"Choose a unique order line",IF(VLOOKUP(D164,'Orders'!$A$8:$L$207,4,FALSE)&lt;&gt;F164,"Order part mismatch","OK")),IF(D164&lt;&gt;"","Clear outbound order line",IF(AND(VLOOKUP(F164,'Definitions'!$A$8:$J$207,7,FALSE)="Yes",OR(G164="",H164&lt;&gt;1)),"Serialized outbound: one asset per row",IF(G164="","OK",IF(COUNTIFS('Assets'!$A$8:$A$207,G164)&lt;&gt;1,"Unknown / duplicate asset",IF(VLOOKUP(G164,'Assets'!$A$8:$K$207,2,FALSE)&lt;&gt;F164,"Asset part mismatch",IF(COUNTIFS($G$8:$G$207,G164,$C$8:$C$207,"Outbound")&lt;&gt;1,"Asset dispatched more than once","OK"))))))))))))))))</x:f>
      </x:c>
    </x:row>
    <x:row r="165" ht="22" customHeight="1">
      <x:c r="A165" s="10"/>
      <x:c r="B165" s="10"/>
      <x:c r="C165" s="10"/>
      <x:c r="D165" s="10"/>
      <x:c r="E165" s="10"/>
      <x:c r="F165" s="10"/>
      <x:c r="G165" s="10"/>
      <x:c r="H165" s="12"/>
      <x:c r="I165" s="12"/>
      <x:c r="J165" s="12"/>
      <x:c r="K165" s="11" t="str">
        <x:f>IF(A165="","",MAX(0,H165-I165-J165))</x:f>
      </x:c>
      <x:c r="L165" s="13"/>
      <x:c r="M165" s="13"/>
      <x:c r="N165" s="10"/>
      <x:c r="O165" s="10"/>
      <x:c r="P165" s="9" t="str">
        <x:f>IF(A165="","",IF(COUNTIFS('Shipments'!$A$8:$A$207,A165)&lt;&gt;1,"Duplicate shipment line",IF(OR(B165="",E165="",O165=""),"Set shipment, box and destination",IF(AND(C165&lt;&gt;"Inbound",C165&lt;&gt;"Outbound"),"Choose direction",IF(COUNTIFS('Definitions'!$A$8:$A$207,F165)&lt;&gt;1,"Unknown / duplicate part",IF(VLOOKUP(F165,'Definitions'!$A$8:$J$207,3,FALSE)&lt;&gt;"Part","Ship purchasable parts only",IF(OR(NOT(ISNUMBER(H165)),H165&lt;0,MOD(H165,1)&lt;&gt;0,NOT(ISNUMBER(I165)),I165&lt;0,MOD(I165,1)&lt;&gt;0,NOT(ISNUMBER(J165)),J165&lt;0,MOD(J165,1)&lt;&gt;0),"Invalid shipment quantities",IF(I165+J165&gt;H165,"Receipts exceed dispatch",IF(AND(H165&gt;0,NOT(ISNUMBER(L165))),"Set actual dispatch date",IF(C165="Inbound",IF(COUNTIFS('Orders'!$A$8:$A$207,D165)&lt;&gt;1,"Choose a unique order line",IF(VLOOKUP(D165,'Orders'!$A$8:$L$207,4,FALSE)&lt;&gt;F165,"Order part mismatch","OK")),IF(D165&lt;&gt;"","Clear outbound order line",IF(AND(VLOOKUP(F165,'Definitions'!$A$8:$J$207,7,FALSE)="Yes",OR(G165="",H165&lt;&gt;1)),"Serialized outbound: one asset per row",IF(G165="","OK",IF(COUNTIFS('Assets'!$A$8:$A$207,G165)&lt;&gt;1,"Unknown / duplicate asset",IF(VLOOKUP(G165,'Assets'!$A$8:$K$207,2,FALSE)&lt;&gt;F165,"Asset part mismatch",IF(COUNTIFS($G$8:$G$207,G165,$C$8:$C$207,"Outbound")&lt;&gt;1,"Asset dispatched more than once","OK"))))))))))))))))</x:f>
      </x:c>
    </x:row>
    <x:row r="166" ht="22" customHeight="1">
      <x:c r="A166" s="10"/>
      <x:c r="B166" s="10"/>
      <x:c r="C166" s="10"/>
      <x:c r="D166" s="10"/>
      <x:c r="E166" s="10"/>
      <x:c r="F166" s="10"/>
      <x:c r="G166" s="10"/>
      <x:c r="H166" s="12"/>
      <x:c r="I166" s="12"/>
      <x:c r="J166" s="12"/>
      <x:c r="K166" s="11" t="str">
        <x:f>IF(A166="","",MAX(0,H166-I166-J166))</x:f>
      </x:c>
      <x:c r="L166" s="13"/>
      <x:c r="M166" s="13"/>
      <x:c r="N166" s="10"/>
      <x:c r="O166" s="10"/>
      <x:c r="P166" s="9" t="str">
        <x:f>IF(A166="","",IF(COUNTIFS('Shipments'!$A$8:$A$207,A166)&lt;&gt;1,"Duplicate shipment line",IF(OR(B166="",E166="",O166=""),"Set shipment, box and destination",IF(AND(C166&lt;&gt;"Inbound",C166&lt;&gt;"Outbound"),"Choose direction",IF(COUNTIFS('Definitions'!$A$8:$A$207,F166)&lt;&gt;1,"Unknown / duplicate part",IF(VLOOKUP(F166,'Definitions'!$A$8:$J$207,3,FALSE)&lt;&gt;"Part","Ship purchasable parts only",IF(OR(NOT(ISNUMBER(H166)),H166&lt;0,MOD(H166,1)&lt;&gt;0,NOT(ISNUMBER(I166)),I166&lt;0,MOD(I166,1)&lt;&gt;0,NOT(ISNUMBER(J166)),J166&lt;0,MOD(J166,1)&lt;&gt;0),"Invalid shipment quantities",IF(I166+J166&gt;H166,"Receipts exceed dispatch",IF(AND(H166&gt;0,NOT(ISNUMBER(L166))),"Set actual dispatch date",IF(C166="Inbound",IF(COUNTIFS('Orders'!$A$8:$A$207,D166)&lt;&gt;1,"Choose a unique order line",IF(VLOOKUP(D166,'Orders'!$A$8:$L$207,4,FALSE)&lt;&gt;F166,"Order part mismatch","OK")),IF(D166&lt;&gt;"","Clear outbound order line",IF(AND(VLOOKUP(F166,'Definitions'!$A$8:$J$207,7,FALSE)="Yes",OR(G166="",H166&lt;&gt;1)),"Serialized outbound: one asset per row",IF(G166="","OK",IF(COUNTIFS('Assets'!$A$8:$A$207,G166)&lt;&gt;1,"Unknown / duplicate asset",IF(VLOOKUP(G166,'Assets'!$A$8:$K$207,2,FALSE)&lt;&gt;F166,"Asset part mismatch",IF(COUNTIFS($G$8:$G$207,G166,$C$8:$C$207,"Outbound")&lt;&gt;1,"Asset dispatched more than once","OK"))))))))))))))))</x:f>
      </x:c>
    </x:row>
    <x:row r="167" ht="22" customHeight="1">
      <x:c r="A167" s="10"/>
      <x:c r="B167" s="10"/>
      <x:c r="C167" s="10"/>
      <x:c r="D167" s="10"/>
      <x:c r="E167" s="10"/>
      <x:c r="F167" s="10"/>
      <x:c r="G167" s="10"/>
      <x:c r="H167" s="12"/>
      <x:c r="I167" s="12"/>
      <x:c r="J167" s="12"/>
      <x:c r="K167" s="11" t="str">
        <x:f>IF(A167="","",MAX(0,H167-I167-J167))</x:f>
      </x:c>
      <x:c r="L167" s="13"/>
      <x:c r="M167" s="13"/>
      <x:c r="N167" s="10"/>
      <x:c r="O167" s="10"/>
      <x:c r="P167" s="9" t="str">
        <x:f>IF(A167="","",IF(COUNTIFS('Shipments'!$A$8:$A$207,A167)&lt;&gt;1,"Duplicate shipment line",IF(OR(B167="",E167="",O167=""),"Set shipment, box and destination",IF(AND(C167&lt;&gt;"Inbound",C167&lt;&gt;"Outbound"),"Choose direction",IF(COUNTIFS('Definitions'!$A$8:$A$207,F167)&lt;&gt;1,"Unknown / duplicate part",IF(VLOOKUP(F167,'Definitions'!$A$8:$J$207,3,FALSE)&lt;&gt;"Part","Ship purchasable parts only",IF(OR(NOT(ISNUMBER(H167)),H167&lt;0,MOD(H167,1)&lt;&gt;0,NOT(ISNUMBER(I167)),I167&lt;0,MOD(I167,1)&lt;&gt;0,NOT(ISNUMBER(J167)),J167&lt;0,MOD(J167,1)&lt;&gt;0),"Invalid shipment quantities",IF(I167+J167&gt;H167,"Receipts exceed dispatch",IF(AND(H167&gt;0,NOT(ISNUMBER(L167))),"Set actual dispatch date",IF(C167="Inbound",IF(COUNTIFS('Orders'!$A$8:$A$207,D167)&lt;&gt;1,"Choose a unique order line",IF(VLOOKUP(D167,'Orders'!$A$8:$L$207,4,FALSE)&lt;&gt;F167,"Order part mismatch","OK")),IF(D167&lt;&gt;"","Clear outbound order line",IF(AND(VLOOKUP(F167,'Definitions'!$A$8:$J$207,7,FALSE)="Yes",OR(G167="",H167&lt;&gt;1)),"Serialized outbound: one asset per row",IF(G167="","OK",IF(COUNTIFS('Assets'!$A$8:$A$207,G167)&lt;&gt;1,"Unknown / duplicate asset",IF(VLOOKUP(G167,'Assets'!$A$8:$K$207,2,FALSE)&lt;&gt;F167,"Asset part mismatch",IF(COUNTIFS($G$8:$G$207,G167,$C$8:$C$207,"Outbound")&lt;&gt;1,"Asset dispatched more than once","OK"))))))))))))))))</x:f>
      </x:c>
    </x:row>
    <x:row r="168" ht="22" customHeight="1">
      <x:c r="A168" s="10"/>
      <x:c r="B168" s="10"/>
      <x:c r="C168" s="10"/>
      <x:c r="D168" s="10"/>
      <x:c r="E168" s="10"/>
      <x:c r="F168" s="10"/>
      <x:c r="G168" s="10"/>
      <x:c r="H168" s="12"/>
      <x:c r="I168" s="12"/>
      <x:c r="J168" s="12"/>
      <x:c r="K168" s="11" t="str">
        <x:f>IF(A168="","",MAX(0,H168-I168-J168))</x:f>
      </x:c>
      <x:c r="L168" s="13"/>
      <x:c r="M168" s="13"/>
      <x:c r="N168" s="10"/>
      <x:c r="O168" s="10"/>
      <x:c r="P168" s="9" t="str">
        <x:f>IF(A168="","",IF(COUNTIFS('Shipments'!$A$8:$A$207,A168)&lt;&gt;1,"Duplicate shipment line",IF(OR(B168="",E168="",O168=""),"Set shipment, box and destination",IF(AND(C168&lt;&gt;"Inbound",C168&lt;&gt;"Outbound"),"Choose direction",IF(COUNTIFS('Definitions'!$A$8:$A$207,F168)&lt;&gt;1,"Unknown / duplicate part",IF(VLOOKUP(F168,'Definitions'!$A$8:$J$207,3,FALSE)&lt;&gt;"Part","Ship purchasable parts only",IF(OR(NOT(ISNUMBER(H168)),H168&lt;0,MOD(H168,1)&lt;&gt;0,NOT(ISNUMBER(I168)),I168&lt;0,MOD(I168,1)&lt;&gt;0,NOT(ISNUMBER(J168)),J168&lt;0,MOD(J168,1)&lt;&gt;0),"Invalid shipment quantities",IF(I168+J168&gt;H168,"Receipts exceed dispatch",IF(AND(H168&gt;0,NOT(ISNUMBER(L168))),"Set actual dispatch date",IF(C168="Inbound",IF(COUNTIFS('Orders'!$A$8:$A$207,D168)&lt;&gt;1,"Choose a unique order line",IF(VLOOKUP(D168,'Orders'!$A$8:$L$207,4,FALSE)&lt;&gt;F168,"Order part mismatch","OK")),IF(D168&lt;&gt;"","Clear outbound order line",IF(AND(VLOOKUP(F168,'Definitions'!$A$8:$J$207,7,FALSE)="Yes",OR(G168="",H168&lt;&gt;1)),"Serialized outbound: one asset per row",IF(G168="","OK",IF(COUNTIFS('Assets'!$A$8:$A$207,G168)&lt;&gt;1,"Unknown / duplicate asset",IF(VLOOKUP(G168,'Assets'!$A$8:$K$207,2,FALSE)&lt;&gt;F168,"Asset part mismatch",IF(COUNTIFS($G$8:$G$207,G168,$C$8:$C$207,"Outbound")&lt;&gt;1,"Asset dispatched more than once","OK"))))))))))))))))</x:f>
      </x:c>
    </x:row>
    <x:row r="169" ht="22" customHeight="1">
      <x:c r="A169" s="10"/>
      <x:c r="B169" s="10"/>
      <x:c r="C169" s="10"/>
      <x:c r="D169" s="10"/>
      <x:c r="E169" s="10"/>
      <x:c r="F169" s="10"/>
      <x:c r="G169" s="10"/>
      <x:c r="H169" s="12"/>
      <x:c r="I169" s="12"/>
      <x:c r="J169" s="12"/>
      <x:c r="K169" s="11" t="str">
        <x:f>IF(A169="","",MAX(0,H169-I169-J169))</x:f>
      </x:c>
      <x:c r="L169" s="13"/>
      <x:c r="M169" s="13"/>
      <x:c r="N169" s="10"/>
      <x:c r="O169" s="10"/>
      <x:c r="P169" s="9" t="str">
        <x:f>IF(A169="","",IF(COUNTIFS('Shipments'!$A$8:$A$207,A169)&lt;&gt;1,"Duplicate shipment line",IF(OR(B169="",E169="",O169=""),"Set shipment, box and destination",IF(AND(C169&lt;&gt;"Inbound",C169&lt;&gt;"Outbound"),"Choose direction",IF(COUNTIFS('Definitions'!$A$8:$A$207,F169)&lt;&gt;1,"Unknown / duplicate part",IF(VLOOKUP(F169,'Definitions'!$A$8:$J$207,3,FALSE)&lt;&gt;"Part","Ship purchasable parts only",IF(OR(NOT(ISNUMBER(H169)),H169&lt;0,MOD(H169,1)&lt;&gt;0,NOT(ISNUMBER(I169)),I169&lt;0,MOD(I169,1)&lt;&gt;0,NOT(ISNUMBER(J169)),J169&lt;0,MOD(J169,1)&lt;&gt;0),"Invalid shipment quantities",IF(I169+J169&gt;H169,"Receipts exceed dispatch",IF(AND(H169&gt;0,NOT(ISNUMBER(L169))),"Set actual dispatch date",IF(C169="Inbound",IF(COUNTIFS('Orders'!$A$8:$A$207,D169)&lt;&gt;1,"Choose a unique order line",IF(VLOOKUP(D169,'Orders'!$A$8:$L$207,4,FALSE)&lt;&gt;F169,"Order part mismatch","OK")),IF(D169&lt;&gt;"","Clear outbound order line",IF(AND(VLOOKUP(F169,'Definitions'!$A$8:$J$207,7,FALSE)="Yes",OR(G169="",H169&lt;&gt;1)),"Serialized outbound: one asset per row",IF(G169="","OK",IF(COUNTIFS('Assets'!$A$8:$A$207,G169)&lt;&gt;1,"Unknown / duplicate asset",IF(VLOOKUP(G169,'Assets'!$A$8:$K$207,2,FALSE)&lt;&gt;F169,"Asset part mismatch",IF(COUNTIFS($G$8:$G$207,G169,$C$8:$C$207,"Outbound")&lt;&gt;1,"Asset dispatched more than once","OK"))))))))))))))))</x:f>
      </x:c>
    </x:row>
    <x:row r="170" ht="22" customHeight="1">
      <x:c r="A170" s="10"/>
      <x:c r="B170" s="10"/>
      <x:c r="C170" s="10"/>
      <x:c r="D170" s="10"/>
      <x:c r="E170" s="10"/>
      <x:c r="F170" s="10"/>
      <x:c r="G170" s="10"/>
      <x:c r="H170" s="12"/>
      <x:c r="I170" s="12"/>
      <x:c r="J170" s="12"/>
      <x:c r="K170" s="11" t="str">
        <x:f>IF(A170="","",MAX(0,H170-I170-J170))</x:f>
      </x:c>
      <x:c r="L170" s="13"/>
      <x:c r="M170" s="13"/>
      <x:c r="N170" s="10"/>
      <x:c r="O170" s="10"/>
      <x:c r="P170" s="9" t="str">
        <x:f>IF(A170="","",IF(COUNTIFS('Shipments'!$A$8:$A$207,A170)&lt;&gt;1,"Duplicate shipment line",IF(OR(B170="",E170="",O170=""),"Set shipment, box and destination",IF(AND(C170&lt;&gt;"Inbound",C170&lt;&gt;"Outbound"),"Choose direction",IF(COUNTIFS('Definitions'!$A$8:$A$207,F170)&lt;&gt;1,"Unknown / duplicate part",IF(VLOOKUP(F170,'Definitions'!$A$8:$J$207,3,FALSE)&lt;&gt;"Part","Ship purchasable parts only",IF(OR(NOT(ISNUMBER(H170)),H170&lt;0,MOD(H170,1)&lt;&gt;0,NOT(ISNUMBER(I170)),I170&lt;0,MOD(I170,1)&lt;&gt;0,NOT(ISNUMBER(J170)),J170&lt;0,MOD(J170,1)&lt;&gt;0),"Invalid shipment quantities",IF(I170+J170&gt;H170,"Receipts exceed dispatch",IF(AND(H170&gt;0,NOT(ISNUMBER(L170))),"Set actual dispatch date",IF(C170="Inbound",IF(COUNTIFS('Orders'!$A$8:$A$207,D170)&lt;&gt;1,"Choose a unique order line",IF(VLOOKUP(D170,'Orders'!$A$8:$L$207,4,FALSE)&lt;&gt;F170,"Order part mismatch","OK")),IF(D170&lt;&gt;"","Clear outbound order line",IF(AND(VLOOKUP(F170,'Definitions'!$A$8:$J$207,7,FALSE)="Yes",OR(G170="",H170&lt;&gt;1)),"Serialized outbound: one asset per row",IF(G170="","OK",IF(COUNTIFS('Assets'!$A$8:$A$207,G170)&lt;&gt;1,"Unknown / duplicate asset",IF(VLOOKUP(G170,'Assets'!$A$8:$K$207,2,FALSE)&lt;&gt;F170,"Asset part mismatch",IF(COUNTIFS($G$8:$G$207,G170,$C$8:$C$207,"Outbound")&lt;&gt;1,"Asset dispatched more than once","OK"))))))))))))))))</x:f>
      </x:c>
    </x:row>
    <x:row r="171" ht="22" customHeight="1">
      <x:c r="A171" s="10"/>
      <x:c r="B171" s="10"/>
      <x:c r="C171" s="10"/>
      <x:c r="D171" s="10"/>
      <x:c r="E171" s="10"/>
      <x:c r="F171" s="10"/>
      <x:c r="G171" s="10"/>
      <x:c r="H171" s="12"/>
      <x:c r="I171" s="12"/>
      <x:c r="J171" s="12"/>
      <x:c r="K171" s="11" t="str">
        <x:f>IF(A171="","",MAX(0,H171-I171-J171))</x:f>
      </x:c>
      <x:c r="L171" s="13"/>
      <x:c r="M171" s="13"/>
      <x:c r="N171" s="10"/>
      <x:c r="O171" s="10"/>
      <x:c r="P171" s="9" t="str">
        <x:f>IF(A171="","",IF(COUNTIFS('Shipments'!$A$8:$A$207,A171)&lt;&gt;1,"Duplicate shipment line",IF(OR(B171="",E171="",O171=""),"Set shipment, box and destination",IF(AND(C171&lt;&gt;"Inbound",C171&lt;&gt;"Outbound"),"Choose direction",IF(COUNTIFS('Definitions'!$A$8:$A$207,F171)&lt;&gt;1,"Unknown / duplicate part",IF(VLOOKUP(F171,'Definitions'!$A$8:$J$207,3,FALSE)&lt;&gt;"Part","Ship purchasable parts only",IF(OR(NOT(ISNUMBER(H171)),H171&lt;0,MOD(H171,1)&lt;&gt;0,NOT(ISNUMBER(I171)),I171&lt;0,MOD(I171,1)&lt;&gt;0,NOT(ISNUMBER(J171)),J171&lt;0,MOD(J171,1)&lt;&gt;0),"Invalid shipment quantities",IF(I171+J171&gt;H171,"Receipts exceed dispatch",IF(AND(H171&gt;0,NOT(ISNUMBER(L171))),"Set actual dispatch date",IF(C171="Inbound",IF(COUNTIFS('Orders'!$A$8:$A$207,D171)&lt;&gt;1,"Choose a unique order line",IF(VLOOKUP(D171,'Orders'!$A$8:$L$207,4,FALSE)&lt;&gt;F171,"Order part mismatch","OK")),IF(D171&lt;&gt;"","Clear outbound order line",IF(AND(VLOOKUP(F171,'Definitions'!$A$8:$J$207,7,FALSE)="Yes",OR(G171="",H171&lt;&gt;1)),"Serialized outbound: one asset per row",IF(G171="","OK",IF(COUNTIFS('Assets'!$A$8:$A$207,G171)&lt;&gt;1,"Unknown / duplicate asset",IF(VLOOKUP(G171,'Assets'!$A$8:$K$207,2,FALSE)&lt;&gt;F171,"Asset part mismatch",IF(COUNTIFS($G$8:$G$207,G171,$C$8:$C$207,"Outbound")&lt;&gt;1,"Asset dispatched more than once","OK"))))))))))))))))</x:f>
      </x:c>
    </x:row>
    <x:row r="172" ht="22" customHeight="1">
      <x:c r="A172" s="10"/>
      <x:c r="B172" s="10"/>
      <x:c r="C172" s="10"/>
      <x:c r="D172" s="10"/>
      <x:c r="E172" s="10"/>
      <x:c r="F172" s="10"/>
      <x:c r="G172" s="10"/>
      <x:c r="H172" s="12"/>
      <x:c r="I172" s="12"/>
      <x:c r="J172" s="12"/>
      <x:c r="K172" s="11" t="str">
        <x:f>IF(A172="","",MAX(0,H172-I172-J172))</x:f>
      </x:c>
      <x:c r="L172" s="13"/>
      <x:c r="M172" s="13"/>
      <x:c r="N172" s="10"/>
      <x:c r="O172" s="10"/>
      <x:c r="P172" s="9" t="str">
        <x:f>IF(A172="","",IF(COUNTIFS('Shipments'!$A$8:$A$207,A172)&lt;&gt;1,"Duplicate shipment line",IF(OR(B172="",E172="",O172=""),"Set shipment, box and destination",IF(AND(C172&lt;&gt;"Inbound",C172&lt;&gt;"Outbound"),"Choose direction",IF(COUNTIFS('Definitions'!$A$8:$A$207,F172)&lt;&gt;1,"Unknown / duplicate part",IF(VLOOKUP(F172,'Definitions'!$A$8:$J$207,3,FALSE)&lt;&gt;"Part","Ship purchasable parts only",IF(OR(NOT(ISNUMBER(H172)),H172&lt;0,MOD(H172,1)&lt;&gt;0,NOT(ISNUMBER(I172)),I172&lt;0,MOD(I172,1)&lt;&gt;0,NOT(ISNUMBER(J172)),J172&lt;0,MOD(J172,1)&lt;&gt;0),"Invalid shipment quantities",IF(I172+J172&gt;H172,"Receipts exceed dispatch",IF(AND(H172&gt;0,NOT(ISNUMBER(L172))),"Set actual dispatch date",IF(C172="Inbound",IF(COUNTIFS('Orders'!$A$8:$A$207,D172)&lt;&gt;1,"Choose a unique order line",IF(VLOOKUP(D172,'Orders'!$A$8:$L$207,4,FALSE)&lt;&gt;F172,"Order part mismatch","OK")),IF(D172&lt;&gt;"","Clear outbound order line",IF(AND(VLOOKUP(F172,'Definitions'!$A$8:$J$207,7,FALSE)="Yes",OR(G172="",H172&lt;&gt;1)),"Serialized outbound: one asset per row",IF(G172="","OK",IF(COUNTIFS('Assets'!$A$8:$A$207,G172)&lt;&gt;1,"Unknown / duplicate asset",IF(VLOOKUP(G172,'Assets'!$A$8:$K$207,2,FALSE)&lt;&gt;F172,"Asset part mismatch",IF(COUNTIFS($G$8:$G$207,G172,$C$8:$C$207,"Outbound")&lt;&gt;1,"Asset dispatched more than once","OK"))))))))))))))))</x:f>
      </x:c>
    </x:row>
    <x:row r="173" ht="22" customHeight="1">
      <x:c r="A173" s="10"/>
      <x:c r="B173" s="10"/>
      <x:c r="C173" s="10"/>
      <x:c r="D173" s="10"/>
      <x:c r="E173" s="10"/>
      <x:c r="F173" s="10"/>
      <x:c r="G173" s="10"/>
      <x:c r="H173" s="12"/>
      <x:c r="I173" s="12"/>
      <x:c r="J173" s="12"/>
      <x:c r="K173" s="11" t="str">
        <x:f>IF(A173="","",MAX(0,H173-I173-J173))</x:f>
      </x:c>
      <x:c r="L173" s="13"/>
      <x:c r="M173" s="13"/>
      <x:c r="N173" s="10"/>
      <x:c r="O173" s="10"/>
      <x:c r="P173" s="9" t="str">
        <x:f>IF(A173="","",IF(COUNTIFS('Shipments'!$A$8:$A$207,A173)&lt;&gt;1,"Duplicate shipment line",IF(OR(B173="",E173="",O173=""),"Set shipment, box and destination",IF(AND(C173&lt;&gt;"Inbound",C173&lt;&gt;"Outbound"),"Choose direction",IF(COUNTIFS('Definitions'!$A$8:$A$207,F173)&lt;&gt;1,"Unknown / duplicate part",IF(VLOOKUP(F173,'Definitions'!$A$8:$J$207,3,FALSE)&lt;&gt;"Part","Ship purchasable parts only",IF(OR(NOT(ISNUMBER(H173)),H173&lt;0,MOD(H173,1)&lt;&gt;0,NOT(ISNUMBER(I173)),I173&lt;0,MOD(I173,1)&lt;&gt;0,NOT(ISNUMBER(J173)),J173&lt;0,MOD(J173,1)&lt;&gt;0),"Invalid shipment quantities",IF(I173+J173&gt;H173,"Receipts exceed dispatch",IF(AND(H173&gt;0,NOT(ISNUMBER(L173))),"Set actual dispatch date",IF(C173="Inbound",IF(COUNTIFS('Orders'!$A$8:$A$207,D173)&lt;&gt;1,"Choose a unique order line",IF(VLOOKUP(D173,'Orders'!$A$8:$L$207,4,FALSE)&lt;&gt;F173,"Order part mismatch","OK")),IF(D173&lt;&gt;"","Clear outbound order line",IF(AND(VLOOKUP(F173,'Definitions'!$A$8:$J$207,7,FALSE)="Yes",OR(G173="",H173&lt;&gt;1)),"Serialized outbound: one asset per row",IF(G173="","OK",IF(COUNTIFS('Assets'!$A$8:$A$207,G173)&lt;&gt;1,"Unknown / duplicate asset",IF(VLOOKUP(G173,'Assets'!$A$8:$K$207,2,FALSE)&lt;&gt;F173,"Asset part mismatch",IF(COUNTIFS($G$8:$G$207,G173,$C$8:$C$207,"Outbound")&lt;&gt;1,"Asset dispatched more than once","OK"))))))))))))))))</x:f>
      </x:c>
    </x:row>
    <x:row r="174" ht="22" customHeight="1">
      <x:c r="A174" s="10"/>
      <x:c r="B174" s="10"/>
      <x:c r="C174" s="10"/>
      <x:c r="D174" s="10"/>
      <x:c r="E174" s="10"/>
      <x:c r="F174" s="10"/>
      <x:c r="G174" s="10"/>
      <x:c r="H174" s="12"/>
      <x:c r="I174" s="12"/>
      <x:c r="J174" s="12"/>
      <x:c r="K174" s="11" t="str">
        <x:f>IF(A174="","",MAX(0,H174-I174-J174))</x:f>
      </x:c>
      <x:c r="L174" s="13"/>
      <x:c r="M174" s="13"/>
      <x:c r="N174" s="10"/>
      <x:c r="O174" s="10"/>
      <x:c r="P174" s="9" t="str">
        <x:f>IF(A174="","",IF(COUNTIFS('Shipments'!$A$8:$A$207,A174)&lt;&gt;1,"Duplicate shipment line",IF(OR(B174="",E174="",O174=""),"Set shipment, box and destination",IF(AND(C174&lt;&gt;"Inbound",C174&lt;&gt;"Outbound"),"Choose direction",IF(COUNTIFS('Definitions'!$A$8:$A$207,F174)&lt;&gt;1,"Unknown / duplicate part",IF(VLOOKUP(F174,'Definitions'!$A$8:$J$207,3,FALSE)&lt;&gt;"Part","Ship purchasable parts only",IF(OR(NOT(ISNUMBER(H174)),H174&lt;0,MOD(H174,1)&lt;&gt;0,NOT(ISNUMBER(I174)),I174&lt;0,MOD(I174,1)&lt;&gt;0,NOT(ISNUMBER(J174)),J174&lt;0,MOD(J174,1)&lt;&gt;0),"Invalid shipment quantities",IF(I174+J174&gt;H174,"Receipts exceed dispatch",IF(AND(H174&gt;0,NOT(ISNUMBER(L174))),"Set actual dispatch date",IF(C174="Inbound",IF(COUNTIFS('Orders'!$A$8:$A$207,D174)&lt;&gt;1,"Choose a unique order line",IF(VLOOKUP(D174,'Orders'!$A$8:$L$207,4,FALSE)&lt;&gt;F174,"Order part mismatch","OK")),IF(D174&lt;&gt;"","Clear outbound order line",IF(AND(VLOOKUP(F174,'Definitions'!$A$8:$J$207,7,FALSE)="Yes",OR(G174="",H174&lt;&gt;1)),"Serialized outbound: one asset per row",IF(G174="","OK",IF(COUNTIFS('Assets'!$A$8:$A$207,G174)&lt;&gt;1,"Unknown / duplicate asset",IF(VLOOKUP(G174,'Assets'!$A$8:$K$207,2,FALSE)&lt;&gt;F174,"Asset part mismatch",IF(COUNTIFS($G$8:$G$207,G174,$C$8:$C$207,"Outbound")&lt;&gt;1,"Asset dispatched more than once","OK"))))))))))))))))</x:f>
      </x:c>
    </x:row>
    <x:row r="175" ht="22" customHeight="1">
      <x:c r="A175" s="10"/>
      <x:c r="B175" s="10"/>
      <x:c r="C175" s="10"/>
      <x:c r="D175" s="10"/>
      <x:c r="E175" s="10"/>
      <x:c r="F175" s="10"/>
      <x:c r="G175" s="10"/>
      <x:c r="H175" s="12"/>
      <x:c r="I175" s="12"/>
      <x:c r="J175" s="12"/>
      <x:c r="K175" s="11" t="str">
        <x:f>IF(A175="","",MAX(0,H175-I175-J175))</x:f>
      </x:c>
      <x:c r="L175" s="13"/>
      <x:c r="M175" s="13"/>
      <x:c r="N175" s="10"/>
      <x:c r="O175" s="10"/>
      <x:c r="P175" s="9" t="str">
        <x:f>IF(A175="","",IF(COUNTIFS('Shipments'!$A$8:$A$207,A175)&lt;&gt;1,"Duplicate shipment line",IF(OR(B175="",E175="",O175=""),"Set shipment, box and destination",IF(AND(C175&lt;&gt;"Inbound",C175&lt;&gt;"Outbound"),"Choose direction",IF(COUNTIFS('Definitions'!$A$8:$A$207,F175)&lt;&gt;1,"Unknown / duplicate part",IF(VLOOKUP(F175,'Definitions'!$A$8:$J$207,3,FALSE)&lt;&gt;"Part","Ship purchasable parts only",IF(OR(NOT(ISNUMBER(H175)),H175&lt;0,MOD(H175,1)&lt;&gt;0,NOT(ISNUMBER(I175)),I175&lt;0,MOD(I175,1)&lt;&gt;0,NOT(ISNUMBER(J175)),J175&lt;0,MOD(J175,1)&lt;&gt;0),"Invalid shipment quantities",IF(I175+J175&gt;H175,"Receipts exceed dispatch",IF(AND(H175&gt;0,NOT(ISNUMBER(L175))),"Set actual dispatch date",IF(C175="Inbound",IF(COUNTIFS('Orders'!$A$8:$A$207,D175)&lt;&gt;1,"Choose a unique order line",IF(VLOOKUP(D175,'Orders'!$A$8:$L$207,4,FALSE)&lt;&gt;F175,"Order part mismatch","OK")),IF(D175&lt;&gt;"","Clear outbound order line",IF(AND(VLOOKUP(F175,'Definitions'!$A$8:$J$207,7,FALSE)="Yes",OR(G175="",H175&lt;&gt;1)),"Serialized outbound: one asset per row",IF(G175="","OK",IF(COUNTIFS('Assets'!$A$8:$A$207,G175)&lt;&gt;1,"Unknown / duplicate asset",IF(VLOOKUP(G175,'Assets'!$A$8:$K$207,2,FALSE)&lt;&gt;F175,"Asset part mismatch",IF(COUNTIFS($G$8:$G$207,G175,$C$8:$C$207,"Outbound")&lt;&gt;1,"Asset dispatched more than once","OK"))))))))))))))))</x:f>
      </x:c>
    </x:row>
    <x:row r="176" ht="22" customHeight="1">
      <x:c r="A176" s="10"/>
      <x:c r="B176" s="10"/>
      <x:c r="C176" s="10"/>
      <x:c r="D176" s="10"/>
      <x:c r="E176" s="10"/>
      <x:c r="F176" s="10"/>
      <x:c r="G176" s="10"/>
      <x:c r="H176" s="12"/>
      <x:c r="I176" s="12"/>
      <x:c r="J176" s="12"/>
      <x:c r="K176" s="11" t="str">
        <x:f>IF(A176="","",MAX(0,H176-I176-J176))</x:f>
      </x:c>
      <x:c r="L176" s="13"/>
      <x:c r="M176" s="13"/>
      <x:c r="N176" s="10"/>
      <x:c r="O176" s="10"/>
      <x:c r="P176" s="9" t="str">
        <x:f>IF(A176="","",IF(COUNTIFS('Shipments'!$A$8:$A$207,A176)&lt;&gt;1,"Duplicate shipment line",IF(OR(B176="",E176="",O176=""),"Set shipment, box and destination",IF(AND(C176&lt;&gt;"Inbound",C176&lt;&gt;"Outbound"),"Choose direction",IF(COUNTIFS('Definitions'!$A$8:$A$207,F176)&lt;&gt;1,"Unknown / duplicate part",IF(VLOOKUP(F176,'Definitions'!$A$8:$J$207,3,FALSE)&lt;&gt;"Part","Ship purchasable parts only",IF(OR(NOT(ISNUMBER(H176)),H176&lt;0,MOD(H176,1)&lt;&gt;0,NOT(ISNUMBER(I176)),I176&lt;0,MOD(I176,1)&lt;&gt;0,NOT(ISNUMBER(J176)),J176&lt;0,MOD(J176,1)&lt;&gt;0),"Invalid shipment quantities",IF(I176+J176&gt;H176,"Receipts exceed dispatch",IF(AND(H176&gt;0,NOT(ISNUMBER(L176))),"Set actual dispatch date",IF(C176="Inbound",IF(COUNTIFS('Orders'!$A$8:$A$207,D176)&lt;&gt;1,"Choose a unique order line",IF(VLOOKUP(D176,'Orders'!$A$8:$L$207,4,FALSE)&lt;&gt;F176,"Order part mismatch","OK")),IF(D176&lt;&gt;"","Clear outbound order line",IF(AND(VLOOKUP(F176,'Definitions'!$A$8:$J$207,7,FALSE)="Yes",OR(G176="",H176&lt;&gt;1)),"Serialized outbound: one asset per row",IF(G176="","OK",IF(COUNTIFS('Assets'!$A$8:$A$207,G176)&lt;&gt;1,"Unknown / duplicate asset",IF(VLOOKUP(G176,'Assets'!$A$8:$K$207,2,FALSE)&lt;&gt;F176,"Asset part mismatch",IF(COUNTIFS($G$8:$G$207,G176,$C$8:$C$207,"Outbound")&lt;&gt;1,"Asset dispatched more than once","OK"))))))))))))))))</x:f>
      </x:c>
    </x:row>
    <x:row r="177" ht="22" customHeight="1">
      <x:c r="A177" s="10"/>
      <x:c r="B177" s="10"/>
      <x:c r="C177" s="10"/>
      <x:c r="D177" s="10"/>
      <x:c r="E177" s="10"/>
      <x:c r="F177" s="10"/>
      <x:c r="G177" s="10"/>
      <x:c r="H177" s="12"/>
      <x:c r="I177" s="12"/>
      <x:c r="J177" s="12"/>
      <x:c r="K177" s="11" t="str">
        <x:f>IF(A177="","",MAX(0,H177-I177-J177))</x:f>
      </x:c>
      <x:c r="L177" s="13"/>
      <x:c r="M177" s="13"/>
      <x:c r="N177" s="10"/>
      <x:c r="O177" s="10"/>
      <x:c r="P177" s="9" t="str">
        <x:f>IF(A177="","",IF(COUNTIFS('Shipments'!$A$8:$A$207,A177)&lt;&gt;1,"Duplicate shipment line",IF(OR(B177="",E177="",O177=""),"Set shipment, box and destination",IF(AND(C177&lt;&gt;"Inbound",C177&lt;&gt;"Outbound"),"Choose direction",IF(COUNTIFS('Definitions'!$A$8:$A$207,F177)&lt;&gt;1,"Unknown / duplicate part",IF(VLOOKUP(F177,'Definitions'!$A$8:$J$207,3,FALSE)&lt;&gt;"Part","Ship purchasable parts only",IF(OR(NOT(ISNUMBER(H177)),H177&lt;0,MOD(H177,1)&lt;&gt;0,NOT(ISNUMBER(I177)),I177&lt;0,MOD(I177,1)&lt;&gt;0,NOT(ISNUMBER(J177)),J177&lt;0,MOD(J177,1)&lt;&gt;0),"Invalid shipment quantities",IF(I177+J177&gt;H177,"Receipts exceed dispatch",IF(AND(H177&gt;0,NOT(ISNUMBER(L177))),"Set actual dispatch date",IF(C177="Inbound",IF(COUNTIFS('Orders'!$A$8:$A$207,D177)&lt;&gt;1,"Choose a unique order line",IF(VLOOKUP(D177,'Orders'!$A$8:$L$207,4,FALSE)&lt;&gt;F177,"Order part mismatch","OK")),IF(D177&lt;&gt;"","Clear outbound order line",IF(AND(VLOOKUP(F177,'Definitions'!$A$8:$J$207,7,FALSE)="Yes",OR(G177="",H177&lt;&gt;1)),"Serialized outbound: one asset per row",IF(G177="","OK",IF(COUNTIFS('Assets'!$A$8:$A$207,G177)&lt;&gt;1,"Unknown / duplicate asset",IF(VLOOKUP(G177,'Assets'!$A$8:$K$207,2,FALSE)&lt;&gt;F177,"Asset part mismatch",IF(COUNTIFS($G$8:$G$207,G177,$C$8:$C$207,"Outbound")&lt;&gt;1,"Asset dispatched more than once","OK"))))))))))))))))</x:f>
      </x:c>
    </x:row>
    <x:row r="178" ht="22" customHeight="1">
      <x:c r="A178" s="10"/>
      <x:c r="B178" s="10"/>
      <x:c r="C178" s="10"/>
      <x:c r="D178" s="10"/>
      <x:c r="E178" s="10"/>
      <x:c r="F178" s="10"/>
      <x:c r="G178" s="10"/>
      <x:c r="H178" s="12"/>
      <x:c r="I178" s="12"/>
      <x:c r="J178" s="12"/>
      <x:c r="K178" s="11" t="str">
        <x:f>IF(A178="","",MAX(0,H178-I178-J178))</x:f>
      </x:c>
      <x:c r="L178" s="13"/>
      <x:c r="M178" s="13"/>
      <x:c r="N178" s="10"/>
      <x:c r="O178" s="10"/>
      <x:c r="P178" s="9" t="str">
        <x:f>IF(A178="","",IF(COUNTIFS('Shipments'!$A$8:$A$207,A178)&lt;&gt;1,"Duplicate shipment line",IF(OR(B178="",E178="",O178=""),"Set shipment, box and destination",IF(AND(C178&lt;&gt;"Inbound",C178&lt;&gt;"Outbound"),"Choose direction",IF(COUNTIFS('Definitions'!$A$8:$A$207,F178)&lt;&gt;1,"Unknown / duplicate part",IF(VLOOKUP(F178,'Definitions'!$A$8:$J$207,3,FALSE)&lt;&gt;"Part","Ship purchasable parts only",IF(OR(NOT(ISNUMBER(H178)),H178&lt;0,MOD(H178,1)&lt;&gt;0,NOT(ISNUMBER(I178)),I178&lt;0,MOD(I178,1)&lt;&gt;0,NOT(ISNUMBER(J178)),J178&lt;0,MOD(J178,1)&lt;&gt;0),"Invalid shipment quantities",IF(I178+J178&gt;H178,"Receipts exceed dispatch",IF(AND(H178&gt;0,NOT(ISNUMBER(L178))),"Set actual dispatch date",IF(C178="Inbound",IF(COUNTIFS('Orders'!$A$8:$A$207,D178)&lt;&gt;1,"Choose a unique order line",IF(VLOOKUP(D178,'Orders'!$A$8:$L$207,4,FALSE)&lt;&gt;F178,"Order part mismatch","OK")),IF(D178&lt;&gt;"","Clear outbound order line",IF(AND(VLOOKUP(F178,'Definitions'!$A$8:$J$207,7,FALSE)="Yes",OR(G178="",H178&lt;&gt;1)),"Serialized outbound: one asset per row",IF(G178="","OK",IF(COUNTIFS('Assets'!$A$8:$A$207,G178)&lt;&gt;1,"Unknown / duplicate asset",IF(VLOOKUP(G178,'Assets'!$A$8:$K$207,2,FALSE)&lt;&gt;F178,"Asset part mismatch",IF(COUNTIFS($G$8:$G$207,G178,$C$8:$C$207,"Outbound")&lt;&gt;1,"Asset dispatched more than once","OK"))))))))))))))))</x:f>
      </x:c>
    </x:row>
    <x:row r="179" ht="22" customHeight="1">
      <x:c r="A179" s="10"/>
      <x:c r="B179" s="10"/>
      <x:c r="C179" s="10"/>
      <x:c r="D179" s="10"/>
      <x:c r="E179" s="10"/>
      <x:c r="F179" s="10"/>
      <x:c r="G179" s="10"/>
      <x:c r="H179" s="12"/>
      <x:c r="I179" s="12"/>
      <x:c r="J179" s="12"/>
      <x:c r="K179" s="11" t="str">
        <x:f>IF(A179="","",MAX(0,H179-I179-J179))</x:f>
      </x:c>
      <x:c r="L179" s="13"/>
      <x:c r="M179" s="13"/>
      <x:c r="N179" s="10"/>
      <x:c r="O179" s="10"/>
      <x:c r="P179" s="9" t="str">
        <x:f>IF(A179="","",IF(COUNTIFS('Shipments'!$A$8:$A$207,A179)&lt;&gt;1,"Duplicate shipment line",IF(OR(B179="",E179="",O179=""),"Set shipment, box and destination",IF(AND(C179&lt;&gt;"Inbound",C179&lt;&gt;"Outbound"),"Choose direction",IF(COUNTIFS('Definitions'!$A$8:$A$207,F179)&lt;&gt;1,"Unknown / duplicate part",IF(VLOOKUP(F179,'Definitions'!$A$8:$J$207,3,FALSE)&lt;&gt;"Part","Ship purchasable parts only",IF(OR(NOT(ISNUMBER(H179)),H179&lt;0,MOD(H179,1)&lt;&gt;0,NOT(ISNUMBER(I179)),I179&lt;0,MOD(I179,1)&lt;&gt;0,NOT(ISNUMBER(J179)),J179&lt;0,MOD(J179,1)&lt;&gt;0),"Invalid shipment quantities",IF(I179+J179&gt;H179,"Receipts exceed dispatch",IF(AND(H179&gt;0,NOT(ISNUMBER(L179))),"Set actual dispatch date",IF(C179="Inbound",IF(COUNTIFS('Orders'!$A$8:$A$207,D179)&lt;&gt;1,"Choose a unique order line",IF(VLOOKUP(D179,'Orders'!$A$8:$L$207,4,FALSE)&lt;&gt;F179,"Order part mismatch","OK")),IF(D179&lt;&gt;"","Clear outbound order line",IF(AND(VLOOKUP(F179,'Definitions'!$A$8:$J$207,7,FALSE)="Yes",OR(G179="",H179&lt;&gt;1)),"Serialized outbound: one asset per row",IF(G179="","OK",IF(COUNTIFS('Assets'!$A$8:$A$207,G179)&lt;&gt;1,"Unknown / duplicate asset",IF(VLOOKUP(G179,'Assets'!$A$8:$K$207,2,FALSE)&lt;&gt;F179,"Asset part mismatch",IF(COUNTIFS($G$8:$G$207,G179,$C$8:$C$207,"Outbound")&lt;&gt;1,"Asset dispatched more than once","OK"))))))))))))))))</x:f>
      </x:c>
    </x:row>
    <x:row r="180" ht="22" customHeight="1">
      <x:c r="A180" s="10"/>
      <x:c r="B180" s="10"/>
      <x:c r="C180" s="10"/>
      <x:c r="D180" s="10"/>
      <x:c r="E180" s="10"/>
      <x:c r="F180" s="10"/>
      <x:c r="G180" s="10"/>
      <x:c r="H180" s="12"/>
      <x:c r="I180" s="12"/>
      <x:c r="J180" s="12"/>
      <x:c r="K180" s="11" t="str">
        <x:f>IF(A180="","",MAX(0,H180-I180-J180))</x:f>
      </x:c>
      <x:c r="L180" s="13"/>
      <x:c r="M180" s="13"/>
      <x:c r="N180" s="10"/>
      <x:c r="O180" s="10"/>
      <x:c r="P180" s="9" t="str">
        <x:f>IF(A180="","",IF(COUNTIFS('Shipments'!$A$8:$A$207,A180)&lt;&gt;1,"Duplicate shipment line",IF(OR(B180="",E180="",O180=""),"Set shipment, box and destination",IF(AND(C180&lt;&gt;"Inbound",C180&lt;&gt;"Outbound"),"Choose direction",IF(COUNTIFS('Definitions'!$A$8:$A$207,F180)&lt;&gt;1,"Unknown / duplicate part",IF(VLOOKUP(F180,'Definitions'!$A$8:$J$207,3,FALSE)&lt;&gt;"Part","Ship purchasable parts only",IF(OR(NOT(ISNUMBER(H180)),H180&lt;0,MOD(H180,1)&lt;&gt;0,NOT(ISNUMBER(I180)),I180&lt;0,MOD(I180,1)&lt;&gt;0,NOT(ISNUMBER(J180)),J180&lt;0,MOD(J180,1)&lt;&gt;0),"Invalid shipment quantities",IF(I180+J180&gt;H180,"Receipts exceed dispatch",IF(AND(H180&gt;0,NOT(ISNUMBER(L180))),"Set actual dispatch date",IF(C180="Inbound",IF(COUNTIFS('Orders'!$A$8:$A$207,D180)&lt;&gt;1,"Choose a unique order line",IF(VLOOKUP(D180,'Orders'!$A$8:$L$207,4,FALSE)&lt;&gt;F180,"Order part mismatch","OK")),IF(D180&lt;&gt;"","Clear outbound order line",IF(AND(VLOOKUP(F180,'Definitions'!$A$8:$J$207,7,FALSE)="Yes",OR(G180="",H180&lt;&gt;1)),"Serialized outbound: one asset per row",IF(G180="","OK",IF(COUNTIFS('Assets'!$A$8:$A$207,G180)&lt;&gt;1,"Unknown / duplicate asset",IF(VLOOKUP(G180,'Assets'!$A$8:$K$207,2,FALSE)&lt;&gt;F180,"Asset part mismatch",IF(COUNTIFS($G$8:$G$207,G180,$C$8:$C$207,"Outbound")&lt;&gt;1,"Asset dispatched more than once","OK"))))))))))))))))</x:f>
      </x:c>
    </x:row>
    <x:row r="181" ht="22" customHeight="1">
      <x:c r="A181" s="10"/>
      <x:c r="B181" s="10"/>
      <x:c r="C181" s="10"/>
      <x:c r="D181" s="10"/>
      <x:c r="E181" s="10"/>
      <x:c r="F181" s="10"/>
      <x:c r="G181" s="10"/>
      <x:c r="H181" s="12"/>
      <x:c r="I181" s="12"/>
      <x:c r="J181" s="12"/>
      <x:c r="K181" s="11" t="str">
        <x:f>IF(A181="","",MAX(0,H181-I181-J181))</x:f>
      </x:c>
      <x:c r="L181" s="13"/>
      <x:c r="M181" s="13"/>
      <x:c r="N181" s="10"/>
      <x:c r="O181" s="10"/>
      <x:c r="P181" s="9" t="str">
        <x:f>IF(A181="","",IF(COUNTIFS('Shipments'!$A$8:$A$207,A181)&lt;&gt;1,"Duplicate shipment line",IF(OR(B181="",E181="",O181=""),"Set shipment, box and destination",IF(AND(C181&lt;&gt;"Inbound",C181&lt;&gt;"Outbound"),"Choose direction",IF(COUNTIFS('Definitions'!$A$8:$A$207,F181)&lt;&gt;1,"Unknown / duplicate part",IF(VLOOKUP(F181,'Definitions'!$A$8:$J$207,3,FALSE)&lt;&gt;"Part","Ship purchasable parts only",IF(OR(NOT(ISNUMBER(H181)),H181&lt;0,MOD(H181,1)&lt;&gt;0,NOT(ISNUMBER(I181)),I181&lt;0,MOD(I181,1)&lt;&gt;0,NOT(ISNUMBER(J181)),J181&lt;0,MOD(J181,1)&lt;&gt;0),"Invalid shipment quantities",IF(I181+J181&gt;H181,"Receipts exceed dispatch",IF(AND(H181&gt;0,NOT(ISNUMBER(L181))),"Set actual dispatch date",IF(C181="Inbound",IF(COUNTIFS('Orders'!$A$8:$A$207,D181)&lt;&gt;1,"Choose a unique order line",IF(VLOOKUP(D181,'Orders'!$A$8:$L$207,4,FALSE)&lt;&gt;F181,"Order part mismatch","OK")),IF(D181&lt;&gt;"","Clear outbound order line",IF(AND(VLOOKUP(F181,'Definitions'!$A$8:$J$207,7,FALSE)="Yes",OR(G181="",H181&lt;&gt;1)),"Serialized outbound: one asset per row",IF(G181="","OK",IF(COUNTIFS('Assets'!$A$8:$A$207,G181)&lt;&gt;1,"Unknown / duplicate asset",IF(VLOOKUP(G181,'Assets'!$A$8:$K$207,2,FALSE)&lt;&gt;F181,"Asset part mismatch",IF(COUNTIFS($G$8:$G$207,G181,$C$8:$C$207,"Outbound")&lt;&gt;1,"Asset dispatched more than once","OK"))))))))))))))))</x:f>
      </x:c>
    </x:row>
    <x:row r="182" ht="22" customHeight="1">
      <x:c r="A182" s="10"/>
      <x:c r="B182" s="10"/>
      <x:c r="C182" s="10"/>
      <x:c r="D182" s="10"/>
      <x:c r="E182" s="10"/>
      <x:c r="F182" s="10"/>
      <x:c r="G182" s="10"/>
      <x:c r="H182" s="12"/>
      <x:c r="I182" s="12"/>
      <x:c r="J182" s="12"/>
      <x:c r="K182" s="11" t="str">
        <x:f>IF(A182="","",MAX(0,H182-I182-J182))</x:f>
      </x:c>
      <x:c r="L182" s="13"/>
      <x:c r="M182" s="13"/>
      <x:c r="N182" s="10"/>
      <x:c r="O182" s="10"/>
      <x:c r="P182" s="9" t="str">
        <x:f>IF(A182="","",IF(COUNTIFS('Shipments'!$A$8:$A$207,A182)&lt;&gt;1,"Duplicate shipment line",IF(OR(B182="",E182="",O182=""),"Set shipment, box and destination",IF(AND(C182&lt;&gt;"Inbound",C182&lt;&gt;"Outbound"),"Choose direction",IF(COUNTIFS('Definitions'!$A$8:$A$207,F182)&lt;&gt;1,"Unknown / duplicate part",IF(VLOOKUP(F182,'Definitions'!$A$8:$J$207,3,FALSE)&lt;&gt;"Part","Ship purchasable parts only",IF(OR(NOT(ISNUMBER(H182)),H182&lt;0,MOD(H182,1)&lt;&gt;0,NOT(ISNUMBER(I182)),I182&lt;0,MOD(I182,1)&lt;&gt;0,NOT(ISNUMBER(J182)),J182&lt;0,MOD(J182,1)&lt;&gt;0),"Invalid shipment quantities",IF(I182+J182&gt;H182,"Receipts exceed dispatch",IF(AND(H182&gt;0,NOT(ISNUMBER(L182))),"Set actual dispatch date",IF(C182="Inbound",IF(COUNTIFS('Orders'!$A$8:$A$207,D182)&lt;&gt;1,"Choose a unique order line",IF(VLOOKUP(D182,'Orders'!$A$8:$L$207,4,FALSE)&lt;&gt;F182,"Order part mismatch","OK")),IF(D182&lt;&gt;"","Clear outbound order line",IF(AND(VLOOKUP(F182,'Definitions'!$A$8:$J$207,7,FALSE)="Yes",OR(G182="",H182&lt;&gt;1)),"Serialized outbound: one asset per row",IF(G182="","OK",IF(COUNTIFS('Assets'!$A$8:$A$207,G182)&lt;&gt;1,"Unknown / duplicate asset",IF(VLOOKUP(G182,'Assets'!$A$8:$K$207,2,FALSE)&lt;&gt;F182,"Asset part mismatch",IF(COUNTIFS($G$8:$G$207,G182,$C$8:$C$207,"Outbound")&lt;&gt;1,"Asset dispatched more than once","OK"))))))))))))))))</x:f>
      </x:c>
    </x:row>
    <x:row r="183" ht="22" customHeight="1">
      <x:c r="A183" s="10"/>
      <x:c r="B183" s="10"/>
      <x:c r="C183" s="10"/>
      <x:c r="D183" s="10"/>
      <x:c r="E183" s="10"/>
      <x:c r="F183" s="10"/>
      <x:c r="G183" s="10"/>
      <x:c r="H183" s="12"/>
      <x:c r="I183" s="12"/>
      <x:c r="J183" s="12"/>
      <x:c r="K183" s="11" t="str">
        <x:f>IF(A183="","",MAX(0,H183-I183-J183))</x:f>
      </x:c>
      <x:c r="L183" s="13"/>
      <x:c r="M183" s="13"/>
      <x:c r="N183" s="10"/>
      <x:c r="O183" s="10"/>
      <x:c r="P183" s="9" t="str">
        <x:f>IF(A183="","",IF(COUNTIFS('Shipments'!$A$8:$A$207,A183)&lt;&gt;1,"Duplicate shipment line",IF(OR(B183="",E183="",O183=""),"Set shipment, box and destination",IF(AND(C183&lt;&gt;"Inbound",C183&lt;&gt;"Outbound"),"Choose direction",IF(COUNTIFS('Definitions'!$A$8:$A$207,F183)&lt;&gt;1,"Unknown / duplicate part",IF(VLOOKUP(F183,'Definitions'!$A$8:$J$207,3,FALSE)&lt;&gt;"Part","Ship purchasable parts only",IF(OR(NOT(ISNUMBER(H183)),H183&lt;0,MOD(H183,1)&lt;&gt;0,NOT(ISNUMBER(I183)),I183&lt;0,MOD(I183,1)&lt;&gt;0,NOT(ISNUMBER(J183)),J183&lt;0,MOD(J183,1)&lt;&gt;0),"Invalid shipment quantities",IF(I183+J183&gt;H183,"Receipts exceed dispatch",IF(AND(H183&gt;0,NOT(ISNUMBER(L183))),"Set actual dispatch date",IF(C183="Inbound",IF(COUNTIFS('Orders'!$A$8:$A$207,D183)&lt;&gt;1,"Choose a unique order line",IF(VLOOKUP(D183,'Orders'!$A$8:$L$207,4,FALSE)&lt;&gt;F183,"Order part mismatch","OK")),IF(D183&lt;&gt;"","Clear outbound order line",IF(AND(VLOOKUP(F183,'Definitions'!$A$8:$J$207,7,FALSE)="Yes",OR(G183="",H183&lt;&gt;1)),"Serialized outbound: one asset per row",IF(G183="","OK",IF(COUNTIFS('Assets'!$A$8:$A$207,G183)&lt;&gt;1,"Unknown / duplicate asset",IF(VLOOKUP(G183,'Assets'!$A$8:$K$207,2,FALSE)&lt;&gt;F183,"Asset part mismatch",IF(COUNTIFS($G$8:$G$207,G183,$C$8:$C$207,"Outbound")&lt;&gt;1,"Asset dispatched more than once","OK"))))))))))))))))</x:f>
      </x:c>
    </x:row>
    <x:row r="184" ht="22" customHeight="1">
      <x:c r="A184" s="10"/>
      <x:c r="B184" s="10"/>
      <x:c r="C184" s="10"/>
      <x:c r="D184" s="10"/>
      <x:c r="E184" s="10"/>
      <x:c r="F184" s="10"/>
      <x:c r="G184" s="10"/>
      <x:c r="H184" s="12"/>
      <x:c r="I184" s="12"/>
      <x:c r="J184" s="12"/>
      <x:c r="K184" s="11" t="str">
        <x:f>IF(A184="","",MAX(0,H184-I184-J184))</x:f>
      </x:c>
      <x:c r="L184" s="13"/>
      <x:c r="M184" s="13"/>
      <x:c r="N184" s="10"/>
      <x:c r="O184" s="10"/>
      <x:c r="P184" s="9" t="str">
        <x:f>IF(A184="","",IF(COUNTIFS('Shipments'!$A$8:$A$207,A184)&lt;&gt;1,"Duplicate shipment line",IF(OR(B184="",E184="",O184=""),"Set shipment, box and destination",IF(AND(C184&lt;&gt;"Inbound",C184&lt;&gt;"Outbound"),"Choose direction",IF(COUNTIFS('Definitions'!$A$8:$A$207,F184)&lt;&gt;1,"Unknown / duplicate part",IF(VLOOKUP(F184,'Definitions'!$A$8:$J$207,3,FALSE)&lt;&gt;"Part","Ship purchasable parts only",IF(OR(NOT(ISNUMBER(H184)),H184&lt;0,MOD(H184,1)&lt;&gt;0,NOT(ISNUMBER(I184)),I184&lt;0,MOD(I184,1)&lt;&gt;0,NOT(ISNUMBER(J184)),J184&lt;0,MOD(J184,1)&lt;&gt;0),"Invalid shipment quantities",IF(I184+J184&gt;H184,"Receipts exceed dispatch",IF(AND(H184&gt;0,NOT(ISNUMBER(L184))),"Set actual dispatch date",IF(C184="Inbound",IF(COUNTIFS('Orders'!$A$8:$A$207,D184)&lt;&gt;1,"Choose a unique order line",IF(VLOOKUP(D184,'Orders'!$A$8:$L$207,4,FALSE)&lt;&gt;F184,"Order part mismatch","OK")),IF(D184&lt;&gt;"","Clear outbound order line",IF(AND(VLOOKUP(F184,'Definitions'!$A$8:$J$207,7,FALSE)="Yes",OR(G184="",H184&lt;&gt;1)),"Serialized outbound: one asset per row",IF(G184="","OK",IF(COUNTIFS('Assets'!$A$8:$A$207,G184)&lt;&gt;1,"Unknown / duplicate asset",IF(VLOOKUP(G184,'Assets'!$A$8:$K$207,2,FALSE)&lt;&gt;F184,"Asset part mismatch",IF(COUNTIFS($G$8:$G$207,G184,$C$8:$C$207,"Outbound")&lt;&gt;1,"Asset dispatched more than once","OK"))))))))))))))))</x:f>
      </x:c>
    </x:row>
    <x:row r="185" ht="22" customHeight="1">
      <x:c r="A185" s="10"/>
      <x:c r="B185" s="10"/>
      <x:c r="C185" s="10"/>
      <x:c r="D185" s="10"/>
      <x:c r="E185" s="10"/>
      <x:c r="F185" s="10"/>
      <x:c r="G185" s="10"/>
      <x:c r="H185" s="12"/>
      <x:c r="I185" s="12"/>
      <x:c r="J185" s="12"/>
      <x:c r="K185" s="11" t="str">
        <x:f>IF(A185="","",MAX(0,H185-I185-J185))</x:f>
      </x:c>
      <x:c r="L185" s="13"/>
      <x:c r="M185" s="13"/>
      <x:c r="N185" s="10"/>
      <x:c r="O185" s="10"/>
      <x:c r="P185" s="9" t="str">
        <x:f>IF(A185="","",IF(COUNTIFS('Shipments'!$A$8:$A$207,A185)&lt;&gt;1,"Duplicate shipment line",IF(OR(B185="",E185="",O185=""),"Set shipment, box and destination",IF(AND(C185&lt;&gt;"Inbound",C185&lt;&gt;"Outbound"),"Choose direction",IF(COUNTIFS('Definitions'!$A$8:$A$207,F185)&lt;&gt;1,"Unknown / duplicate part",IF(VLOOKUP(F185,'Definitions'!$A$8:$J$207,3,FALSE)&lt;&gt;"Part","Ship purchasable parts only",IF(OR(NOT(ISNUMBER(H185)),H185&lt;0,MOD(H185,1)&lt;&gt;0,NOT(ISNUMBER(I185)),I185&lt;0,MOD(I185,1)&lt;&gt;0,NOT(ISNUMBER(J185)),J185&lt;0,MOD(J185,1)&lt;&gt;0),"Invalid shipment quantities",IF(I185+J185&gt;H185,"Receipts exceed dispatch",IF(AND(H185&gt;0,NOT(ISNUMBER(L185))),"Set actual dispatch date",IF(C185="Inbound",IF(COUNTIFS('Orders'!$A$8:$A$207,D185)&lt;&gt;1,"Choose a unique order line",IF(VLOOKUP(D185,'Orders'!$A$8:$L$207,4,FALSE)&lt;&gt;F185,"Order part mismatch","OK")),IF(D185&lt;&gt;"","Clear outbound order line",IF(AND(VLOOKUP(F185,'Definitions'!$A$8:$J$207,7,FALSE)="Yes",OR(G185="",H185&lt;&gt;1)),"Serialized outbound: one asset per row",IF(G185="","OK",IF(COUNTIFS('Assets'!$A$8:$A$207,G185)&lt;&gt;1,"Unknown / duplicate asset",IF(VLOOKUP(G185,'Assets'!$A$8:$K$207,2,FALSE)&lt;&gt;F185,"Asset part mismatch",IF(COUNTIFS($G$8:$G$207,G185,$C$8:$C$207,"Outbound")&lt;&gt;1,"Asset dispatched more than once","OK"))))))))))))))))</x:f>
      </x:c>
    </x:row>
    <x:row r="186" ht="22" customHeight="1">
      <x:c r="A186" s="10"/>
      <x:c r="B186" s="10"/>
      <x:c r="C186" s="10"/>
      <x:c r="D186" s="10"/>
      <x:c r="E186" s="10"/>
      <x:c r="F186" s="10"/>
      <x:c r="G186" s="10"/>
      <x:c r="H186" s="12"/>
      <x:c r="I186" s="12"/>
      <x:c r="J186" s="12"/>
      <x:c r="K186" s="11" t="str">
        <x:f>IF(A186="","",MAX(0,H186-I186-J186))</x:f>
      </x:c>
      <x:c r="L186" s="13"/>
      <x:c r="M186" s="13"/>
      <x:c r="N186" s="10"/>
      <x:c r="O186" s="10"/>
      <x:c r="P186" s="9" t="str">
        <x:f>IF(A186="","",IF(COUNTIFS('Shipments'!$A$8:$A$207,A186)&lt;&gt;1,"Duplicate shipment line",IF(OR(B186="",E186="",O186=""),"Set shipment, box and destination",IF(AND(C186&lt;&gt;"Inbound",C186&lt;&gt;"Outbound"),"Choose direction",IF(COUNTIFS('Definitions'!$A$8:$A$207,F186)&lt;&gt;1,"Unknown / duplicate part",IF(VLOOKUP(F186,'Definitions'!$A$8:$J$207,3,FALSE)&lt;&gt;"Part","Ship purchasable parts only",IF(OR(NOT(ISNUMBER(H186)),H186&lt;0,MOD(H186,1)&lt;&gt;0,NOT(ISNUMBER(I186)),I186&lt;0,MOD(I186,1)&lt;&gt;0,NOT(ISNUMBER(J186)),J186&lt;0,MOD(J186,1)&lt;&gt;0),"Invalid shipment quantities",IF(I186+J186&gt;H186,"Receipts exceed dispatch",IF(AND(H186&gt;0,NOT(ISNUMBER(L186))),"Set actual dispatch date",IF(C186="Inbound",IF(COUNTIFS('Orders'!$A$8:$A$207,D186)&lt;&gt;1,"Choose a unique order line",IF(VLOOKUP(D186,'Orders'!$A$8:$L$207,4,FALSE)&lt;&gt;F186,"Order part mismatch","OK")),IF(D186&lt;&gt;"","Clear outbound order line",IF(AND(VLOOKUP(F186,'Definitions'!$A$8:$J$207,7,FALSE)="Yes",OR(G186="",H186&lt;&gt;1)),"Serialized outbound: one asset per row",IF(G186="","OK",IF(COUNTIFS('Assets'!$A$8:$A$207,G186)&lt;&gt;1,"Unknown / duplicate asset",IF(VLOOKUP(G186,'Assets'!$A$8:$K$207,2,FALSE)&lt;&gt;F186,"Asset part mismatch",IF(COUNTIFS($G$8:$G$207,G186,$C$8:$C$207,"Outbound")&lt;&gt;1,"Asset dispatched more than once","OK"))))))))))))))))</x:f>
      </x:c>
    </x:row>
    <x:row r="187" ht="22" customHeight="1">
      <x:c r="A187" s="10"/>
      <x:c r="B187" s="10"/>
      <x:c r="C187" s="10"/>
      <x:c r="D187" s="10"/>
      <x:c r="E187" s="10"/>
      <x:c r="F187" s="10"/>
      <x:c r="G187" s="10"/>
      <x:c r="H187" s="12"/>
      <x:c r="I187" s="12"/>
      <x:c r="J187" s="12"/>
      <x:c r="K187" s="11" t="str">
        <x:f>IF(A187="","",MAX(0,H187-I187-J187))</x:f>
      </x:c>
      <x:c r="L187" s="13"/>
      <x:c r="M187" s="13"/>
      <x:c r="N187" s="10"/>
      <x:c r="O187" s="10"/>
      <x:c r="P187" s="9" t="str">
        <x:f>IF(A187="","",IF(COUNTIFS('Shipments'!$A$8:$A$207,A187)&lt;&gt;1,"Duplicate shipment line",IF(OR(B187="",E187="",O187=""),"Set shipment, box and destination",IF(AND(C187&lt;&gt;"Inbound",C187&lt;&gt;"Outbound"),"Choose direction",IF(COUNTIFS('Definitions'!$A$8:$A$207,F187)&lt;&gt;1,"Unknown / duplicate part",IF(VLOOKUP(F187,'Definitions'!$A$8:$J$207,3,FALSE)&lt;&gt;"Part","Ship purchasable parts only",IF(OR(NOT(ISNUMBER(H187)),H187&lt;0,MOD(H187,1)&lt;&gt;0,NOT(ISNUMBER(I187)),I187&lt;0,MOD(I187,1)&lt;&gt;0,NOT(ISNUMBER(J187)),J187&lt;0,MOD(J187,1)&lt;&gt;0),"Invalid shipment quantities",IF(I187+J187&gt;H187,"Receipts exceed dispatch",IF(AND(H187&gt;0,NOT(ISNUMBER(L187))),"Set actual dispatch date",IF(C187="Inbound",IF(COUNTIFS('Orders'!$A$8:$A$207,D187)&lt;&gt;1,"Choose a unique order line",IF(VLOOKUP(D187,'Orders'!$A$8:$L$207,4,FALSE)&lt;&gt;F187,"Order part mismatch","OK")),IF(D187&lt;&gt;"","Clear outbound order line",IF(AND(VLOOKUP(F187,'Definitions'!$A$8:$J$207,7,FALSE)="Yes",OR(G187="",H187&lt;&gt;1)),"Serialized outbound: one asset per row",IF(G187="","OK",IF(COUNTIFS('Assets'!$A$8:$A$207,G187)&lt;&gt;1,"Unknown / duplicate asset",IF(VLOOKUP(G187,'Assets'!$A$8:$K$207,2,FALSE)&lt;&gt;F187,"Asset part mismatch",IF(COUNTIFS($G$8:$G$207,G187,$C$8:$C$207,"Outbound")&lt;&gt;1,"Asset dispatched more than once","OK"))))))))))))))))</x:f>
      </x:c>
    </x:row>
    <x:row r="188" ht="22" customHeight="1">
      <x:c r="A188" s="10"/>
      <x:c r="B188" s="10"/>
      <x:c r="C188" s="10"/>
      <x:c r="D188" s="10"/>
      <x:c r="E188" s="10"/>
      <x:c r="F188" s="10"/>
      <x:c r="G188" s="10"/>
      <x:c r="H188" s="12"/>
      <x:c r="I188" s="12"/>
      <x:c r="J188" s="12"/>
      <x:c r="K188" s="11" t="str">
        <x:f>IF(A188="","",MAX(0,H188-I188-J188))</x:f>
      </x:c>
      <x:c r="L188" s="13"/>
      <x:c r="M188" s="13"/>
      <x:c r="N188" s="10"/>
      <x:c r="O188" s="10"/>
      <x:c r="P188" s="9" t="str">
        <x:f>IF(A188="","",IF(COUNTIFS('Shipments'!$A$8:$A$207,A188)&lt;&gt;1,"Duplicate shipment line",IF(OR(B188="",E188="",O188=""),"Set shipment, box and destination",IF(AND(C188&lt;&gt;"Inbound",C188&lt;&gt;"Outbound"),"Choose direction",IF(COUNTIFS('Definitions'!$A$8:$A$207,F188)&lt;&gt;1,"Unknown / duplicate part",IF(VLOOKUP(F188,'Definitions'!$A$8:$J$207,3,FALSE)&lt;&gt;"Part","Ship purchasable parts only",IF(OR(NOT(ISNUMBER(H188)),H188&lt;0,MOD(H188,1)&lt;&gt;0,NOT(ISNUMBER(I188)),I188&lt;0,MOD(I188,1)&lt;&gt;0,NOT(ISNUMBER(J188)),J188&lt;0,MOD(J188,1)&lt;&gt;0),"Invalid shipment quantities",IF(I188+J188&gt;H188,"Receipts exceed dispatch",IF(AND(H188&gt;0,NOT(ISNUMBER(L188))),"Set actual dispatch date",IF(C188="Inbound",IF(COUNTIFS('Orders'!$A$8:$A$207,D188)&lt;&gt;1,"Choose a unique order line",IF(VLOOKUP(D188,'Orders'!$A$8:$L$207,4,FALSE)&lt;&gt;F188,"Order part mismatch","OK")),IF(D188&lt;&gt;"","Clear outbound order line",IF(AND(VLOOKUP(F188,'Definitions'!$A$8:$J$207,7,FALSE)="Yes",OR(G188="",H188&lt;&gt;1)),"Serialized outbound: one asset per row",IF(G188="","OK",IF(COUNTIFS('Assets'!$A$8:$A$207,G188)&lt;&gt;1,"Unknown / duplicate asset",IF(VLOOKUP(G188,'Assets'!$A$8:$K$207,2,FALSE)&lt;&gt;F188,"Asset part mismatch",IF(COUNTIFS($G$8:$G$207,G188,$C$8:$C$207,"Outbound")&lt;&gt;1,"Asset dispatched more than once","OK"))))))))))))))))</x:f>
      </x:c>
    </x:row>
    <x:row r="189" ht="22" customHeight="1">
      <x:c r="A189" s="10"/>
      <x:c r="B189" s="10"/>
      <x:c r="C189" s="10"/>
      <x:c r="D189" s="10"/>
      <x:c r="E189" s="10"/>
      <x:c r="F189" s="10"/>
      <x:c r="G189" s="10"/>
      <x:c r="H189" s="12"/>
      <x:c r="I189" s="12"/>
      <x:c r="J189" s="12"/>
      <x:c r="K189" s="11" t="str">
        <x:f>IF(A189="","",MAX(0,H189-I189-J189))</x:f>
      </x:c>
      <x:c r="L189" s="13"/>
      <x:c r="M189" s="13"/>
      <x:c r="N189" s="10"/>
      <x:c r="O189" s="10"/>
      <x:c r="P189" s="9" t="str">
        <x:f>IF(A189="","",IF(COUNTIFS('Shipments'!$A$8:$A$207,A189)&lt;&gt;1,"Duplicate shipment line",IF(OR(B189="",E189="",O189=""),"Set shipment, box and destination",IF(AND(C189&lt;&gt;"Inbound",C189&lt;&gt;"Outbound"),"Choose direction",IF(COUNTIFS('Definitions'!$A$8:$A$207,F189)&lt;&gt;1,"Unknown / duplicate part",IF(VLOOKUP(F189,'Definitions'!$A$8:$J$207,3,FALSE)&lt;&gt;"Part","Ship purchasable parts only",IF(OR(NOT(ISNUMBER(H189)),H189&lt;0,MOD(H189,1)&lt;&gt;0,NOT(ISNUMBER(I189)),I189&lt;0,MOD(I189,1)&lt;&gt;0,NOT(ISNUMBER(J189)),J189&lt;0,MOD(J189,1)&lt;&gt;0),"Invalid shipment quantities",IF(I189+J189&gt;H189,"Receipts exceed dispatch",IF(AND(H189&gt;0,NOT(ISNUMBER(L189))),"Set actual dispatch date",IF(C189="Inbound",IF(COUNTIFS('Orders'!$A$8:$A$207,D189)&lt;&gt;1,"Choose a unique order line",IF(VLOOKUP(D189,'Orders'!$A$8:$L$207,4,FALSE)&lt;&gt;F189,"Order part mismatch","OK")),IF(D189&lt;&gt;"","Clear outbound order line",IF(AND(VLOOKUP(F189,'Definitions'!$A$8:$J$207,7,FALSE)="Yes",OR(G189="",H189&lt;&gt;1)),"Serialized outbound: one asset per row",IF(G189="","OK",IF(COUNTIFS('Assets'!$A$8:$A$207,G189)&lt;&gt;1,"Unknown / duplicate asset",IF(VLOOKUP(G189,'Assets'!$A$8:$K$207,2,FALSE)&lt;&gt;F189,"Asset part mismatch",IF(COUNTIFS($G$8:$G$207,G189,$C$8:$C$207,"Outbound")&lt;&gt;1,"Asset dispatched more than once","OK"))))))))))))))))</x:f>
      </x:c>
    </x:row>
    <x:row r="190" ht="22" customHeight="1">
      <x:c r="A190" s="10"/>
      <x:c r="B190" s="10"/>
      <x:c r="C190" s="10"/>
      <x:c r="D190" s="10"/>
      <x:c r="E190" s="10"/>
      <x:c r="F190" s="10"/>
      <x:c r="G190" s="10"/>
      <x:c r="H190" s="12"/>
      <x:c r="I190" s="12"/>
      <x:c r="J190" s="12"/>
      <x:c r="K190" s="11" t="str">
        <x:f>IF(A190="","",MAX(0,H190-I190-J190))</x:f>
      </x:c>
      <x:c r="L190" s="13"/>
      <x:c r="M190" s="13"/>
      <x:c r="N190" s="10"/>
      <x:c r="O190" s="10"/>
      <x:c r="P190" s="9" t="str">
        <x:f>IF(A190="","",IF(COUNTIFS('Shipments'!$A$8:$A$207,A190)&lt;&gt;1,"Duplicate shipment line",IF(OR(B190="",E190="",O190=""),"Set shipment, box and destination",IF(AND(C190&lt;&gt;"Inbound",C190&lt;&gt;"Outbound"),"Choose direction",IF(COUNTIFS('Definitions'!$A$8:$A$207,F190)&lt;&gt;1,"Unknown / duplicate part",IF(VLOOKUP(F190,'Definitions'!$A$8:$J$207,3,FALSE)&lt;&gt;"Part","Ship purchasable parts only",IF(OR(NOT(ISNUMBER(H190)),H190&lt;0,MOD(H190,1)&lt;&gt;0,NOT(ISNUMBER(I190)),I190&lt;0,MOD(I190,1)&lt;&gt;0,NOT(ISNUMBER(J190)),J190&lt;0,MOD(J190,1)&lt;&gt;0),"Invalid shipment quantities",IF(I190+J190&gt;H190,"Receipts exceed dispatch",IF(AND(H190&gt;0,NOT(ISNUMBER(L190))),"Set actual dispatch date",IF(C190="Inbound",IF(COUNTIFS('Orders'!$A$8:$A$207,D190)&lt;&gt;1,"Choose a unique order line",IF(VLOOKUP(D190,'Orders'!$A$8:$L$207,4,FALSE)&lt;&gt;F190,"Order part mismatch","OK")),IF(D190&lt;&gt;"","Clear outbound order line",IF(AND(VLOOKUP(F190,'Definitions'!$A$8:$J$207,7,FALSE)="Yes",OR(G190="",H190&lt;&gt;1)),"Serialized outbound: one asset per row",IF(G190="","OK",IF(COUNTIFS('Assets'!$A$8:$A$207,G190)&lt;&gt;1,"Unknown / duplicate asset",IF(VLOOKUP(G190,'Assets'!$A$8:$K$207,2,FALSE)&lt;&gt;F190,"Asset part mismatch",IF(COUNTIFS($G$8:$G$207,G190,$C$8:$C$207,"Outbound")&lt;&gt;1,"Asset dispatched more than once","OK"))))))))))))))))</x:f>
      </x:c>
    </x:row>
    <x:row r="191" ht="22" customHeight="1">
      <x:c r="A191" s="10"/>
      <x:c r="B191" s="10"/>
      <x:c r="C191" s="10"/>
      <x:c r="D191" s="10"/>
      <x:c r="E191" s="10"/>
      <x:c r="F191" s="10"/>
      <x:c r="G191" s="10"/>
      <x:c r="H191" s="12"/>
      <x:c r="I191" s="12"/>
      <x:c r="J191" s="12"/>
      <x:c r="K191" s="11" t="str">
        <x:f>IF(A191="","",MAX(0,H191-I191-J191))</x:f>
      </x:c>
      <x:c r="L191" s="13"/>
      <x:c r="M191" s="13"/>
      <x:c r="N191" s="10"/>
      <x:c r="O191" s="10"/>
      <x:c r="P191" s="9" t="str">
        <x:f>IF(A191="","",IF(COUNTIFS('Shipments'!$A$8:$A$207,A191)&lt;&gt;1,"Duplicate shipment line",IF(OR(B191="",E191="",O191=""),"Set shipment, box and destination",IF(AND(C191&lt;&gt;"Inbound",C191&lt;&gt;"Outbound"),"Choose direction",IF(COUNTIFS('Definitions'!$A$8:$A$207,F191)&lt;&gt;1,"Unknown / duplicate part",IF(VLOOKUP(F191,'Definitions'!$A$8:$J$207,3,FALSE)&lt;&gt;"Part","Ship purchasable parts only",IF(OR(NOT(ISNUMBER(H191)),H191&lt;0,MOD(H191,1)&lt;&gt;0,NOT(ISNUMBER(I191)),I191&lt;0,MOD(I191,1)&lt;&gt;0,NOT(ISNUMBER(J191)),J191&lt;0,MOD(J191,1)&lt;&gt;0),"Invalid shipment quantities",IF(I191+J191&gt;H191,"Receipts exceed dispatch",IF(AND(H191&gt;0,NOT(ISNUMBER(L191))),"Set actual dispatch date",IF(C191="Inbound",IF(COUNTIFS('Orders'!$A$8:$A$207,D191)&lt;&gt;1,"Choose a unique order line",IF(VLOOKUP(D191,'Orders'!$A$8:$L$207,4,FALSE)&lt;&gt;F191,"Order part mismatch","OK")),IF(D191&lt;&gt;"","Clear outbound order line",IF(AND(VLOOKUP(F191,'Definitions'!$A$8:$J$207,7,FALSE)="Yes",OR(G191="",H191&lt;&gt;1)),"Serialized outbound: one asset per row",IF(G191="","OK",IF(COUNTIFS('Assets'!$A$8:$A$207,G191)&lt;&gt;1,"Unknown / duplicate asset",IF(VLOOKUP(G191,'Assets'!$A$8:$K$207,2,FALSE)&lt;&gt;F191,"Asset part mismatch",IF(COUNTIFS($G$8:$G$207,G191,$C$8:$C$207,"Outbound")&lt;&gt;1,"Asset dispatched more than once","OK"))))))))))))))))</x:f>
      </x:c>
    </x:row>
    <x:row r="192" ht="22" customHeight="1">
      <x:c r="A192" s="10"/>
      <x:c r="B192" s="10"/>
      <x:c r="C192" s="10"/>
      <x:c r="D192" s="10"/>
      <x:c r="E192" s="10"/>
      <x:c r="F192" s="10"/>
      <x:c r="G192" s="10"/>
      <x:c r="H192" s="12"/>
      <x:c r="I192" s="12"/>
      <x:c r="J192" s="12"/>
      <x:c r="K192" s="11" t="str">
        <x:f>IF(A192="","",MAX(0,H192-I192-J192))</x:f>
      </x:c>
      <x:c r="L192" s="13"/>
      <x:c r="M192" s="13"/>
      <x:c r="N192" s="10"/>
      <x:c r="O192" s="10"/>
      <x:c r="P192" s="9" t="str">
        <x:f>IF(A192="","",IF(COUNTIFS('Shipments'!$A$8:$A$207,A192)&lt;&gt;1,"Duplicate shipment line",IF(OR(B192="",E192="",O192=""),"Set shipment, box and destination",IF(AND(C192&lt;&gt;"Inbound",C192&lt;&gt;"Outbound"),"Choose direction",IF(COUNTIFS('Definitions'!$A$8:$A$207,F192)&lt;&gt;1,"Unknown / duplicate part",IF(VLOOKUP(F192,'Definitions'!$A$8:$J$207,3,FALSE)&lt;&gt;"Part","Ship purchasable parts only",IF(OR(NOT(ISNUMBER(H192)),H192&lt;0,MOD(H192,1)&lt;&gt;0,NOT(ISNUMBER(I192)),I192&lt;0,MOD(I192,1)&lt;&gt;0,NOT(ISNUMBER(J192)),J192&lt;0,MOD(J192,1)&lt;&gt;0),"Invalid shipment quantities",IF(I192+J192&gt;H192,"Receipts exceed dispatch",IF(AND(H192&gt;0,NOT(ISNUMBER(L192))),"Set actual dispatch date",IF(C192="Inbound",IF(COUNTIFS('Orders'!$A$8:$A$207,D192)&lt;&gt;1,"Choose a unique order line",IF(VLOOKUP(D192,'Orders'!$A$8:$L$207,4,FALSE)&lt;&gt;F192,"Order part mismatch","OK")),IF(D192&lt;&gt;"","Clear outbound order line",IF(AND(VLOOKUP(F192,'Definitions'!$A$8:$J$207,7,FALSE)="Yes",OR(G192="",H192&lt;&gt;1)),"Serialized outbound: one asset per row",IF(G192="","OK",IF(COUNTIFS('Assets'!$A$8:$A$207,G192)&lt;&gt;1,"Unknown / duplicate asset",IF(VLOOKUP(G192,'Assets'!$A$8:$K$207,2,FALSE)&lt;&gt;F192,"Asset part mismatch",IF(COUNTIFS($G$8:$G$207,G192,$C$8:$C$207,"Outbound")&lt;&gt;1,"Asset dispatched more than once","OK"))))))))))))))))</x:f>
      </x:c>
    </x:row>
    <x:row r="193" ht="22" customHeight="1">
      <x:c r="A193" s="10"/>
      <x:c r="B193" s="10"/>
      <x:c r="C193" s="10"/>
      <x:c r="D193" s="10"/>
      <x:c r="E193" s="10"/>
      <x:c r="F193" s="10"/>
      <x:c r="G193" s="10"/>
      <x:c r="H193" s="12"/>
      <x:c r="I193" s="12"/>
      <x:c r="J193" s="12"/>
      <x:c r="K193" s="11" t="str">
        <x:f>IF(A193="","",MAX(0,H193-I193-J193))</x:f>
      </x:c>
      <x:c r="L193" s="13"/>
      <x:c r="M193" s="13"/>
      <x:c r="N193" s="10"/>
      <x:c r="O193" s="10"/>
      <x:c r="P193" s="9" t="str">
        <x:f>IF(A193="","",IF(COUNTIFS('Shipments'!$A$8:$A$207,A193)&lt;&gt;1,"Duplicate shipment line",IF(OR(B193="",E193="",O193=""),"Set shipment, box and destination",IF(AND(C193&lt;&gt;"Inbound",C193&lt;&gt;"Outbound"),"Choose direction",IF(COUNTIFS('Definitions'!$A$8:$A$207,F193)&lt;&gt;1,"Unknown / duplicate part",IF(VLOOKUP(F193,'Definitions'!$A$8:$J$207,3,FALSE)&lt;&gt;"Part","Ship purchasable parts only",IF(OR(NOT(ISNUMBER(H193)),H193&lt;0,MOD(H193,1)&lt;&gt;0,NOT(ISNUMBER(I193)),I193&lt;0,MOD(I193,1)&lt;&gt;0,NOT(ISNUMBER(J193)),J193&lt;0,MOD(J193,1)&lt;&gt;0),"Invalid shipment quantities",IF(I193+J193&gt;H193,"Receipts exceed dispatch",IF(AND(H193&gt;0,NOT(ISNUMBER(L193))),"Set actual dispatch date",IF(C193="Inbound",IF(COUNTIFS('Orders'!$A$8:$A$207,D193)&lt;&gt;1,"Choose a unique order line",IF(VLOOKUP(D193,'Orders'!$A$8:$L$207,4,FALSE)&lt;&gt;F193,"Order part mismatch","OK")),IF(D193&lt;&gt;"","Clear outbound order line",IF(AND(VLOOKUP(F193,'Definitions'!$A$8:$J$207,7,FALSE)="Yes",OR(G193="",H193&lt;&gt;1)),"Serialized outbound: one asset per row",IF(G193="","OK",IF(COUNTIFS('Assets'!$A$8:$A$207,G193)&lt;&gt;1,"Unknown / duplicate asset",IF(VLOOKUP(G193,'Assets'!$A$8:$K$207,2,FALSE)&lt;&gt;F193,"Asset part mismatch",IF(COUNTIFS($G$8:$G$207,G193,$C$8:$C$207,"Outbound")&lt;&gt;1,"Asset dispatched more than once","OK"))))))))))))))))</x:f>
      </x:c>
    </x:row>
    <x:row r="194" ht="22" customHeight="1">
      <x:c r="A194" s="10"/>
      <x:c r="B194" s="10"/>
      <x:c r="C194" s="10"/>
      <x:c r="D194" s="10"/>
      <x:c r="E194" s="10"/>
      <x:c r="F194" s="10"/>
      <x:c r="G194" s="10"/>
      <x:c r="H194" s="12"/>
      <x:c r="I194" s="12"/>
      <x:c r="J194" s="12"/>
      <x:c r="K194" s="11" t="str">
        <x:f>IF(A194="","",MAX(0,H194-I194-J194))</x:f>
      </x:c>
      <x:c r="L194" s="13"/>
      <x:c r="M194" s="13"/>
      <x:c r="N194" s="10"/>
      <x:c r="O194" s="10"/>
      <x:c r="P194" s="9" t="str">
        <x:f>IF(A194="","",IF(COUNTIFS('Shipments'!$A$8:$A$207,A194)&lt;&gt;1,"Duplicate shipment line",IF(OR(B194="",E194="",O194=""),"Set shipment, box and destination",IF(AND(C194&lt;&gt;"Inbound",C194&lt;&gt;"Outbound"),"Choose direction",IF(COUNTIFS('Definitions'!$A$8:$A$207,F194)&lt;&gt;1,"Unknown / duplicate part",IF(VLOOKUP(F194,'Definitions'!$A$8:$J$207,3,FALSE)&lt;&gt;"Part","Ship purchasable parts only",IF(OR(NOT(ISNUMBER(H194)),H194&lt;0,MOD(H194,1)&lt;&gt;0,NOT(ISNUMBER(I194)),I194&lt;0,MOD(I194,1)&lt;&gt;0,NOT(ISNUMBER(J194)),J194&lt;0,MOD(J194,1)&lt;&gt;0),"Invalid shipment quantities",IF(I194+J194&gt;H194,"Receipts exceed dispatch",IF(AND(H194&gt;0,NOT(ISNUMBER(L194))),"Set actual dispatch date",IF(C194="Inbound",IF(COUNTIFS('Orders'!$A$8:$A$207,D194)&lt;&gt;1,"Choose a unique order line",IF(VLOOKUP(D194,'Orders'!$A$8:$L$207,4,FALSE)&lt;&gt;F194,"Order part mismatch","OK")),IF(D194&lt;&gt;"","Clear outbound order line",IF(AND(VLOOKUP(F194,'Definitions'!$A$8:$J$207,7,FALSE)="Yes",OR(G194="",H194&lt;&gt;1)),"Serialized outbound: one asset per row",IF(G194="","OK",IF(COUNTIFS('Assets'!$A$8:$A$207,G194)&lt;&gt;1,"Unknown / duplicate asset",IF(VLOOKUP(G194,'Assets'!$A$8:$K$207,2,FALSE)&lt;&gt;F194,"Asset part mismatch",IF(COUNTIFS($G$8:$G$207,G194,$C$8:$C$207,"Outbound")&lt;&gt;1,"Asset dispatched more than once","OK"))))))))))))))))</x:f>
      </x:c>
    </x:row>
    <x:row r="195" ht="22" customHeight="1">
      <x:c r="A195" s="10"/>
      <x:c r="B195" s="10"/>
      <x:c r="C195" s="10"/>
      <x:c r="D195" s="10"/>
      <x:c r="E195" s="10"/>
      <x:c r="F195" s="10"/>
      <x:c r="G195" s="10"/>
      <x:c r="H195" s="12"/>
      <x:c r="I195" s="12"/>
      <x:c r="J195" s="12"/>
      <x:c r="K195" s="11" t="str">
        <x:f>IF(A195="","",MAX(0,H195-I195-J195))</x:f>
      </x:c>
      <x:c r="L195" s="13"/>
      <x:c r="M195" s="13"/>
      <x:c r="N195" s="10"/>
      <x:c r="O195" s="10"/>
      <x:c r="P195" s="9" t="str">
        <x:f>IF(A195="","",IF(COUNTIFS('Shipments'!$A$8:$A$207,A195)&lt;&gt;1,"Duplicate shipment line",IF(OR(B195="",E195="",O195=""),"Set shipment, box and destination",IF(AND(C195&lt;&gt;"Inbound",C195&lt;&gt;"Outbound"),"Choose direction",IF(COUNTIFS('Definitions'!$A$8:$A$207,F195)&lt;&gt;1,"Unknown / duplicate part",IF(VLOOKUP(F195,'Definitions'!$A$8:$J$207,3,FALSE)&lt;&gt;"Part","Ship purchasable parts only",IF(OR(NOT(ISNUMBER(H195)),H195&lt;0,MOD(H195,1)&lt;&gt;0,NOT(ISNUMBER(I195)),I195&lt;0,MOD(I195,1)&lt;&gt;0,NOT(ISNUMBER(J195)),J195&lt;0,MOD(J195,1)&lt;&gt;0),"Invalid shipment quantities",IF(I195+J195&gt;H195,"Receipts exceed dispatch",IF(AND(H195&gt;0,NOT(ISNUMBER(L195))),"Set actual dispatch date",IF(C195="Inbound",IF(COUNTIFS('Orders'!$A$8:$A$207,D195)&lt;&gt;1,"Choose a unique order line",IF(VLOOKUP(D195,'Orders'!$A$8:$L$207,4,FALSE)&lt;&gt;F195,"Order part mismatch","OK")),IF(D195&lt;&gt;"","Clear outbound order line",IF(AND(VLOOKUP(F195,'Definitions'!$A$8:$J$207,7,FALSE)="Yes",OR(G195="",H195&lt;&gt;1)),"Serialized outbound: one asset per row",IF(G195="","OK",IF(COUNTIFS('Assets'!$A$8:$A$207,G195)&lt;&gt;1,"Unknown / duplicate asset",IF(VLOOKUP(G195,'Assets'!$A$8:$K$207,2,FALSE)&lt;&gt;F195,"Asset part mismatch",IF(COUNTIFS($G$8:$G$207,G195,$C$8:$C$207,"Outbound")&lt;&gt;1,"Asset dispatched more than once","OK"))))))))))))))))</x:f>
      </x:c>
    </x:row>
    <x:row r="196" ht="22" customHeight="1">
      <x:c r="A196" s="10"/>
      <x:c r="B196" s="10"/>
      <x:c r="C196" s="10"/>
      <x:c r="D196" s="10"/>
      <x:c r="E196" s="10"/>
      <x:c r="F196" s="10"/>
      <x:c r="G196" s="10"/>
      <x:c r="H196" s="12"/>
      <x:c r="I196" s="12"/>
      <x:c r="J196" s="12"/>
      <x:c r="K196" s="11" t="str">
        <x:f>IF(A196="","",MAX(0,H196-I196-J196))</x:f>
      </x:c>
      <x:c r="L196" s="13"/>
      <x:c r="M196" s="13"/>
      <x:c r="N196" s="10"/>
      <x:c r="O196" s="10"/>
      <x:c r="P196" s="9" t="str">
        <x:f>IF(A196="","",IF(COUNTIFS('Shipments'!$A$8:$A$207,A196)&lt;&gt;1,"Duplicate shipment line",IF(OR(B196="",E196="",O196=""),"Set shipment, box and destination",IF(AND(C196&lt;&gt;"Inbound",C196&lt;&gt;"Outbound"),"Choose direction",IF(COUNTIFS('Definitions'!$A$8:$A$207,F196)&lt;&gt;1,"Unknown / duplicate part",IF(VLOOKUP(F196,'Definitions'!$A$8:$J$207,3,FALSE)&lt;&gt;"Part","Ship purchasable parts only",IF(OR(NOT(ISNUMBER(H196)),H196&lt;0,MOD(H196,1)&lt;&gt;0,NOT(ISNUMBER(I196)),I196&lt;0,MOD(I196,1)&lt;&gt;0,NOT(ISNUMBER(J196)),J196&lt;0,MOD(J196,1)&lt;&gt;0),"Invalid shipment quantities",IF(I196+J196&gt;H196,"Receipts exceed dispatch",IF(AND(H196&gt;0,NOT(ISNUMBER(L196))),"Set actual dispatch date",IF(C196="Inbound",IF(COUNTIFS('Orders'!$A$8:$A$207,D196)&lt;&gt;1,"Choose a unique order line",IF(VLOOKUP(D196,'Orders'!$A$8:$L$207,4,FALSE)&lt;&gt;F196,"Order part mismatch","OK")),IF(D196&lt;&gt;"","Clear outbound order line",IF(AND(VLOOKUP(F196,'Definitions'!$A$8:$J$207,7,FALSE)="Yes",OR(G196="",H196&lt;&gt;1)),"Serialized outbound: one asset per row",IF(G196="","OK",IF(COUNTIFS('Assets'!$A$8:$A$207,G196)&lt;&gt;1,"Unknown / duplicate asset",IF(VLOOKUP(G196,'Assets'!$A$8:$K$207,2,FALSE)&lt;&gt;F196,"Asset part mismatch",IF(COUNTIFS($G$8:$G$207,G196,$C$8:$C$207,"Outbound")&lt;&gt;1,"Asset dispatched more than once","OK"))))))))))))))))</x:f>
      </x:c>
    </x:row>
    <x:row r="197" ht="22" customHeight="1">
      <x:c r="A197" s="10"/>
      <x:c r="B197" s="10"/>
      <x:c r="C197" s="10"/>
      <x:c r="D197" s="10"/>
      <x:c r="E197" s="10"/>
      <x:c r="F197" s="10"/>
      <x:c r="G197" s="10"/>
      <x:c r="H197" s="12"/>
      <x:c r="I197" s="12"/>
      <x:c r="J197" s="12"/>
      <x:c r="K197" s="11" t="str">
        <x:f>IF(A197="","",MAX(0,H197-I197-J197))</x:f>
      </x:c>
      <x:c r="L197" s="13"/>
      <x:c r="M197" s="13"/>
      <x:c r="N197" s="10"/>
      <x:c r="O197" s="10"/>
      <x:c r="P197" s="9" t="str">
        <x:f>IF(A197="","",IF(COUNTIFS('Shipments'!$A$8:$A$207,A197)&lt;&gt;1,"Duplicate shipment line",IF(OR(B197="",E197="",O197=""),"Set shipment, box and destination",IF(AND(C197&lt;&gt;"Inbound",C197&lt;&gt;"Outbound"),"Choose direction",IF(COUNTIFS('Definitions'!$A$8:$A$207,F197)&lt;&gt;1,"Unknown / duplicate part",IF(VLOOKUP(F197,'Definitions'!$A$8:$J$207,3,FALSE)&lt;&gt;"Part","Ship purchasable parts only",IF(OR(NOT(ISNUMBER(H197)),H197&lt;0,MOD(H197,1)&lt;&gt;0,NOT(ISNUMBER(I197)),I197&lt;0,MOD(I197,1)&lt;&gt;0,NOT(ISNUMBER(J197)),J197&lt;0,MOD(J197,1)&lt;&gt;0),"Invalid shipment quantities",IF(I197+J197&gt;H197,"Receipts exceed dispatch",IF(AND(H197&gt;0,NOT(ISNUMBER(L197))),"Set actual dispatch date",IF(C197="Inbound",IF(COUNTIFS('Orders'!$A$8:$A$207,D197)&lt;&gt;1,"Choose a unique order line",IF(VLOOKUP(D197,'Orders'!$A$8:$L$207,4,FALSE)&lt;&gt;F197,"Order part mismatch","OK")),IF(D197&lt;&gt;"","Clear outbound order line",IF(AND(VLOOKUP(F197,'Definitions'!$A$8:$J$207,7,FALSE)="Yes",OR(G197="",H197&lt;&gt;1)),"Serialized outbound: one asset per row",IF(G197="","OK",IF(COUNTIFS('Assets'!$A$8:$A$207,G197)&lt;&gt;1,"Unknown / duplicate asset",IF(VLOOKUP(G197,'Assets'!$A$8:$K$207,2,FALSE)&lt;&gt;F197,"Asset part mismatch",IF(COUNTIFS($G$8:$G$207,G197,$C$8:$C$207,"Outbound")&lt;&gt;1,"Asset dispatched more than once","OK"))))))))))))))))</x:f>
      </x:c>
    </x:row>
    <x:row r="198" ht="22" customHeight="1">
      <x:c r="A198" s="10"/>
      <x:c r="B198" s="10"/>
      <x:c r="C198" s="10"/>
      <x:c r="D198" s="10"/>
      <x:c r="E198" s="10"/>
      <x:c r="F198" s="10"/>
      <x:c r="G198" s="10"/>
      <x:c r="H198" s="12"/>
      <x:c r="I198" s="12"/>
      <x:c r="J198" s="12"/>
      <x:c r="K198" s="11" t="str">
        <x:f>IF(A198="","",MAX(0,H198-I198-J198))</x:f>
      </x:c>
      <x:c r="L198" s="13"/>
      <x:c r="M198" s="13"/>
      <x:c r="N198" s="10"/>
      <x:c r="O198" s="10"/>
      <x:c r="P198" s="9" t="str">
        <x:f>IF(A198="","",IF(COUNTIFS('Shipments'!$A$8:$A$207,A198)&lt;&gt;1,"Duplicate shipment line",IF(OR(B198="",E198="",O198=""),"Set shipment, box and destination",IF(AND(C198&lt;&gt;"Inbound",C198&lt;&gt;"Outbound"),"Choose direction",IF(COUNTIFS('Definitions'!$A$8:$A$207,F198)&lt;&gt;1,"Unknown / duplicate part",IF(VLOOKUP(F198,'Definitions'!$A$8:$J$207,3,FALSE)&lt;&gt;"Part","Ship purchasable parts only",IF(OR(NOT(ISNUMBER(H198)),H198&lt;0,MOD(H198,1)&lt;&gt;0,NOT(ISNUMBER(I198)),I198&lt;0,MOD(I198,1)&lt;&gt;0,NOT(ISNUMBER(J198)),J198&lt;0,MOD(J198,1)&lt;&gt;0),"Invalid shipment quantities",IF(I198+J198&gt;H198,"Receipts exceed dispatch",IF(AND(H198&gt;0,NOT(ISNUMBER(L198))),"Set actual dispatch date",IF(C198="Inbound",IF(COUNTIFS('Orders'!$A$8:$A$207,D198)&lt;&gt;1,"Choose a unique order line",IF(VLOOKUP(D198,'Orders'!$A$8:$L$207,4,FALSE)&lt;&gt;F198,"Order part mismatch","OK")),IF(D198&lt;&gt;"","Clear outbound order line",IF(AND(VLOOKUP(F198,'Definitions'!$A$8:$J$207,7,FALSE)="Yes",OR(G198="",H198&lt;&gt;1)),"Serialized outbound: one asset per row",IF(G198="","OK",IF(COUNTIFS('Assets'!$A$8:$A$207,G198)&lt;&gt;1,"Unknown / duplicate asset",IF(VLOOKUP(G198,'Assets'!$A$8:$K$207,2,FALSE)&lt;&gt;F198,"Asset part mismatch",IF(COUNTIFS($G$8:$G$207,G198,$C$8:$C$207,"Outbound")&lt;&gt;1,"Asset dispatched more than once","OK"))))))))))))))))</x:f>
      </x:c>
    </x:row>
    <x:row r="199" ht="22" customHeight="1">
      <x:c r="A199" s="10"/>
      <x:c r="B199" s="10"/>
      <x:c r="C199" s="10"/>
      <x:c r="D199" s="10"/>
      <x:c r="E199" s="10"/>
      <x:c r="F199" s="10"/>
      <x:c r="G199" s="10"/>
      <x:c r="H199" s="12"/>
      <x:c r="I199" s="12"/>
      <x:c r="J199" s="12"/>
      <x:c r="K199" s="11" t="str">
        <x:f>IF(A199="","",MAX(0,H199-I199-J199))</x:f>
      </x:c>
      <x:c r="L199" s="13"/>
      <x:c r="M199" s="13"/>
      <x:c r="N199" s="10"/>
      <x:c r="O199" s="10"/>
      <x:c r="P199" s="9" t="str">
        <x:f>IF(A199="","",IF(COUNTIFS('Shipments'!$A$8:$A$207,A199)&lt;&gt;1,"Duplicate shipment line",IF(OR(B199="",E199="",O199=""),"Set shipment, box and destination",IF(AND(C199&lt;&gt;"Inbound",C199&lt;&gt;"Outbound"),"Choose direction",IF(COUNTIFS('Definitions'!$A$8:$A$207,F199)&lt;&gt;1,"Unknown / duplicate part",IF(VLOOKUP(F199,'Definitions'!$A$8:$J$207,3,FALSE)&lt;&gt;"Part","Ship purchasable parts only",IF(OR(NOT(ISNUMBER(H199)),H199&lt;0,MOD(H199,1)&lt;&gt;0,NOT(ISNUMBER(I199)),I199&lt;0,MOD(I199,1)&lt;&gt;0,NOT(ISNUMBER(J199)),J199&lt;0,MOD(J199,1)&lt;&gt;0),"Invalid shipment quantities",IF(I199+J199&gt;H199,"Receipts exceed dispatch",IF(AND(H199&gt;0,NOT(ISNUMBER(L199))),"Set actual dispatch date",IF(C199="Inbound",IF(COUNTIFS('Orders'!$A$8:$A$207,D199)&lt;&gt;1,"Choose a unique order line",IF(VLOOKUP(D199,'Orders'!$A$8:$L$207,4,FALSE)&lt;&gt;F199,"Order part mismatch","OK")),IF(D199&lt;&gt;"","Clear outbound order line",IF(AND(VLOOKUP(F199,'Definitions'!$A$8:$J$207,7,FALSE)="Yes",OR(G199="",H199&lt;&gt;1)),"Serialized outbound: one asset per row",IF(G199="","OK",IF(COUNTIFS('Assets'!$A$8:$A$207,G199)&lt;&gt;1,"Unknown / duplicate asset",IF(VLOOKUP(G199,'Assets'!$A$8:$K$207,2,FALSE)&lt;&gt;F199,"Asset part mismatch",IF(COUNTIFS($G$8:$G$207,G199,$C$8:$C$207,"Outbound")&lt;&gt;1,"Asset dispatched more than once","OK"))))))))))))))))</x:f>
      </x:c>
    </x:row>
    <x:row r="200" ht="22" customHeight="1">
      <x:c r="A200" s="10"/>
      <x:c r="B200" s="10"/>
      <x:c r="C200" s="10"/>
      <x:c r="D200" s="10"/>
      <x:c r="E200" s="10"/>
      <x:c r="F200" s="10"/>
      <x:c r="G200" s="10"/>
      <x:c r="H200" s="12"/>
      <x:c r="I200" s="12"/>
      <x:c r="J200" s="12"/>
      <x:c r="K200" s="11" t="str">
        <x:f>IF(A200="","",MAX(0,H200-I200-J200))</x:f>
      </x:c>
      <x:c r="L200" s="13"/>
      <x:c r="M200" s="13"/>
      <x:c r="N200" s="10"/>
      <x:c r="O200" s="10"/>
      <x:c r="P200" s="9" t="str">
        <x:f>IF(A200="","",IF(COUNTIFS('Shipments'!$A$8:$A$207,A200)&lt;&gt;1,"Duplicate shipment line",IF(OR(B200="",E200="",O200=""),"Set shipment, box and destination",IF(AND(C200&lt;&gt;"Inbound",C200&lt;&gt;"Outbound"),"Choose direction",IF(COUNTIFS('Definitions'!$A$8:$A$207,F200)&lt;&gt;1,"Unknown / duplicate part",IF(VLOOKUP(F200,'Definitions'!$A$8:$J$207,3,FALSE)&lt;&gt;"Part","Ship purchasable parts only",IF(OR(NOT(ISNUMBER(H200)),H200&lt;0,MOD(H200,1)&lt;&gt;0,NOT(ISNUMBER(I200)),I200&lt;0,MOD(I200,1)&lt;&gt;0,NOT(ISNUMBER(J200)),J200&lt;0,MOD(J200,1)&lt;&gt;0),"Invalid shipment quantities",IF(I200+J200&gt;H200,"Receipts exceed dispatch",IF(AND(H200&gt;0,NOT(ISNUMBER(L200))),"Set actual dispatch date",IF(C200="Inbound",IF(COUNTIFS('Orders'!$A$8:$A$207,D200)&lt;&gt;1,"Choose a unique order line",IF(VLOOKUP(D200,'Orders'!$A$8:$L$207,4,FALSE)&lt;&gt;F200,"Order part mismatch","OK")),IF(D200&lt;&gt;"","Clear outbound order line",IF(AND(VLOOKUP(F200,'Definitions'!$A$8:$J$207,7,FALSE)="Yes",OR(G200="",H200&lt;&gt;1)),"Serialized outbound: one asset per row",IF(G200="","OK",IF(COUNTIFS('Assets'!$A$8:$A$207,G200)&lt;&gt;1,"Unknown / duplicate asset",IF(VLOOKUP(G200,'Assets'!$A$8:$K$207,2,FALSE)&lt;&gt;F200,"Asset part mismatch",IF(COUNTIFS($G$8:$G$207,G200,$C$8:$C$207,"Outbound")&lt;&gt;1,"Asset dispatched more than once","OK"))))))))))))))))</x:f>
      </x:c>
    </x:row>
    <x:row r="201" ht="22" customHeight="1">
      <x:c r="A201" s="10"/>
      <x:c r="B201" s="10"/>
      <x:c r="C201" s="10"/>
      <x:c r="D201" s="10"/>
      <x:c r="E201" s="10"/>
      <x:c r="F201" s="10"/>
      <x:c r="G201" s="10"/>
      <x:c r="H201" s="12"/>
      <x:c r="I201" s="12"/>
      <x:c r="J201" s="12"/>
      <x:c r="K201" s="11" t="str">
        <x:f>IF(A201="","",MAX(0,H201-I201-J201))</x:f>
      </x:c>
      <x:c r="L201" s="13"/>
      <x:c r="M201" s="13"/>
      <x:c r="N201" s="10"/>
      <x:c r="O201" s="10"/>
      <x:c r="P201" s="9" t="str">
        <x:f>IF(A201="","",IF(COUNTIFS('Shipments'!$A$8:$A$207,A201)&lt;&gt;1,"Duplicate shipment line",IF(OR(B201="",E201="",O201=""),"Set shipment, box and destination",IF(AND(C201&lt;&gt;"Inbound",C201&lt;&gt;"Outbound"),"Choose direction",IF(COUNTIFS('Definitions'!$A$8:$A$207,F201)&lt;&gt;1,"Unknown / duplicate part",IF(VLOOKUP(F201,'Definitions'!$A$8:$J$207,3,FALSE)&lt;&gt;"Part","Ship purchasable parts only",IF(OR(NOT(ISNUMBER(H201)),H201&lt;0,MOD(H201,1)&lt;&gt;0,NOT(ISNUMBER(I201)),I201&lt;0,MOD(I201,1)&lt;&gt;0,NOT(ISNUMBER(J201)),J201&lt;0,MOD(J201,1)&lt;&gt;0),"Invalid shipment quantities",IF(I201+J201&gt;H201,"Receipts exceed dispatch",IF(AND(H201&gt;0,NOT(ISNUMBER(L201))),"Set actual dispatch date",IF(C201="Inbound",IF(COUNTIFS('Orders'!$A$8:$A$207,D201)&lt;&gt;1,"Choose a unique order line",IF(VLOOKUP(D201,'Orders'!$A$8:$L$207,4,FALSE)&lt;&gt;F201,"Order part mismatch","OK")),IF(D201&lt;&gt;"","Clear outbound order line",IF(AND(VLOOKUP(F201,'Definitions'!$A$8:$J$207,7,FALSE)="Yes",OR(G201="",H201&lt;&gt;1)),"Serialized outbound: one asset per row",IF(G201="","OK",IF(COUNTIFS('Assets'!$A$8:$A$207,G201)&lt;&gt;1,"Unknown / duplicate asset",IF(VLOOKUP(G201,'Assets'!$A$8:$K$207,2,FALSE)&lt;&gt;F201,"Asset part mismatch",IF(COUNTIFS($G$8:$G$207,G201,$C$8:$C$207,"Outbound")&lt;&gt;1,"Asset dispatched more than once","OK"))))))))))))))))</x:f>
      </x:c>
    </x:row>
    <x:row r="202" ht="22" customHeight="1">
      <x:c r="A202" s="10"/>
      <x:c r="B202" s="10"/>
      <x:c r="C202" s="10"/>
      <x:c r="D202" s="10"/>
      <x:c r="E202" s="10"/>
      <x:c r="F202" s="10"/>
      <x:c r="G202" s="10"/>
      <x:c r="H202" s="12"/>
      <x:c r="I202" s="12"/>
      <x:c r="J202" s="12"/>
      <x:c r="K202" s="11" t="str">
        <x:f>IF(A202="","",MAX(0,H202-I202-J202))</x:f>
      </x:c>
      <x:c r="L202" s="13"/>
      <x:c r="M202" s="13"/>
      <x:c r="N202" s="10"/>
      <x:c r="O202" s="10"/>
      <x:c r="P202" s="9" t="str">
        <x:f>IF(A202="","",IF(COUNTIFS('Shipments'!$A$8:$A$207,A202)&lt;&gt;1,"Duplicate shipment line",IF(OR(B202="",E202="",O202=""),"Set shipment, box and destination",IF(AND(C202&lt;&gt;"Inbound",C202&lt;&gt;"Outbound"),"Choose direction",IF(COUNTIFS('Definitions'!$A$8:$A$207,F202)&lt;&gt;1,"Unknown / duplicate part",IF(VLOOKUP(F202,'Definitions'!$A$8:$J$207,3,FALSE)&lt;&gt;"Part","Ship purchasable parts only",IF(OR(NOT(ISNUMBER(H202)),H202&lt;0,MOD(H202,1)&lt;&gt;0,NOT(ISNUMBER(I202)),I202&lt;0,MOD(I202,1)&lt;&gt;0,NOT(ISNUMBER(J202)),J202&lt;0,MOD(J202,1)&lt;&gt;0),"Invalid shipment quantities",IF(I202+J202&gt;H202,"Receipts exceed dispatch",IF(AND(H202&gt;0,NOT(ISNUMBER(L202))),"Set actual dispatch date",IF(C202="Inbound",IF(COUNTIFS('Orders'!$A$8:$A$207,D202)&lt;&gt;1,"Choose a unique order line",IF(VLOOKUP(D202,'Orders'!$A$8:$L$207,4,FALSE)&lt;&gt;F202,"Order part mismatch","OK")),IF(D202&lt;&gt;"","Clear outbound order line",IF(AND(VLOOKUP(F202,'Definitions'!$A$8:$J$207,7,FALSE)="Yes",OR(G202="",H202&lt;&gt;1)),"Serialized outbound: one asset per row",IF(G202="","OK",IF(COUNTIFS('Assets'!$A$8:$A$207,G202)&lt;&gt;1,"Unknown / duplicate asset",IF(VLOOKUP(G202,'Assets'!$A$8:$K$207,2,FALSE)&lt;&gt;F202,"Asset part mismatch",IF(COUNTIFS($G$8:$G$207,G202,$C$8:$C$207,"Outbound")&lt;&gt;1,"Asset dispatched more than once","OK"))))))))))))))))</x:f>
      </x:c>
    </x:row>
    <x:row r="203" ht="22" customHeight="1">
      <x:c r="A203" s="10"/>
      <x:c r="B203" s="10"/>
      <x:c r="C203" s="10"/>
      <x:c r="D203" s="10"/>
      <x:c r="E203" s="10"/>
      <x:c r="F203" s="10"/>
      <x:c r="G203" s="10"/>
      <x:c r="H203" s="12"/>
      <x:c r="I203" s="12"/>
      <x:c r="J203" s="12"/>
      <x:c r="K203" s="11" t="str">
        <x:f>IF(A203="","",MAX(0,H203-I203-J203))</x:f>
      </x:c>
      <x:c r="L203" s="13"/>
      <x:c r="M203" s="13"/>
      <x:c r="N203" s="10"/>
      <x:c r="O203" s="10"/>
      <x:c r="P203" s="9" t="str">
        <x:f>IF(A203="","",IF(COUNTIFS('Shipments'!$A$8:$A$207,A203)&lt;&gt;1,"Duplicate shipment line",IF(OR(B203="",E203="",O203=""),"Set shipment, box and destination",IF(AND(C203&lt;&gt;"Inbound",C203&lt;&gt;"Outbound"),"Choose direction",IF(COUNTIFS('Definitions'!$A$8:$A$207,F203)&lt;&gt;1,"Unknown / duplicate part",IF(VLOOKUP(F203,'Definitions'!$A$8:$J$207,3,FALSE)&lt;&gt;"Part","Ship purchasable parts only",IF(OR(NOT(ISNUMBER(H203)),H203&lt;0,MOD(H203,1)&lt;&gt;0,NOT(ISNUMBER(I203)),I203&lt;0,MOD(I203,1)&lt;&gt;0,NOT(ISNUMBER(J203)),J203&lt;0,MOD(J203,1)&lt;&gt;0),"Invalid shipment quantities",IF(I203+J203&gt;H203,"Receipts exceed dispatch",IF(AND(H203&gt;0,NOT(ISNUMBER(L203))),"Set actual dispatch date",IF(C203="Inbound",IF(COUNTIFS('Orders'!$A$8:$A$207,D203)&lt;&gt;1,"Choose a unique order line",IF(VLOOKUP(D203,'Orders'!$A$8:$L$207,4,FALSE)&lt;&gt;F203,"Order part mismatch","OK")),IF(D203&lt;&gt;"","Clear outbound order line",IF(AND(VLOOKUP(F203,'Definitions'!$A$8:$J$207,7,FALSE)="Yes",OR(G203="",H203&lt;&gt;1)),"Serialized outbound: one asset per row",IF(G203="","OK",IF(COUNTIFS('Assets'!$A$8:$A$207,G203)&lt;&gt;1,"Unknown / duplicate asset",IF(VLOOKUP(G203,'Assets'!$A$8:$K$207,2,FALSE)&lt;&gt;F203,"Asset part mismatch",IF(COUNTIFS($G$8:$G$207,G203,$C$8:$C$207,"Outbound")&lt;&gt;1,"Asset dispatched more than once","OK"))))))))))))))))</x:f>
      </x:c>
    </x:row>
    <x:row r="204" ht="22" customHeight="1">
      <x:c r="A204" s="10"/>
      <x:c r="B204" s="10"/>
      <x:c r="C204" s="10"/>
      <x:c r="D204" s="10"/>
      <x:c r="E204" s="10"/>
      <x:c r="F204" s="10"/>
      <x:c r="G204" s="10"/>
      <x:c r="H204" s="12"/>
      <x:c r="I204" s="12"/>
      <x:c r="J204" s="12"/>
      <x:c r="K204" s="11" t="str">
        <x:f>IF(A204="","",MAX(0,H204-I204-J204))</x:f>
      </x:c>
      <x:c r="L204" s="13"/>
      <x:c r="M204" s="13"/>
      <x:c r="N204" s="10"/>
      <x:c r="O204" s="10"/>
      <x:c r="P204" s="9" t="str">
        <x:f>IF(A204="","",IF(COUNTIFS('Shipments'!$A$8:$A$207,A204)&lt;&gt;1,"Duplicate shipment line",IF(OR(B204="",E204="",O204=""),"Set shipment, box and destination",IF(AND(C204&lt;&gt;"Inbound",C204&lt;&gt;"Outbound"),"Choose direction",IF(COUNTIFS('Definitions'!$A$8:$A$207,F204)&lt;&gt;1,"Unknown / duplicate part",IF(VLOOKUP(F204,'Definitions'!$A$8:$J$207,3,FALSE)&lt;&gt;"Part","Ship purchasable parts only",IF(OR(NOT(ISNUMBER(H204)),H204&lt;0,MOD(H204,1)&lt;&gt;0,NOT(ISNUMBER(I204)),I204&lt;0,MOD(I204,1)&lt;&gt;0,NOT(ISNUMBER(J204)),J204&lt;0,MOD(J204,1)&lt;&gt;0),"Invalid shipment quantities",IF(I204+J204&gt;H204,"Receipts exceed dispatch",IF(AND(H204&gt;0,NOT(ISNUMBER(L204))),"Set actual dispatch date",IF(C204="Inbound",IF(COUNTIFS('Orders'!$A$8:$A$207,D204)&lt;&gt;1,"Choose a unique order line",IF(VLOOKUP(D204,'Orders'!$A$8:$L$207,4,FALSE)&lt;&gt;F204,"Order part mismatch","OK")),IF(D204&lt;&gt;"","Clear outbound order line",IF(AND(VLOOKUP(F204,'Definitions'!$A$8:$J$207,7,FALSE)="Yes",OR(G204="",H204&lt;&gt;1)),"Serialized outbound: one asset per row",IF(G204="","OK",IF(COUNTIFS('Assets'!$A$8:$A$207,G204)&lt;&gt;1,"Unknown / duplicate asset",IF(VLOOKUP(G204,'Assets'!$A$8:$K$207,2,FALSE)&lt;&gt;F204,"Asset part mismatch",IF(COUNTIFS($G$8:$G$207,G204,$C$8:$C$207,"Outbound")&lt;&gt;1,"Asset dispatched more than once","OK"))))))))))))))))</x:f>
      </x:c>
    </x:row>
    <x:row r="205" ht="22" customHeight="1">
      <x:c r="A205" s="10"/>
      <x:c r="B205" s="10"/>
      <x:c r="C205" s="10"/>
      <x:c r="D205" s="10"/>
      <x:c r="E205" s="10"/>
      <x:c r="F205" s="10"/>
      <x:c r="G205" s="10"/>
      <x:c r="H205" s="12"/>
      <x:c r="I205" s="12"/>
      <x:c r="J205" s="12"/>
      <x:c r="K205" s="11" t="str">
        <x:f>IF(A205="","",MAX(0,H205-I205-J205))</x:f>
      </x:c>
      <x:c r="L205" s="13"/>
      <x:c r="M205" s="13"/>
      <x:c r="N205" s="10"/>
      <x:c r="O205" s="10"/>
      <x:c r="P205" s="9" t="str">
        <x:f>IF(A205="","",IF(COUNTIFS('Shipments'!$A$8:$A$207,A205)&lt;&gt;1,"Duplicate shipment line",IF(OR(B205="",E205="",O205=""),"Set shipment, box and destination",IF(AND(C205&lt;&gt;"Inbound",C205&lt;&gt;"Outbound"),"Choose direction",IF(COUNTIFS('Definitions'!$A$8:$A$207,F205)&lt;&gt;1,"Unknown / duplicate part",IF(VLOOKUP(F205,'Definitions'!$A$8:$J$207,3,FALSE)&lt;&gt;"Part","Ship purchasable parts only",IF(OR(NOT(ISNUMBER(H205)),H205&lt;0,MOD(H205,1)&lt;&gt;0,NOT(ISNUMBER(I205)),I205&lt;0,MOD(I205,1)&lt;&gt;0,NOT(ISNUMBER(J205)),J205&lt;0,MOD(J205,1)&lt;&gt;0),"Invalid shipment quantities",IF(I205+J205&gt;H205,"Receipts exceed dispatch",IF(AND(H205&gt;0,NOT(ISNUMBER(L205))),"Set actual dispatch date",IF(C205="Inbound",IF(COUNTIFS('Orders'!$A$8:$A$207,D205)&lt;&gt;1,"Choose a unique order line",IF(VLOOKUP(D205,'Orders'!$A$8:$L$207,4,FALSE)&lt;&gt;F205,"Order part mismatch","OK")),IF(D205&lt;&gt;"","Clear outbound order line",IF(AND(VLOOKUP(F205,'Definitions'!$A$8:$J$207,7,FALSE)="Yes",OR(G205="",H205&lt;&gt;1)),"Serialized outbound: one asset per row",IF(G205="","OK",IF(COUNTIFS('Assets'!$A$8:$A$207,G205)&lt;&gt;1,"Unknown / duplicate asset",IF(VLOOKUP(G205,'Assets'!$A$8:$K$207,2,FALSE)&lt;&gt;F205,"Asset part mismatch",IF(COUNTIFS($G$8:$G$207,G205,$C$8:$C$207,"Outbound")&lt;&gt;1,"Asset dispatched more than once","OK"))))))))))))))))</x:f>
      </x:c>
    </x:row>
    <x:row r="206" ht="22" customHeight="1">
      <x:c r="A206" s="10"/>
      <x:c r="B206" s="10"/>
      <x:c r="C206" s="10"/>
      <x:c r="D206" s="10"/>
      <x:c r="E206" s="10"/>
      <x:c r="F206" s="10"/>
      <x:c r="G206" s="10"/>
      <x:c r="H206" s="12"/>
      <x:c r="I206" s="12"/>
      <x:c r="J206" s="12"/>
      <x:c r="K206" s="11" t="str">
        <x:f>IF(A206="","",MAX(0,H206-I206-J206))</x:f>
      </x:c>
      <x:c r="L206" s="13"/>
      <x:c r="M206" s="13"/>
      <x:c r="N206" s="10"/>
      <x:c r="O206" s="10"/>
      <x:c r="P206" s="9" t="str">
        <x:f>IF(A206="","",IF(COUNTIFS('Shipments'!$A$8:$A$207,A206)&lt;&gt;1,"Duplicate shipment line",IF(OR(B206="",E206="",O206=""),"Set shipment, box and destination",IF(AND(C206&lt;&gt;"Inbound",C206&lt;&gt;"Outbound"),"Choose direction",IF(COUNTIFS('Definitions'!$A$8:$A$207,F206)&lt;&gt;1,"Unknown / duplicate part",IF(VLOOKUP(F206,'Definitions'!$A$8:$J$207,3,FALSE)&lt;&gt;"Part","Ship purchasable parts only",IF(OR(NOT(ISNUMBER(H206)),H206&lt;0,MOD(H206,1)&lt;&gt;0,NOT(ISNUMBER(I206)),I206&lt;0,MOD(I206,1)&lt;&gt;0,NOT(ISNUMBER(J206)),J206&lt;0,MOD(J206,1)&lt;&gt;0),"Invalid shipment quantities",IF(I206+J206&gt;H206,"Receipts exceed dispatch",IF(AND(H206&gt;0,NOT(ISNUMBER(L206))),"Set actual dispatch date",IF(C206="Inbound",IF(COUNTIFS('Orders'!$A$8:$A$207,D206)&lt;&gt;1,"Choose a unique order line",IF(VLOOKUP(D206,'Orders'!$A$8:$L$207,4,FALSE)&lt;&gt;F206,"Order part mismatch","OK")),IF(D206&lt;&gt;"","Clear outbound order line",IF(AND(VLOOKUP(F206,'Definitions'!$A$8:$J$207,7,FALSE)="Yes",OR(G206="",H206&lt;&gt;1)),"Serialized outbound: one asset per row",IF(G206="","OK",IF(COUNTIFS('Assets'!$A$8:$A$207,G206)&lt;&gt;1,"Unknown / duplicate asset",IF(VLOOKUP(G206,'Assets'!$A$8:$K$207,2,FALSE)&lt;&gt;F206,"Asset part mismatch",IF(COUNTIFS($G$8:$G$207,G206,$C$8:$C$207,"Outbound")&lt;&gt;1,"Asset dispatched more than once","OK"))))))))))))))))</x:f>
      </x:c>
    </x:row>
    <x:row r="207" ht="22" customHeight="1">
      <x:c r="A207" s="10"/>
      <x:c r="B207" s="10"/>
      <x:c r="C207" s="10"/>
      <x:c r="D207" s="10"/>
      <x:c r="E207" s="10"/>
      <x:c r="F207" s="10"/>
      <x:c r="G207" s="10"/>
      <x:c r="H207" s="12"/>
      <x:c r="I207" s="12"/>
      <x:c r="J207" s="12"/>
      <x:c r="K207" s="11" t="str">
        <x:f>IF(A207="","",MAX(0,H207-I207-J207))</x:f>
      </x:c>
      <x:c r="L207" s="13"/>
      <x:c r="M207" s="13"/>
      <x:c r="N207" s="10"/>
      <x:c r="O207" s="10"/>
      <x:c r="P207" s="9" t="str">
        <x:f>IF(A207="","",IF(COUNTIFS('Shipments'!$A$8:$A$207,A207)&lt;&gt;1,"Duplicate shipment line",IF(OR(B207="",E207="",O207=""),"Set shipment, box and destination",IF(AND(C207&lt;&gt;"Inbound",C207&lt;&gt;"Outbound"),"Choose direction",IF(COUNTIFS('Definitions'!$A$8:$A$207,F207)&lt;&gt;1,"Unknown / duplicate part",IF(VLOOKUP(F207,'Definitions'!$A$8:$J$207,3,FALSE)&lt;&gt;"Part","Ship purchasable parts only",IF(OR(NOT(ISNUMBER(H207)),H207&lt;0,MOD(H207,1)&lt;&gt;0,NOT(ISNUMBER(I207)),I207&lt;0,MOD(I207,1)&lt;&gt;0,NOT(ISNUMBER(J207)),J207&lt;0,MOD(J207,1)&lt;&gt;0),"Invalid shipment quantities",IF(I207+J207&gt;H207,"Receipts exceed dispatch",IF(AND(H207&gt;0,NOT(ISNUMBER(L207))),"Set actual dispatch date",IF(C207="Inbound",IF(COUNTIFS('Orders'!$A$8:$A$207,D207)&lt;&gt;1,"Choose a unique order line",IF(VLOOKUP(D207,'Orders'!$A$8:$L$207,4,FALSE)&lt;&gt;F207,"Order part mismatch","OK")),IF(D207&lt;&gt;"","Clear outbound order line",IF(AND(VLOOKUP(F207,'Definitions'!$A$8:$J$207,7,FALSE)="Yes",OR(G207="",H207&lt;&gt;1)),"Serialized outbound: one asset per row",IF(G207="","OK",IF(COUNTIFS('Assets'!$A$8:$A$207,G207)&lt;&gt;1,"Unknown / duplicate asset",IF(VLOOKUP(G207,'Assets'!$A$8:$K$207,2,FALSE)&lt;&gt;F207,"Asset part mismatch",IF(COUNTIFS($G$8:$G$207,G207,$C$8:$C$207,"Outbound")&lt;&gt;1,"Asset dispatched more than once","OK"))))))))))))))))</x:f>
      </x:c>
    </x:row>
  </x:sheetData>
  <x:conditionalFormatting sqref="P8:P207">
    <x:cfRule type="expression" dxfId="6" priority="1">
      <x:formula>AND($A8&lt;&gt;"",P8&lt;&gt;"OK")</x:formula>
    </x:cfRule>
  </x:conditionalFormatting>
  <x:dataValidations count="7">
    <x:dataValidation type="list" sqref="C8:C207">
      <x:formula1>"Inbound,Outbound"</x:formula1>
    </x:dataValidation>
    <x:dataValidation type="list" sqref="D8:D207">
      <x:formula1>'Orders'!$A$8:$A$207</x:formula1>
    </x:dataValidation>
    <x:dataValidation type="list" sqref="F8:F207">
      <x:formula1>'Definitions'!$A$8:$A$207</x:formula1>
    </x:dataValidation>
    <x:dataValidation type="list" sqref="G8:G207">
      <x:formula1>'Assets'!$A$8:$A$207</x:formula1>
    </x:dataValidation>
    <x:dataValidation type="whole" operator="between" sqref="H8:H207">
      <x:formula1>0</x:formula1>
      <x:formula2>1000000</x:formula2>
    </x:dataValidation>
    <x:dataValidation type="whole" operator="between" sqref="I8:I207">
      <x:formula1>0</x:formula1>
      <x:formula2>1000000</x:formula2>
    </x:dataValidation>
    <x:dataValidation type="whole" operator="between" sqref="J8:J207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f38b1a02cba4f82"/>
  </x:tableParts>
</x:worksheet>
</file>

<file path=xl/worksheets/sheet9.xml><?xml version="1.0" encoding="utf-8"?>
<x:worksheet xmlns:x="http://schemas.openxmlformats.org/spreadsheetml/2006/main">
  <x:sheetPr>
    <x:tabColor rgb="FF718096"/>
  </x:sheetPr>
  <x:sheetViews>
    <x:sheetView showGridLines="0" workbookViewId="0"/>
  </x:sheetViews>
  <x:sheetFormatPr defaultRowHeight="15"/>
  <x:cols>
    <x:col min="1" max="1" width="28" hidden="0" customWidth="1"/>
    <x:col min="2" max="2" width="115" hidden="0" customWidth="1"/>
  </x:cols>
  <x:sheetData>
    <x:row r="1" ht="29" customHeight="1">
      <x:c r="A1" s="1"/>
      <x:c r="B1" s="1"/>
      <x:c r="C1" s="1"/>
      <x:c r="D1" s="1"/>
    </x:row>
    <x:row r="2" ht="29" customHeight="1">
      <x:c r="A2" s="15" t="str">
        <x:v>Hardware planning workbook</x:v>
      </x:c>
      <x:c r="B2" s="1"/>
      <x:c r="C2" s="1"/>
      <x:c r="D2" s="1"/>
    </x:row>
    <x:row r="3" ht="29" customHeight="1">
      <x:c r="A3" s="1"/>
      <x:c r="B3" s="1"/>
      <x:c r="C3" s="1"/>
      <x:c r="D3" s="1"/>
    </x:row>
    <x:row r="4" ht="29" customHeight="1">
      <x:c r="A4" s="1"/>
      <x:c r="B4" s="1"/>
      <x:c r="C4" s="1"/>
      <x:c r="D4" s="1"/>
    </x:row>
    <x:row r="5" ht="42" customHeight="1">
      <x:c r="A5" s="14" t="str">
        <x:v>Scope</x:v>
      </x:c>
      <x:c r="B5" s="18" t="str">
        <x:v>Editable planning template. All examples, quantities, assets, suppliers and dates are illustrative. No production inventory was imported.</x:v>
      </x:c>
      <x:c r="C5" s="1"/>
      <x:c r="D5" s="1"/>
    </x:row>
    <x:row r="6" ht="42" customHeight="1">
      <x:c r="A6" s="14" t="str">
        <x:v>Role</x:v>
      </x:c>
      <x:c r="B6" s="18" t="str">
        <x:v>A unique position such as vccu1:fhs1. sys1353 is an asset that can fill it. Keep role IDs stable for assignments.</x:v>
      </x:c>
      <x:c r="C6" s="1"/>
      <x:c r="D6" s="1"/>
    </x:row>
    <x:row r="7" ht="42" customHeight="1">
      <x:c r="A7" s="14" t="str">
        <x:v>Definitions</x:v>
      </x:c>
      <x:c r="B7" s="18" t="str">
        <x:v>Edit names, specifications and stock here. Keep definition IDs stable. Part = purchasable; Assembly = container only.</x:v>
      </x:c>
      <x:c r="C7" s="1"/>
      <x:c r="D7" s="1"/>
    </x:row>
    <x:row r="8" ht="42" customHeight="1">
      <x:c r="A8" s="14" t="str">
        <x:v>Recipes</x:v>
      </x:c>
      <x:c r="B8" s="18" t="str">
        <x:v>Each line links a parent definition to a child, with a default quantity and suggested role suffix. Both Part and Assembly can have children.</x:v>
      </x:c>
      <x:c r="C8" s="1"/>
      <x:c r="D8" s="1"/>
    </x:row>
    <x:row r="9" ht="42" customHeight="1">
      <x:c r="A9" s="14" t="str">
        <x:v>Layout and Hierarchy</x:v>
      </x:c>
      <x:c r="B9" s="18" t="str">
        <x:v>Edit roles on Layout. Hierarchy is the readable tree view. Put parents above children. Root rows select a definition and Build/Spares.</x:v>
      </x:c>
      <x:c r="C9" s="1"/>
      <x:c r="D9" s="1"/>
    </x:row>
    <x:row r="10" ht="42" customHeight="1">
      <x:c r="A10" s="14" t="str">
        <x:v>Child rows</x:v>
      </x:c>
      <x:c r="B10" s="18" t="str">
        <x:v>Set Parent role and Recipe line ID. Leave Root definition and Root purpose empty. Quantities multiply through every parent.</x:v>
      </x:c>
      <x:c r="C10" s="1"/>
      <x:c r="D10" s="1"/>
    </x:row>
    <x:row r="11" ht="42" customHeight="1">
      <x:c r="A11" s="14" t="str">
        <x:v>Quantity changes</x:v>
      </x:c>
      <x:c r="B11" s="18" t="str">
        <x:v>Edit Recipes to change all matching roles. Optional Layout overrides apply to one role only. Blank = recipe default; zero = omit.</x:v>
      </x:c>
      <x:c r="C11" s="1"/>
      <x:c r="D11" s="1"/>
    </x:row>
    <x:row r="12" ht="42" customHeight="1">
      <x:c r="A12" s="14" t="str">
        <x:v>Names</x:v>
      </x:c>
      <x:c r="B12" s="18" t="str">
        <x:v>Edit Component name in Definitions. Display names update throughout; names are never relationship keys.</x:v>
      </x:c>
      <x:c r="C12" s="1"/>
      <x:c r="D12" s="1"/>
    </x:row>
    <x:row r="13" ht="42" customHeight="1">
      <x:c r="A13" s="14" t="str">
        <x:v>Adding a component</x:v>
      </x:c>
      <x:c r="B13" s="18" t="str">
        <x:v>Add its definition and recipe. Add one Layout child per recipe line below every applicable parent; missing children are flagged.</x:v>
      </x:c>
      <x:c r="C13" s="1"/>
      <x:c r="D13" s="1"/>
    </x:row>
    <x:row r="14" ht="42" customHeight="1">
      <x:c r="A14" s="14" t="str">
        <x:v>Adding a root</x:v>
      </x:c>
      <x:c r="B14" s="18" t="str">
        <x:v>Copy a complete existing role subtree into blank prepared rows. Give every role a unique ID and update its parent references.</x:v>
      </x:c>
      <x:c r="C14" s="1"/>
      <x:c r="D14" s="1"/>
    </x:row>
    <x:row r="15" ht="42" customHeight="1">
      <x:c r="A15" s="14" t="str">
        <x:v>Hierarchy and sorting</x:v>
      </x:c>
      <x:c r="B15" s="18" t="str">
        <x:v>Layout is an ordered tree. Do not sort it: parents must stay above descendants. Filter by purpose or role instead.</x:v>
      </x:c>
      <x:c r="C15" s="1"/>
      <x:c r="D15" s="1"/>
    </x:row>
    <x:row r="16" ht="42" customHeight="1">
      <x:c r="A16" s="14" t="str">
        <x:v>Individual assets</x:v>
      </x:c>
      <x:c r="B16" s="18" t="str">
        <x:v>For distinct physical positions, use separate recipe lines and roles (fhs1, fhs2). Bulk cable/optic positions can have quantity &gt;1.</x:v>
      </x:c>
      <x:c r="C16" s="1"/>
      <x:c r="D16" s="1"/>
    </x:row>
    <x:row r="17" ht="42" customHeight="1">
      <x:c r="A17" s="14" t="str">
        <x:v>Spares</x:v>
      </x:c>
      <x:c r="B17" s="18" t="str">
        <x:v>Use a root with purpose Spares. Its descendants inherit that purpose and appear separately in the BOM.</x:v>
      </x:c>
      <x:c r="C17" s="1"/>
      <x:c r="D17" s="1"/>
    </x:row>
    <x:row r="18" ht="42" customHeight="1">
      <x:c r="A18" s="14" t="str">
        <x:v>BOM</x:v>
      </x:c>
      <x:c r="B18" s="18" t="str">
        <x:v>One output row per definition row. Filter Part ID to exclude blanks. Build + Spares = Total required. Assemblies are excluded.</x:v>
      </x:c>
      <x:c r="C18" s="1"/>
      <x:c r="D18" s="1"/>
    </x:row>
    <x:row r="19" ht="42" customHeight="1">
      <x:c r="A19" s="14" t="str">
        <x:v>Buying</x:v>
      </x:c>
      <x:c r="B19" s="18" t="str">
        <x:v>Qty to buy = max(0, required - stock covering plan - open purchase qty). Order packs rounds up using Purchase pack qty.</x:v>
      </x:c>
      <x:c r="C19" s="1"/>
      <x:c r="D19" s="1"/>
    </x:row>
    <x:row r="20" ht="42" customHeight="1">
      <x:c r="A20" s="14" t="str">
        <x:v>Transit</x:v>
      </x:c>
      <x:c r="B20" s="18" t="str">
        <x:v>Inbound transit is a subset of Open purchase qty. It is displayed for visibility and is not subtracted a second time.</x:v>
      </x:c>
      <x:c r="C20" s="1"/>
      <x:c r="D20" s="1"/>
    </x:row>
    <x:row r="21" ht="42" customHeight="1">
      <x:c r="A21" s="14" t="str">
        <x:v>Stock coverage</x:v>
      </x:c>
      <x:c r="B21" s="18" t="str">
        <x:v>Good assets reserved for This plan cover it when In stock, Packed or Installed. Unallocated assets cover it only when In stock.</x:v>
      </x:c>
      <x:c r="C21" s="1"/>
      <x:c r="D21" s="1"/>
    </x:row>
    <x:row r="22" ht="42" customHeight="1">
      <x:c r="A22" s="14" t="str">
        <x:v>Bulk stock</x:v>
      </x:c>
      <x:c r="B22" s="18" t="str">
        <x:v>Enter only usable untracked stock available to this plan, including already allocated items for this plan. Exclude other commitments.</x:v>
      </x:c>
      <x:c r="C22" s="1"/>
      <x:c r="D22" s="1"/>
    </x:row>
    <x:row r="23" ht="42" customHeight="1">
      <x:c r="A23" s="14" t="str">
        <x:v>Receiving</x:v>
      </x:c>
      <x:c r="B23" s="18" t="str">
        <x:v>Update asset records or the bulk stock snapshot after each receipt. Accepted shipment quantities do not automatically create stock records.</x:v>
      </x:c>
      <x:c r="C23" s="1"/>
      <x:c r="D23" s="1"/>
    </x:row>
    <x:row r="24" ht="42" customHeight="1">
      <x:c r="A24" s="14" t="str">
        <x:v>Assets</x:v>
      </x:c>
      <x:c r="B24" s="18" t="str">
        <x:v>Capture the real manufacturer serial, location, condition and allocation. Changing a role assignment does not change physical asset identity.</x:v>
      </x:c>
      <x:c r="C24" s="1"/>
      <x:c r="D24" s="1"/>
    </x:row>
    <x:row r="25" ht="42" customHeight="1">
      <x:c r="A25" s="14" t="str">
        <x:v>Assignment history</x:v>
      </x:c>
      <x:c r="B25" s="18" t="str">
        <x:v>Assets shows current assignment only. Keep historical changes in your asset system / NetBox; this workbook has no automatic history.</x:v>
      </x:c>
      <x:c r="C25" s="1"/>
      <x:c r="D25" s="1"/>
    </x:row>
    <x:row r="26" ht="42" customHeight="1">
      <x:c r="A26" s="14" t="str">
        <x:v>Orders</x:v>
      </x:c>
      <x:c r="B26" s="18" t="str">
        <x:v>All orders in this workbook are for this plan. One row per PO line. Cancelled qty reduces the requirement. Accepted receipts reduce open qty.</x:v>
      </x:c>
      <x:c r="C26" s="1"/>
      <x:c r="D26" s="1"/>
    </x:row>
    <x:row r="27" ht="42" customHeight="1">
      <x:c r="A27" s="14" t="str">
        <x:v>Partial shipments</x:v>
      </x:c>
      <x:c r="B27" s="18" t="str">
        <x:v>Add a shipment row per order line and box. Multiple rows may reference the same order line. Enter cumulative accepted/rejected receipts.</x:v>
      </x:c>
      <x:c r="C27" s="1"/>
      <x:c r="D27" s="1"/>
    </x:row>
    <x:row r="28" ht="42" customHeight="1">
      <x:c r="A28" s="14" t="str">
        <x:v>Rejected goods</x:v>
      </x:c>
      <x:c r="B28" s="18" t="str">
        <x:v>Rejected qty reduces transit, but does not fulfil the purchase order. Resolve through a replacement shipment or explicit cancellation.</x:v>
      </x:c>
      <x:c r="C28" s="1"/>
      <x:c r="D28" s="1"/>
    </x:row>
    <x:row r="29" ht="42" customHeight="1">
      <x:c r="A29" s="14" t="str">
        <x:v>Outbound serialized items</x:v>
      </x:c>
      <x:c r="B29" s="18" t="str">
        <x:v>Use one shipment line per asset with quantity 1. Set its asset ID and update its Assets state and location after dispatch.</x:v>
      </x:c>
      <x:c r="C29" s="1"/>
      <x:c r="D29" s="1"/>
    </x:row>
    <x:row r="30" ht="42" customHeight="1">
      <x:c r="A30" s="14" t="str">
        <x:v>Packing</x:v>
      </x:c>
      <x:c r="B30" s="18" t="str">
        <x:v>Use Box / crate ID and filter outbound lines for a packing list. Allocate and verify exact assets before dispatch.</x:v>
      </x:c>
      <x:c r="C30" s="1"/>
      <x:c r="D30" s="1"/>
    </x:row>
    <x:row r="31" ht="42" customHeight="1">
      <x:c r="A31" s="14" t="str">
        <x:v>Dispatch completeness</x:v>
      </x:c>
      <x:c r="B31" s="18" t="str">
        <x:v>BOM Still to dispatch compares total requirement with all outbound dispatched quantities. It includes spares and assumes the full plan ships.</x:v>
      </x:c>
      <x:c r="C31" s="1"/>
      <x:c r="D31" s="1"/>
    </x:row>
    <x:row r="32" ht="42" customHeight="1">
      <x:c r="A32" s="14" t="str">
        <x:v>Dates</x:v>
      </x:c>
      <x:c r="B32" s="18" t="str">
        <x:v>Dispatch date is actual. Arrival / ETA may be forecast or actual; Accepted/Rejected qty records actual receipt.</x:v>
      </x:c>
      <x:c r="C32" s="1"/>
      <x:c r="D32" s="1"/>
    </x:row>
    <x:row r="33" ht="42" customHeight="1">
      <x:c r="A33" s="14" t="str">
        <x:v>Review</x:v>
      </x:c>
      <x:c r="B33" s="18" t="str">
        <x:v>Resolve all flagged Check cells, then physically verify power, grounding, fasteners, rails, labels and cable specifications before ordering.</x:v>
      </x:c>
      <x:c r="C33" s="1"/>
      <x:c r="D33" s="1"/>
    </x:row>
    <x:row r="34" ht="42" customHeight="1">
      <x:c r="A34" s="14" t="str">
        <x:v>Capacity</x:v>
      </x:c>
      <x:c r="B34" s="18" t="str">
        <x:v>200 prepared rows per data sheet. Use blank rows within 8:207. Beyond that, extend formulas, validations, tables and every bounded range.</x:v>
      </x:c>
      <x:c r="C34" s="1"/>
      <x:c r="D34" s="1"/>
    </x:row>
    <x:row r="35" ht="42" customHeight="1">
      <x:c r="A35" s="14" t="str">
        <x:v>Baseline</x:v>
      </x:c>
      <x:c r="B35" s="18" t="str">
        <x:v>Save a dated copy before ordering or packing. Later edits recalculate the live plan and do not preserve historical BOM revisions.</x:v>
      </x:c>
      <x:c r="C35" s="1"/>
      <x:c r="D35" s="1"/>
    </x:row>
    <x:row r="36" ht="42" customHeight="1">
      <x:c r="A36" s="14" t="str">
        <x:v>Sources</x:v>
      </x:c>
      <x:c r="B36" s="18" t="str">
        <x:v>Examples are based on the hierarchy and role terminology discussed with the user on 2026-10-29. Quantities/specifications are placeholders.</x:v>
      </x:c>
      <x:c r="C36" s="1"/>
      <x:c r="D36" s="1"/>
    </x:row>
    <x:row r="37" ht="29" customHeight="1">
      <x:c r="A37" s="1"/>
      <x:c r="B37" s="1"/>
      <x:c r="C37" s="1"/>
      <x:c r="D37" s="1"/>
    </x:row>
    <x:row r="38" ht="29" customHeight="1">
      <x:c r="A38" s="1"/>
      <x:c r="B38" s="1"/>
      <x:c r="C38" s="1"/>
      <x:c r="D38" s="1"/>
    </x:row>
  </x:sheetData>
  <x:pageMargins left="0.7" right="0.7" top="0.75" bottom="0.75" header="0.3" footer="0.3"/>
</x:worksheet>
</file>